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15570" windowHeight="8190"/>
  </bookViews>
  <sheets>
    <sheet name="訂購單 (2)" sheetId="2" r:id="rId1"/>
  </sheets>
  <definedNames>
    <definedName name="_xlnm._FilterDatabase" localSheetId="0" hidden="1">'訂購單 (2)'!$A$2:$X$23</definedName>
    <definedName name="_xlnm.Print_Area" localSheetId="0">'訂購單 (2)'!$A$1:$X$25</definedName>
  </definedNames>
  <calcPr calcId="152511"/>
  <fileRecoveryPr repairLoad="1"/>
</workbook>
</file>

<file path=xl/calcChain.xml><?xml version="1.0" encoding="utf-8"?>
<calcChain xmlns="http://schemas.openxmlformats.org/spreadsheetml/2006/main">
  <c r="X24" i="2" l="1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X16" i="2"/>
  <c r="X25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X10" i="2"/>
  <c r="W10" i="2"/>
  <c r="W25" i="2" s="1"/>
  <c r="V10" i="2"/>
  <c r="V25" i="2"/>
  <c r="U10" i="2"/>
  <c r="U25" i="2" s="1"/>
  <c r="T10" i="2"/>
  <c r="T25" i="2" s="1"/>
  <c r="S10" i="2"/>
  <c r="S25" i="2"/>
  <c r="R10" i="2"/>
  <c r="R25" i="2" s="1"/>
  <c r="Q10" i="2"/>
  <c r="Q25" i="2"/>
  <c r="P10" i="2"/>
  <c r="P25" i="2"/>
  <c r="O10" i="2"/>
  <c r="O25" i="2" s="1"/>
  <c r="N10" i="2"/>
  <c r="N25" i="2"/>
  <c r="M10" i="2"/>
  <c r="M25" i="2" s="1"/>
  <c r="L10" i="2"/>
  <c r="L25" i="2" s="1"/>
  <c r="K10" i="2"/>
  <c r="K25" i="2"/>
  <c r="J10" i="2"/>
  <c r="J25" i="2" s="1"/>
  <c r="I17" i="2"/>
  <c r="I20" i="2" s="1"/>
  <c r="I21" i="2"/>
  <c r="I24" i="2"/>
  <c r="I3" i="2"/>
  <c r="I10" i="2" s="1"/>
  <c r="I12" i="2"/>
  <c r="I4" i="2"/>
  <c r="I13" i="2"/>
  <c r="I5" i="2"/>
  <c r="I14" i="2"/>
  <c r="I18" i="2"/>
  <c r="I22" i="2"/>
  <c r="I6" i="2"/>
  <c r="I15" i="2"/>
  <c r="I23" i="2"/>
  <c r="I7" i="2"/>
  <c r="I8" i="2"/>
  <c r="I9" i="2"/>
  <c r="I19" i="2"/>
  <c r="I11" i="2"/>
  <c r="I16" i="2" s="1"/>
  <c r="I25" i="2" l="1"/>
</calcChain>
</file>

<file path=xl/sharedStrings.xml><?xml version="1.0" encoding="utf-8"?>
<sst xmlns="http://schemas.openxmlformats.org/spreadsheetml/2006/main" count="269" uniqueCount="76">
  <si>
    <t>FD#</t>
  </si>
  <si>
    <t>Stock</t>
  </si>
  <si>
    <t>Order Q'ty</t>
  </si>
  <si>
    <t>PO#</t>
  </si>
  <si>
    <t>Mt'l code</t>
  </si>
  <si>
    <t>Material name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</si>
  <si>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</si>
  <si>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</si>
  <si>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</si>
  <si>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</si>
  <si>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</si>
  <si>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</si>
  <si>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</si>
  <si>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</si>
  <si>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</si>
  <si>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</si>
  <si>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</si>
  <si>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</si>
  <si>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</si>
  <si>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</si>
  <si>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</si>
  <si>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Gender</t>
    <phoneticPr fontId="8" type="noConversion"/>
  </si>
  <si>
    <t>Destination</t>
    <phoneticPr fontId="8" type="noConversion"/>
  </si>
  <si>
    <t/>
  </si>
  <si>
    <t>晋江基地</t>
  </si>
  <si>
    <t>TBF23110001</t>
  </si>
  <si>
    <t>112425561-5</t>
  </si>
  <si>
    <t>IGA2312180005</t>
  </si>
  <si>
    <t>P4PB00000001</t>
  </si>
  <si>
    <t>(23 版)安踏冠军系列商品鞋盒不干胶-跑步*故事包为冠军款式使用</t>
  </si>
  <si>
    <t>M</t>
  </si>
  <si>
    <t>TBF23110002</t>
  </si>
  <si>
    <t>122425561-1</t>
  </si>
  <si>
    <t>IGA2312180006</t>
  </si>
  <si>
    <t>W</t>
  </si>
  <si>
    <t>TBF23110003</t>
  </si>
  <si>
    <t>122425561-4</t>
  </si>
  <si>
    <t>IGA2312180007</t>
  </si>
  <si>
    <t>TBF23110004</t>
  </si>
  <si>
    <t>112425561-3</t>
  </si>
  <si>
    <t>IGA2312180008</t>
  </si>
  <si>
    <t>TBF23110005</t>
  </si>
  <si>
    <t>IGA2312180009</t>
  </si>
  <si>
    <t>TBF23110006</t>
  </si>
  <si>
    <t>IGA2312180010</t>
  </si>
  <si>
    <t>TBF23110007</t>
  </si>
  <si>
    <t>IGA2312180011</t>
  </si>
  <si>
    <t>TBF23110008</t>
  </si>
  <si>
    <t>IGA2312180012</t>
  </si>
  <si>
    <t>TBF23110009</t>
  </si>
  <si>
    <t>IGA2312180013</t>
  </si>
  <si>
    <t>TBF23110010</t>
  </si>
  <si>
    <t>IGA2312180014</t>
  </si>
  <si>
    <t>TBF23110011</t>
  </si>
  <si>
    <t>IGA2312180015</t>
  </si>
  <si>
    <t>TBF23110012</t>
  </si>
  <si>
    <t>IGA2312180016</t>
  </si>
  <si>
    <t>TBF23110013</t>
  </si>
  <si>
    <t>IGA2312180017</t>
  </si>
  <si>
    <t>TBF23110014</t>
  </si>
  <si>
    <t>IGA2312180018</t>
  </si>
  <si>
    <t>TBF23110015</t>
  </si>
  <si>
    <t>IGA2312180019</t>
  </si>
  <si>
    <t>TBF23110016</t>
  </si>
  <si>
    <t>IGA2312180020</t>
  </si>
  <si>
    <t>TBF23110017</t>
  </si>
  <si>
    <t>IGA2312180021</t>
  </si>
  <si>
    <t>TBF23110018</t>
  </si>
  <si>
    <t>IGA2312180022</t>
  </si>
  <si>
    <t>ETC</t>
  </si>
  <si>
    <t>112425561-3 Total</t>
  </si>
  <si>
    <t>112425561-5 Total</t>
  </si>
  <si>
    <t>122425561-1 Total</t>
  </si>
  <si>
    <t>122425561-4 Total</t>
  </si>
  <si>
    <t>Grand Total</t>
  </si>
  <si>
    <r>
      <t xml:space="preserve">VE </t>
    </r>
    <r>
      <rPr>
        <b/>
        <sz val="24"/>
        <color indexed="10"/>
        <rFont val="Arial"/>
        <family val="2"/>
      </rPr>
      <t>ANTA</t>
    </r>
    <r>
      <rPr>
        <b/>
        <sz val="24"/>
        <rFont val="Arial"/>
        <family val="2"/>
      </rPr>
      <t xml:space="preserve"> DATE DEC 18, 2023 (OK 29.12)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</si>
</sst>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[$-409]d\-mmm;@"/>
  </numFmts>
  <fonts count="14">
    <font>
      <sz val="12"/>
      <name val="新細明體"/>
      <family val="1"/>
      <charset val="136"/>
    </font>
    <font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vertAlign val="superscript"/>
      <sz val="10"/>
      <name val="Arial"/>
      <family val="2"/>
    </font>
    <font>
      <b/>
      <sz val="24"/>
      <name val="Arial"/>
      <family val="2"/>
    </font>
    <font>
      <b/>
      <sz val="24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52"/>
        <bgColor indexed="51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2" fillId="4" borderId="0" applyNumberFormat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5" fillId="5" borderId="1" applyNumberFormat="0" applyProtection="0">
      <alignment vertical="center"/>
    </xf>
    <xf numFmtId="0" fontId="7" fillId="0" borderId="2" applyNumberFormat="0" applyFill="0" applyProtection="0">
      <alignment vertical="center"/>
    </xf>
    <xf numFmtId="0" fontId="2" fillId="6" borderId="0" applyNumberFormat="0" applyBorder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7" borderId="4" xfId="0" applyFont="1" applyFill="1" applyBorder="1" applyAlignment="1">
      <alignment horizontal="center" vertical="center" shrinkToFit="1"/>
    </xf>
    <xf numFmtId="0" fontId="9" fillId="7" borderId="4" xfId="0" applyFont="1" applyFill="1" applyBorder="1" applyAlignment="1">
      <alignment horizontal="center" vertical="center" shrinkToFit="1"/>
    </xf>
    <xf numFmtId="0" fontId="10" fillId="7" borderId="4" xfId="0" applyFont="1" applyFill="1" applyBorder="1" applyAlignment="1">
      <alignment horizontal="center" vertical="center" shrinkToFit="1"/>
    </xf>
    <xf numFmtId="0" fontId="11" fillId="7" borderId="4" xfId="0" applyFont="1" applyFill="1" applyBorder="1" applyAlignment="1">
      <alignment horizontal="center" vertical="center" shrinkToFit="1"/>
    </xf>
    <xf numFmtId="41" fontId="1" fillId="0" borderId="4" xfId="0" applyNumberFormat="1" applyFont="1" applyBorder="1" applyAlignment="1">
      <alignment horizontal="center" vertical="center" shrinkToFit="1"/>
    </xf>
    <xf numFmtId="41" fontId="1" fillId="7" borderId="4" xfId="0" applyNumberFormat="1" applyFont="1" applyFill="1" applyBorder="1" applyAlignment="1">
      <alignment horizontal="center" vertical="center" shrinkToFit="1"/>
    </xf>
    <xf numFmtId="164" fontId="9" fillId="0" borderId="4" xfId="0" applyNumberFormat="1" applyFont="1" applyBorder="1" applyAlignment="1">
      <alignment horizontal="center" vertical="center" shrinkToFit="1"/>
    </xf>
    <xf numFmtId="41" fontId="9" fillId="0" borderId="4" xfId="0" applyNumberFormat="1" applyFont="1" applyBorder="1" applyAlignment="1">
      <alignment horizontal="center" vertical="center" shrinkToFit="1"/>
    </xf>
    <xf numFmtId="164" fontId="9" fillId="7" borderId="4" xfId="0" applyNumberFormat="1" applyFont="1" applyFill="1" applyBorder="1" applyAlignment="1">
      <alignment horizontal="center" vertical="center" shrinkToFit="1"/>
    </xf>
    <xf numFmtId="41" fontId="9" fillId="7" borderId="4" xfId="0" applyNumberFormat="1" applyFont="1" applyFill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</cellXfs>
  <cellStyles count="8">
    <cellStyle name="?" xfId="1"/>
    <cellStyle name="Normal" xfId="0" builtinId="0"/>
    <cellStyle name="㼿" xfId="2"/>
    <cellStyle name="㼿?" xfId="3"/>
    <cellStyle name="㼿㼿" xfId="4"/>
    <cellStyle name="㼿㼿?" xfId="5"/>
    <cellStyle name="㼿㼿㼿" xfId="6"/>
    <cellStyle name="㼿㼿㼿㼿?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25"/>
  <sheetViews>
    <sheetView tabSelected="1" topLeftCell="A16" zoomScaleSheetLayoutView="100" workbookViewId="0">
      <selection activeCell="K10" sqref="K10"/>
    </sheetView>
  </sheetViews>
  <sheetFormatPr defaultRowHeight="21.75" customHeight="1" outlineLevelRow="2"/>
  <cols>
    <col min="1" max="1" width="13.375" style="1" customWidth="1"/>
    <col min="2" max="2" width="12" style="1" customWidth="1"/>
    <col min="3" max="3" width="10.75" style="1" customWidth="1"/>
    <col min="4" max="4" width="5.75" style="1" customWidth="1"/>
    <col min="5" max="5" width="11.25" style="1" customWidth="1"/>
    <col min="6" max="6" width="10.25" style="1" hidden="1" customWidth="1"/>
    <col min="7" max="7" width="52.375" style="2" customWidth="1"/>
    <col min="8" max="8" width="6.125" style="2" customWidth="1"/>
    <col min="9" max="9" width="10.875" style="2" customWidth="1"/>
    <col min="10" max="25" width="5.875" style="1" customWidth="1"/>
    <col min="26" max="16384" width="9" style="1"/>
  </cols>
  <sheetData>
    <row r="1" spans="1:24" ht="90" customHeight="1">
      <c r="A1" s="14" t="s">
        <v>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s="2" customFormat="1" ht="43.5" customHeight="1">
      <c r="A2" s="5" t="s">
        <v>3</v>
      </c>
      <c r="B2" s="5" t="s">
        <v>0</v>
      </c>
      <c r="C2" s="5" t="s">
        <v>1</v>
      </c>
      <c r="D2" s="6" t="s">
        <v>21</v>
      </c>
      <c r="E2" s="5" t="s">
        <v>4</v>
      </c>
      <c r="F2" s="6" t="s">
        <v>22</v>
      </c>
      <c r="G2" s="5" t="s">
        <v>5</v>
      </c>
      <c r="H2" s="6" t="s">
        <v>69</v>
      </c>
      <c r="I2" s="5" t="s">
        <v>2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</row>
    <row r="3" spans="1:24" ht="21.75" customHeight="1" outlineLevel="2">
      <c r="A3" s="3" t="s">
        <v>40</v>
      </c>
      <c r="B3" s="3" t="s">
        <v>38</v>
      </c>
      <c r="C3" s="3" t="s">
        <v>39</v>
      </c>
      <c r="D3" s="3" t="s">
        <v>30</v>
      </c>
      <c r="E3" s="3" t="s">
        <v>28</v>
      </c>
      <c r="F3" s="3" t="s">
        <v>24</v>
      </c>
      <c r="G3" s="3" t="s">
        <v>29</v>
      </c>
      <c r="H3" s="10">
        <v>45296</v>
      </c>
      <c r="I3" s="11">
        <f t="shared" ref="I3:I9" si="0">SUM(J3:X3)</f>
        <v>1548</v>
      </c>
      <c r="J3" s="8" t="s">
        <v>23</v>
      </c>
      <c r="K3" s="8" t="s">
        <v>23</v>
      </c>
      <c r="L3" s="8" t="s">
        <v>23</v>
      </c>
      <c r="M3" s="8">
        <v>101</v>
      </c>
      <c r="N3" s="8">
        <v>209</v>
      </c>
      <c r="O3" s="8">
        <v>82</v>
      </c>
      <c r="P3" s="8">
        <v>335</v>
      </c>
      <c r="Q3" s="8">
        <v>328</v>
      </c>
      <c r="R3" s="8">
        <v>109</v>
      </c>
      <c r="S3" s="8">
        <v>234</v>
      </c>
      <c r="T3" s="8">
        <v>119</v>
      </c>
      <c r="U3" s="8" t="s">
        <v>23</v>
      </c>
      <c r="V3" s="8">
        <v>28</v>
      </c>
      <c r="W3" s="8" t="s">
        <v>23</v>
      </c>
      <c r="X3" s="8">
        <v>3</v>
      </c>
    </row>
    <row r="4" spans="1:24" ht="21.75" customHeight="1" outlineLevel="2">
      <c r="A4" s="3" t="s">
        <v>44</v>
      </c>
      <c r="B4" s="3" t="s">
        <v>43</v>
      </c>
      <c r="C4" s="3" t="s">
        <v>39</v>
      </c>
      <c r="D4" s="3" t="s">
        <v>30</v>
      </c>
      <c r="E4" s="3" t="s">
        <v>28</v>
      </c>
      <c r="F4" s="3" t="s">
        <v>24</v>
      </c>
      <c r="G4" s="3" t="s">
        <v>29</v>
      </c>
      <c r="H4" s="10">
        <v>45296</v>
      </c>
      <c r="I4" s="11">
        <f t="shared" si="0"/>
        <v>4008</v>
      </c>
      <c r="J4" s="8" t="s">
        <v>23</v>
      </c>
      <c r="K4" s="8" t="s">
        <v>23</v>
      </c>
      <c r="L4" s="8" t="s">
        <v>23</v>
      </c>
      <c r="M4" s="8">
        <v>120</v>
      </c>
      <c r="N4" s="8">
        <v>499</v>
      </c>
      <c r="O4" s="8">
        <v>133</v>
      </c>
      <c r="P4" s="8">
        <v>826</v>
      </c>
      <c r="Q4" s="8">
        <v>938</v>
      </c>
      <c r="R4" s="8">
        <v>230</v>
      </c>
      <c r="S4" s="8">
        <v>722</v>
      </c>
      <c r="T4" s="8">
        <v>404</v>
      </c>
      <c r="U4" s="8" t="s">
        <v>23</v>
      </c>
      <c r="V4" s="8">
        <v>133</v>
      </c>
      <c r="W4" s="8" t="s">
        <v>23</v>
      </c>
      <c r="X4" s="8">
        <v>3</v>
      </c>
    </row>
    <row r="5" spans="1:24" ht="21.75" customHeight="1" outlineLevel="2">
      <c r="A5" s="3" t="s">
        <v>48</v>
      </c>
      <c r="B5" s="3" t="s">
        <v>47</v>
      </c>
      <c r="C5" s="3" t="s">
        <v>39</v>
      </c>
      <c r="D5" s="3" t="s">
        <v>30</v>
      </c>
      <c r="E5" s="3" t="s">
        <v>28</v>
      </c>
      <c r="F5" s="3" t="s">
        <v>24</v>
      </c>
      <c r="G5" s="3" t="s">
        <v>29</v>
      </c>
      <c r="H5" s="10">
        <v>45296</v>
      </c>
      <c r="I5" s="11">
        <f t="shared" si="0"/>
        <v>24</v>
      </c>
      <c r="J5" s="8" t="s">
        <v>23</v>
      </c>
      <c r="K5" s="8" t="s">
        <v>23</v>
      </c>
      <c r="L5" s="8" t="s">
        <v>23</v>
      </c>
      <c r="M5" s="8">
        <v>1</v>
      </c>
      <c r="N5" s="8">
        <v>3</v>
      </c>
      <c r="O5" s="8">
        <v>1</v>
      </c>
      <c r="P5" s="8">
        <v>5</v>
      </c>
      <c r="Q5" s="8">
        <v>5</v>
      </c>
      <c r="R5" s="8">
        <v>2</v>
      </c>
      <c r="S5" s="8">
        <v>4</v>
      </c>
      <c r="T5" s="8">
        <v>2</v>
      </c>
      <c r="U5" s="8" t="s">
        <v>23</v>
      </c>
      <c r="V5" s="8">
        <v>1</v>
      </c>
      <c r="W5" s="8" t="s">
        <v>23</v>
      </c>
      <c r="X5" s="8" t="s">
        <v>23</v>
      </c>
    </row>
    <row r="6" spans="1:24" ht="21.75" customHeight="1" outlineLevel="2">
      <c r="A6" s="3" t="s">
        <v>56</v>
      </c>
      <c r="B6" s="3" t="s">
        <v>55</v>
      </c>
      <c r="C6" s="3" t="s">
        <v>39</v>
      </c>
      <c r="D6" s="3" t="s">
        <v>30</v>
      </c>
      <c r="E6" s="3" t="s">
        <v>28</v>
      </c>
      <c r="F6" s="3" t="s">
        <v>24</v>
      </c>
      <c r="G6" s="3" t="s">
        <v>29</v>
      </c>
      <c r="H6" s="10"/>
      <c r="I6" s="11">
        <f t="shared" si="0"/>
        <v>6600</v>
      </c>
      <c r="J6" s="8" t="s">
        <v>23</v>
      </c>
      <c r="K6" s="8" t="s">
        <v>23</v>
      </c>
      <c r="L6" s="8" t="s">
        <v>23</v>
      </c>
      <c r="M6" s="8">
        <v>427</v>
      </c>
      <c r="N6" s="8">
        <v>913</v>
      </c>
      <c r="O6" s="8">
        <v>333</v>
      </c>
      <c r="P6" s="8">
        <v>1453</v>
      </c>
      <c r="Q6" s="8">
        <v>1482</v>
      </c>
      <c r="R6" s="8">
        <v>448</v>
      </c>
      <c r="S6" s="8">
        <v>964</v>
      </c>
      <c r="T6" s="8">
        <v>383</v>
      </c>
      <c r="U6" s="8" t="s">
        <v>23</v>
      </c>
      <c r="V6" s="8">
        <v>149</v>
      </c>
      <c r="W6" s="8" t="s">
        <v>23</v>
      </c>
      <c r="X6" s="8">
        <v>48</v>
      </c>
    </row>
    <row r="7" spans="1:24" ht="21.75" customHeight="1" outlineLevel="2">
      <c r="A7" s="3" t="s">
        <v>62</v>
      </c>
      <c r="B7" s="3" t="s">
        <v>61</v>
      </c>
      <c r="C7" s="3" t="s">
        <v>39</v>
      </c>
      <c r="D7" s="3" t="s">
        <v>30</v>
      </c>
      <c r="E7" s="3" t="s">
        <v>28</v>
      </c>
      <c r="F7" s="3" t="s">
        <v>24</v>
      </c>
      <c r="G7" s="3" t="s">
        <v>29</v>
      </c>
      <c r="H7" s="10"/>
      <c r="I7" s="11">
        <f t="shared" si="0"/>
        <v>5136</v>
      </c>
      <c r="J7" s="8" t="s">
        <v>23</v>
      </c>
      <c r="K7" s="8" t="s">
        <v>23</v>
      </c>
      <c r="L7" s="8" t="s">
        <v>23</v>
      </c>
      <c r="M7" s="8">
        <v>457</v>
      </c>
      <c r="N7" s="8">
        <v>782</v>
      </c>
      <c r="O7" s="8">
        <v>383</v>
      </c>
      <c r="P7" s="8">
        <v>1125</v>
      </c>
      <c r="Q7" s="8">
        <v>1015</v>
      </c>
      <c r="R7" s="8">
        <v>417</v>
      </c>
      <c r="S7" s="8">
        <v>624</v>
      </c>
      <c r="T7" s="8">
        <v>246</v>
      </c>
      <c r="U7" s="8" t="s">
        <v>23</v>
      </c>
      <c r="V7" s="8">
        <v>83</v>
      </c>
      <c r="W7" s="8" t="s">
        <v>23</v>
      </c>
      <c r="X7" s="8">
        <v>4</v>
      </c>
    </row>
    <row r="8" spans="1:24" ht="21.75" customHeight="1" outlineLevel="2">
      <c r="A8" s="3" t="s">
        <v>64</v>
      </c>
      <c r="B8" s="3" t="s">
        <v>63</v>
      </c>
      <c r="C8" s="3" t="s">
        <v>39</v>
      </c>
      <c r="D8" s="3" t="s">
        <v>30</v>
      </c>
      <c r="E8" s="3" t="s">
        <v>28</v>
      </c>
      <c r="F8" s="3" t="s">
        <v>24</v>
      </c>
      <c r="G8" s="3" t="s">
        <v>29</v>
      </c>
      <c r="H8" s="10"/>
      <c r="I8" s="11">
        <f t="shared" si="0"/>
        <v>2388</v>
      </c>
      <c r="J8" s="8" t="s">
        <v>23</v>
      </c>
      <c r="K8" s="8" t="s">
        <v>23</v>
      </c>
      <c r="L8" s="8" t="s">
        <v>23</v>
      </c>
      <c r="M8" s="8">
        <v>103</v>
      </c>
      <c r="N8" s="8">
        <v>275</v>
      </c>
      <c r="O8" s="8">
        <v>194</v>
      </c>
      <c r="P8" s="8">
        <v>487</v>
      </c>
      <c r="Q8" s="8">
        <v>484</v>
      </c>
      <c r="R8" s="8">
        <v>249</v>
      </c>
      <c r="S8" s="8">
        <v>359</v>
      </c>
      <c r="T8" s="8">
        <v>188</v>
      </c>
      <c r="U8" s="8" t="s">
        <v>23</v>
      </c>
      <c r="V8" s="8">
        <v>49</v>
      </c>
      <c r="W8" s="8" t="s">
        <v>23</v>
      </c>
      <c r="X8" s="8" t="s">
        <v>23</v>
      </c>
    </row>
    <row r="9" spans="1:24" ht="21.75" customHeight="1" outlineLevel="2">
      <c r="A9" s="3" t="s">
        <v>66</v>
      </c>
      <c r="B9" s="3" t="s">
        <v>65</v>
      </c>
      <c r="C9" s="3" t="s">
        <v>39</v>
      </c>
      <c r="D9" s="3" t="s">
        <v>30</v>
      </c>
      <c r="E9" s="3" t="s">
        <v>28</v>
      </c>
      <c r="F9" s="3" t="s">
        <v>24</v>
      </c>
      <c r="G9" s="3" t="s">
        <v>29</v>
      </c>
      <c r="H9" s="10"/>
      <c r="I9" s="11">
        <f t="shared" si="0"/>
        <v>3936</v>
      </c>
      <c r="J9" s="8" t="s">
        <v>23</v>
      </c>
      <c r="K9" s="8" t="s">
        <v>23</v>
      </c>
      <c r="L9" s="8" t="s">
        <v>23</v>
      </c>
      <c r="M9" s="8">
        <v>420</v>
      </c>
      <c r="N9" s="8">
        <v>752</v>
      </c>
      <c r="O9" s="8">
        <v>124</v>
      </c>
      <c r="P9" s="8">
        <v>1002</v>
      </c>
      <c r="Q9" s="8">
        <v>853</v>
      </c>
      <c r="R9" s="8">
        <v>76</v>
      </c>
      <c r="S9" s="8">
        <v>534</v>
      </c>
      <c r="T9" s="8">
        <v>157</v>
      </c>
      <c r="U9" s="8" t="s">
        <v>23</v>
      </c>
      <c r="V9" s="8">
        <v>18</v>
      </c>
      <c r="W9" s="8" t="s">
        <v>23</v>
      </c>
      <c r="X9" s="8" t="s">
        <v>23</v>
      </c>
    </row>
    <row r="10" spans="1:24" ht="21.75" customHeight="1" outlineLevel="1">
      <c r="A10" s="4"/>
      <c r="B10" s="4"/>
      <c r="C10" s="5" t="s">
        <v>70</v>
      </c>
      <c r="D10" s="4"/>
      <c r="E10" s="4"/>
      <c r="F10" s="4"/>
      <c r="G10" s="4"/>
      <c r="H10" s="12"/>
      <c r="I10" s="13">
        <f t="shared" ref="I10:X10" si="1">SUBTOTAL(9,I3:I9)</f>
        <v>23640</v>
      </c>
      <c r="J10" s="9">
        <f t="shared" si="1"/>
        <v>0</v>
      </c>
      <c r="K10" s="9">
        <f t="shared" si="1"/>
        <v>0</v>
      </c>
      <c r="L10" s="9">
        <f t="shared" si="1"/>
        <v>0</v>
      </c>
      <c r="M10" s="9">
        <f t="shared" si="1"/>
        <v>1629</v>
      </c>
      <c r="N10" s="9">
        <f t="shared" si="1"/>
        <v>3433</v>
      </c>
      <c r="O10" s="9">
        <f t="shared" si="1"/>
        <v>1250</v>
      </c>
      <c r="P10" s="9">
        <f t="shared" si="1"/>
        <v>5233</v>
      </c>
      <c r="Q10" s="9">
        <f t="shared" si="1"/>
        <v>5105</v>
      </c>
      <c r="R10" s="9">
        <f t="shared" si="1"/>
        <v>1531</v>
      </c>
      <c r="S10" s="9">
        <f t="shared" si="1"/>
        <v>3441</v>
      </c>
      <c r="T10" s="9">
        <f t="shared" si="1"/>
        <v>1499</v>
      </c>
      <c r="U10" s="9">
        <f t="shared" si="1"/>
        <v>0</v>
      </c>
      <c r="V10" s="9">
        <f t="shared" si="1"/>
        <v>461</v>
      </c>
      <c r="W10" s="9">
        <f t="shared" si="1"/>
        <v>0</v>
      </c>
      <c r="X10" s="9">
        <f t="shared" si="1"/>
        <v>58</v>
      </c>
    </row>
    <row r="11" spans="1:24" ht="21.75" customHeight="1" outlineLevel="2">
      <c r="A11" s="3" t="s">
        <v>27</v>
      </c>
      <c r="B11" s="3" t="s">
        <v>25</v>
      </c>
      <c r="C11" s="3" t="s">
        <v>26</v>
      </c>
      <c r="D11" s="3" t="s">
        <v>30</v>
      </c>
      <c r="E11" s="3" t="s">
        <v>28</v>
      </c>
      <c r="F11" s="3" t="s">
        <v>24</v>
      </c>
      <c r="G11" s="3" t="s">
        <v>29</v>
      </c>
      <c r="H11" s="10">
        <v>45296</v>
      </c>
      <c r="I11" s="11">
        <f>SUM(J11:X11)</f>
        <v>12</v>
      </c>
      <c r="J11" s="8" t="s">
        <v>23</v>
      </c>
      <c r="K11" s="8" t="s">
        <v>23</v>
      </c>
      <c r="L11" s="8" t="s">
        <v>23</v>
      </c>
      <c r="M11" s="8" t="s">
        <v>23</v>
      </c>
      <c r="N11" s="8">
        <v>1</v>
      </c>
      <c r="O11" s="8">
        <v>1</v>
      </c>
      <c r="P11" s="8">
        <v>1</v>
      </c>
      <c r="Q11" s="8">
        <v>2</v>
      </c>
      <c r="R11" s="8">
        <v>1</v>
      </c>
      <c r="S11" s="8">
        <v>2</v>
      </c>
      <c r="T11" s="8">
        <v>2</v>
      </c>
      <c r="U11" s="8" t="s">
        <v>23</v>
      </c>
      <c r="V11" s="8">
        <v>1</v>
      </c>
      <c r="W11" s="8" t="s">
        <v>23</v>
      </c>
      <c r="X11" s="8">
        <v>1</v>
      </c>
    </row>
    <row r="12" spans="1:24" ht="21.75" customHeight="1" outlineLevel="2">
      <c r="A12" s="3" t="s">
        <v>42</v>
      </c>
      <c r="B12" s="3" t="s">
        <v>41</v>
      </c>
      <c r="C12" s="3" t="s">
        <v>26</v>
      </c>
      <c r="D12" s="3" t="s">
        <v>30</v>
      </c>
      <c r="E12" s="3" t="s">
        <v>28</v>
      </c>
      <c r="F12" s="3" t="s">
        <v>24</v>
      </c>
      <c r="G12" s="3" t="s">
        <v>29</v>
      </c>
      <c r="H12" s="10">
        <v>45296</v>
      </c>
      <c r="I12" s="11">
        <f>SUM(J12:X12)</f>
        <v>2412</v>
      </c>
      <c r="J12" s="8" t="s">
        <v>23</v>
      </c>
      <c r="K12" s="8" t="s">
        <v>23</v>
      </c>
      <c r="L12" s="8" t="s">
        <v>23</v>
      </c>
      <c r="M12" s="8">
        <v>155</v>
      </c>
      <c r="N12" s="8">
        <v>323</v>
      </c>
      <c r="O12" s="8">
        <v>131</v>
      </c>
      <c r="P12" s="8">
        <v>518</v>
      </c>
      <c r="Q12" s="8">
        <v>510</v>
      </c>
      <c r="R12" s="8">
        <v>180</v>
      </c>
      <c r="S12" s="8">
        <v>354</v>
      </c>
      <c r="T12" s="8">
        <v>184</v>
      </c>
      <c r="U12" s="8" t="s">
        <v>23</v>
      </c>
      <c r="V12" s="8">
        <v>49</v>
      </c>
      <c r="W12" s="8" t="s">
        <v>23</v>
      </c>
      <c r="X12" s="8">
        <v>8</v>
      </c>
    </row>
    <row r="13" spans="1:24" ht="21.75" customHeight="1" outlineLevel="2">
      <c r="A13" s="3" t="s">
        <v>46</v>
      </c>
      <c r="B13" s="3" t="s">
        <v>45</v>
      </c>
      <c r="C13" s="3" t="s">
        <v>26</v>
      </c>
      <c r="D13" s="3" t="s">
        <v>30</v>
      </c>
      <c r="E13" s="3" t="s">
        <v>28</v>
      </c>
      <c r="F13" s="3" t="s">
        <v>24</v>
      </c>
      <c r="G13" s="3" t="s">
        <v>29</v>
      </c>
      <c r="H13" s="10"/>
      <c r="I13" s="11">
        <f>SUM(J13:X13)</f>
        <v>3588</v>
      </c>
      <c r="J13" s="8" t="s">
        <v>23</v>
      </c>
      <c r="K13" s="8" t="s">
        <v>23</v>
      </c>
      <c r="L13" s="8" t="s">
        <v>23</v>
      </c>
      <c r="M13" s="8">
        <v>97</v>
      </c>
      <c r="N13" s="8">
        <v>408</v>
      </c>
      <c r="O13" s="8">
        <v>116</v>
      </c>
      <c r="P13" s="8">
        <v>714</v>
      </c>
      <c r="Q13" s="8">
        <v>846</v>
      </c>
      <c r="R13" s="8">
        <v>210</v>
      </c>
      <c r="S13" s="8">
        <v>674</v>
      </c>
      <c r="T13" s="8">
        <v>395</v>
      </c>
      <c r="U13" s="8" t="s">
        <v>23</v>
      </c>
      <c r="V13" s="8">
        <v>118</v>
      </c>
      <c r="W13" s="8" t="s">
        <v>23</v>
      </c>
      <c r="X13" s="8">
        <v>10</v>
      </c>
    </row>
    <row r="14" spans="1:24" ht="21.75" customHeight="1" outlineLevel="2">
      <c r="A14" s="3" t="s">
        <v>50</v>
      </c>
      <c r="B14" s="3" t="s">
        <v>49</v>
      </c>
      <c r="C14" s="3" t="s">
        <v>26</v>
      </c>
      <c r="D14" s="3" t="s">
        <v>30</v>
      </c>
      <c r="E14" s="3" t="s">
        <v>28</v>
      </c>
      <c r="F14" s="3" t="s">
        <v>24</v>
      </c>
      <c r="G14" s="3" t="s">
        <v>29</v>
      </c>
      <c r="H14" s="10">
        <v>45296</v>
      </c>
      <c r="I14" s="11">
        <f>SUM(J14:X14)</f>
        <v>12</v>
      </c>
      <c r="J14" s="8" t="s">
        <v>23</v>
      </c>
      <c r="K14" s="8" t="s">
        <v>23</v>
      </c>
      <c r="L14" s="8" t="s">
        <v>23</v>
      </c>
      <c r="M14" s="8" t="s">
        <v>23</v>
      </c>
      <c r="N14" s="8">
        <v>1</v>
      </c>
      <c r="O14" s="8">
        <v>1</v>
      </c>
      <c r="P14" s="8">
        <v>3</v>
      </c>
      <c r="Q14" s="8">
        <v>3</v>
      </c>
      <c r="R14" s="8">
        <v>1</v>
      </c>
      <c r="S14" s="8">
        <v>2</v>
      </c>
      <c r="T14" s="8">
        <v>1</v>
      </c>
      <c r="U14" s="8" t="s">
        <v>23</v>
      </c>
      <c r="V14" s="8" t="s">
        <v>23</v>
      </c>
      <c r="W14" s="8" t="s">
        <v>23</v>
      </c>
      <c r="X14" s="8" t="s">
        <v>23</v>
      </c>
    </row>
    <row r="15" spans="1:24" ht="21.75" customHeight="1" outlineLevel="2">
      <c r="A15" s="3" t="s">
        <v>58</v>
      </c>
      <c r="B15" s="3" t="s">
        <v>57</v>
      </c>
      <c r="C15" s="3" t="s">
        <v>26</v>
      </c>
      <c r="D15" s="3" t="s">
        <v>30</v>
      </c>
      <c r="E15" s="3" t="s">
        <v>28</v>
      </c>
      <c r="F15" s="3" t="s">
        <v>24</v>
      </c>
      <c r="G15" s="3" t="s">
        <v>29</v>
      </c>
      <c r="H15" s="10"/>
      <c r="I15" s="11">
        <f>SUM(J15:X15)</f>
        <v>9480</v>
      </c>
      <c r="J15" s="8" t="s">
        <v>23</v>
      </c>
      <c r="K15" s="8" t="s">
        <v>23</v>
      </c>
      <c r="L15" s="8" t="s">
        <v>23</v>
      </c>
      <c r="M15" s="8">
        <v>601</v>
      </c>
      <c r="N15" s="8">
        <v>1213</v>
      </c>
      <c r="O15" s="8">
        <v>444</v>
      </c>
      <c r="P15" s="8">
        <v>1999</v>
      </c>
      <c r="Q15" s="8">
        <v>2133</v>
      </c>
      <c r="R15" s="8">
        <v>639</v>
      </c>
      <c r="S15" s="8">
        <v>1435</v>
      </c>
      <c r="T15" s="8">
        <v>703</v>
      </c>
      <c r="U15" s="8" t="s">
        <v>23</v>
      </c>
      <c r="V15" s="8">
        <v>219</v>
      </c>
      <c r="W15" s="8" t="s">
        <v>23</v>
      </c>
      <c r="X15" s="8">
        <v>94</v>
      </c>
    </row>
    <row r="16" spans="1:24" ht="21.75" customHeight="1" outlineLevel="1">
      <c r="A16" s="4"/>
      <c r="B16" s="4"/>
      <c r="C16" s="5" t="s">
        <v>71</v>
      </c>
      <c r="D16" s="4"/>
      <c r="E16" s="4"/>
      <c r="F16" s="4"/>
      <c r="G16" s="4"/>
      <c r="H16" s="12"/>
      <c r="I16" s="13">
        <f t="shared" ref="I16:X16" si="2">SUBTOTAL(9,I11:I15)</f>
        <v>15504</v>
      </c>
      <c r="J16" s="9">
        <f t="shared" si="2"/>
        <v>0</v>
      </c>
      <c r="K16" s="9">
        <f t="shared" si="2"/>
        <v>0</v>
      </c>
      <c r="L16" s="9">
        <f t="shared" si="2"/>
        <v>0</v>
      </c>
      <c r="M16" s="9">
        <f t="shared" si="2"/>
        <v>853</v>
      </c>
      <c r="N16" s="9">
        <f t="shared" si="2"/>
        <v>1946</v>
      </c>
      <c r="O16" s="9">
        <f t="shared" si="2"/>
        <v>693</v>
      </c>
      <c r="P16" s="9">
        <f t="shared" si="2"/>
        <v>3235</v>
      </c>
      <c r="Q16" s="9">
        <f t="shared" si="2"/>
        <v>3494</v>
      </c>
      <c r="R16" s="9">
        <f t="shared" si="2"/>
        <v>1031</v>
      </c>
      <c r="S16" s="9">
        <f t="shared" si="2"/>
        <v>2467</v>
      </c>
      <c r="T16" s="9">
        <f t="shared" si="2"/>
        <v>1285</v>
      </c>
      <c r="U16" s="9">
        <f t="shared" si="2"/>
        <v>0</v>
      </c>
      <c r="V16" s="9">
        <f t="shared" si="2"/>
        <v>387</v>
      </c>
      <c r="W16" s="9">
        <f t="shared" si="2"/>
        <v>0</v>
      </c>
      <c r="X16" s="9">
        <f t="shared" si="2"/>
        <v>113</v>
      </c>
    </row>
    <row r="17" spans="1:24" ht="21.75" customHeight="1" outlineLevel="2">
      <c r="A17" s="3" t="s">
        <v>33</v>
      </c>
      <c r="B17" s="3" t="s">
        <v>31</v>
      </c>
      <c r="C17" s="3" t="s">
        <v>32</v>
      </c>
      <c r="D17" s="3" t="s">
        <v>34</v>
      </c>
      <c r="E17" s="3" t="s">
        <v>28</v>
      </c>
      <c r="F17" s="3" t="s">
        <v>24</v>
      </c>
      <c r="G17" s="3" t="s">
        <v>29</v>
      </c>
      <c r="H17" s="10">
        <v>45296</v>
      </c>
      <c r="I17" s="11">
        <f>SUM(J17:X17)</f>
        <v>5472</v>
      </c>
      <c r="J17" s="8">
        <v>145</v>
      </c>
      <c r="K17" s="8">
        <v>635</v>
      </c>
      <c r="L17" s="8">
        <v>457</v>
      </c>
      <c r="M17" s="8">
        <v>1426</v>
      </c>
      <c r="N17" s="8">
        <v>1352</v>
      </c>
      <c r="O17" s="8">
        <v>443</v>
      </c>
      <c r="P17" s="8">
        <v>784</v>
      </c>
      <c r="Q17" s="8">
        <v>230</v>
      </c>
      <c r="R17" s="8" t="s">
        <v>23</v>
      </c>
      <c r="S17" s="8" t="s">
        <v>23</v>
      </c>
      <c r="T17" s="8" t="s">
        <v>23</v>
      </c>
      <c r="U17" s="8" t="s">
        <v>23</v>
      </c>
      <c r="V17" s="8" t="s">
        <v>23</v>
      </c>
      <c r="W17" s="8" t="s">
        <v>23</v>
      </c>
      <c r="X17" s="8" t="s">
        <v>23</v>
      </c>
    </row>
    <row r="18" spans="1:24" ht="21.75" customHeight="1" outlineLevel="2">
      <c r="A18" s="3" t="s">
        <v>52</v>
      </c>
      <c r="B18" s="3" t="s">
        <v>51</v>
      </c>
      <c r="C18" s="3" t="s">
        <v>32</v>
      </c>
      <c r="D18" s="3" t="s">
        <v>34</v>
      </c>
      <c r="E18" s="3" t="s">
        <v>28</v>
      </c>
      <c r="F18" s="3" t="s">
        <v>24</v>
      </c>
      <c r="G18" s="3" t="s">
        <v>29</v>
      </c>
      <c r="H18" s="10"/>
      <c r="I18" s="11">
        <f>SUM(J18:X18)</f>
        <v>24</v>
      </c>
      <c r="J18" s="8">
        <v>1</v>
      </c>
      <c r="K18" s="8">
        <v>1</v>
      </c>
      <c r="L18" s="8">
        <v>3</v>
      </c>
      <c r="M18" s="8">
        <v>6</v>
      </c>
      <c r="N18" s="8">
        <v>6</v>
      </c>
      <c r="O18" s="8">
        <v>3</v>
      </c>
      <c r="P18" s="8">
        <v>3</v>
      </c>
      <c r="Q18" s="8">
        <v>1</v>
      </c>
      <c r="R18" s="8" t="s">
        <v>23</v>
      </c>
      <c r="S18" s="8" t="s">
        <v>23</v>
      </c>
      <c r="T18" s="8" t="s">
        <v>23</v>
      </c>
      <c r="U18" s="8" t="s">
        <v>23</v>
      </c>
      <c r="V18" s="8" t="s">
        <v>23</v>
      </c>
      <c r="W18" s="8" t="s">
        <v>23</v>
      </c>
      <c r="X18" s="8" t="s">
        <v>23</v>
      </c>
    </row>
    <row r="19" spans="1:24" ht="21.75" customHeight="1" outlineLevel="2">
      <c r="A19" s="3" t="s">
        <v>68</v>
      </c>
      <c r="B19" s="3" t="s">
        <v>67</v>
      </c>
      <c r="C19" s="3" t="s">
        <v>32</v>
      </c>
      <c r="D19" s="3" t="s">
        <v>34</v>
      </c>
      <c r="E19" s="3" t="s">
        <v>28</v>
      </c>
      <c r="F19" s="3" t="s">
        <v>24</v>
      </c>
      <c r="G19" s="3" t="s">
        <v>29</v>
      </c>
      <c r="H19" s="10"/>
      <c r="I19" s="11">
        <f>SUM(J19:X19)</f>
        <v>24</v>
      </c>
      <c r="J19" s="8">
        <v>1</v>
      </c>
      <c r="K19" s="8" t="s">
        <v>23</v>
      </c>
      <c r="L19" s="8">
        <v>3</v>
      </c>
      <c r="M19" s="8">
        <v>6</v>
      </c>
      <c r="N19" s="8">
        <v>4</v>
      </c>
      <c r="O19" s="8">
        <v>6</v>
      </c>
      <c r="P19" s="8">
        <v>4</v>
      </c>
      <c r="Q19" s="8" t="s">
        <v>23</v>
      </c>
      <c r="R19" s="8" t="s">
        <v>23</v>
      </c>
      <c r="S19" s="8" t="s">
        <v>23</v>
      </c>
      <c r="T19" s="8" t="s">
        <v>23</v>
      </c>
      <c r="U19" s="8" t="s">
        <v>23</v>
      </c>
      <c r="V19" s="8" t="s">
        <v>23</v>
      </c>
      <c r="W19" s="8" t="s">
        <v>23</v>
      </c>
      <c r="X19" s="8" t="s">
        <v>23</v>
      </c>
    </row>
    <row r="20" spans="1:24" ht="21.75" customHeight="1" outlineLevel="1">
      <c r="A20" s="4"/>
      <c r="B20" s="4"/>
      <c r="C20" s="5" t="s">
        <v>72</v>
      </c>
      <c r="D20" s="4"/>
      <c r="E20" s="4"/>
      <c r="F20" s="4"/>
      <c r="G20" s="4"/>
      <c r="H20" s="12"/>
      <c r="I20" s="13">
        <f t="shared" ref="I20:X20" si="3">SUBTOTAL(9,I17:I19)</f>
        <v>5520</v>
      </c>
      <c r="J20" s="9">
        <f t="shared" si="3"/>
        <v>147</v>
      </c>
      <c r="K20" s="9">
        <f t="shared" si="3"/>
        <v>636</v>
      </c>
      <c r="L20" s="9">
        <f t="shared" si="3"/>
        <v>463</v>
      </c>
      <c r="M20" s="9">
        <f t="shared" si="3"/>
        <v>1438</v>
      </c>
      <c r="N20" s="9">
        <f t="shared" si="3"/>
        <v>1362</v>
      </c>
      <c r="O20" s="9">
        <f t="shared" si="3"/>
        <v>452</v>
      </c>
      <c r="P20" s="9">
        <f t="shared" si="3"/>
        <v>791</v>
      </c>
      <c r="Q20" s="9">
        <f t="shared" si="3"/>
        <v>231</v>
      </c>
      <c r="R20" s="9">
        <f t="shared" si="3"/>
        <v>0</v>
      </c>
      <c r="S20" s="9">
        <f t="shared" si="3"/>
        <v>0</v>
      </c>
      <c r="T20" s="9">
        <f t="shared" si="3"/>
        <v>0</v>
      </c>
      <c r="U20" s="9">
        <f t="shared" si="3"/>
        <v>0</v>
      </c>
      <c r="V20" s="9">
        <f t="shared" si="3"/>
        <v>0</v>
      </c>
      <c r="W20" s="9">
        <f t="shared" si="3"/>
        <v>0</v>
      </c>
      <c r="X20" s="9">
        <f t="shared" si="3"/>
        <v>0</v>
      </c>
    </row>
    <row r="21" spans="1:24" ht="21.75" customHeight="1" outlineLevel="2">
      <c r="A21" s="3" t="s">
        <v>37</v>
      </c>
      <c r="B21" s="3" t="s">
        <v>35</v>
      </c>
      <c r="C21" s="3" t="s">
        <v>36</v>
      </c>
      <c r="D21" s="3" t="s">
        <v>34</v>
      </c>
      <c r="E21" s="3" t="s">
        <v>28</v>
      </c>
      <c r="F21" s="3" t="s">
        <v>24</v>
      </c>
      <c r="G21" s="3" t="s">
        <v>29</v>
      </c>
      <c r="H21" s="10"/>
      <c r="I21" s="11">
        <f>SUM(J21:X21)</f>
        <v>4320</v>
      </c>
      <c r="J21" s="8">
        <v>118</v>
      </c>
      <c r="K21" s="8">
        <v>515</v>
      </c>
      <c r="L21" s="8">
        <v>363</v>
      </c>
      <c r="M21" s="8">
        <v>1126</v>
      </c>
      <c r="N21" s="8">
        <v>1083</v>
      </c>
      <c r="O21" s="8">
        <v>343</v>
      </c>
      <c r="P21" s="8">
        <v>606</v>
      </c>
      <c r="Q21" s="8">
        <v>166</v>
      </c>
      <c r="R21" s="8" t="s">
        <v>23</v>
      </c>
      <c r="S21" s="8" t="s">
        <v>23</v>
      </c>
      <c r="T21" s="8" t="s">
        <v>23</v>
      </c>
      <c r="U21" s="8" t="s">
        <v>23</v>
      </c>
      <c r="V21" s="8" t="s">
        <v>23</v>
      </c>
      <c r="W21" s="8" t="s">
        <v>23</v>
      </c>
      <c r="X21" s="8" t="s">
        <v>23</v>
      </c>
    </row>
    <row r="22" spans="1:24" ht="21.75" customHeight="1" outlineLevel="2">
      <c r="A22" s="3" t="s">
        <v>54</v>
      </c>
      <c r="B22" s="3" t="s">
        <v>53</v>
      </c>
      <c r="C22" s="3" t="s">
        <v>36</v>
      </c>
      <c r="D22" s="3" t="s">
        <v>34</v>
      </c>
      <c r="E22" s="3" t="s">
        <v>28</v>
      </c>
      <c r="F22" s="3" t="s">
        <v>24</v>
      </c>
      <c r="G22" s="3" t="s">
        <v>29</v>
      </c>
      <c r="H22" s="10"/>
      <c r="I22" s="11">
        <f>SUM(J22:X22)</f>
        <v>12</v>
      </c>
      <c r="J22" s="8" t="s">
        <v>23</v>
      </c>
      <c r="K22" s="8">
        <v>1</v>
      </c>
      <c r="L22" s="8">
        <v>2</v>
      </c>
      <c r="M22" s="8">
        <v>3</v>
      </c>
      <c r="N22" s="8">
        <v>3</v>
      </c>
      <c r="O22" s="8">
        <v>2</v>
      </c>
      <c r="P22" s="8">
        <v>1</v>
      </c>
      <c r="Q22" s="8" t="s">
        <v>23</v>
      </c>
      <c r="R22" s="8" t="s">
        <v>23</v>
      </c>
      <c r="S22" s="8" t="s">
        <v>23</v>
      </c>
      <c r="T22" s="8" t="s">
        <v>23</v>
      </c>
      <c r="U22" s="8" t="s">
        <v>23</v>
      </c>
      <c r="V22" s="8" t="s">
        <v>23</v>
      </c>
      <c r="W22" s="8" t="s">
        <v>23</v>
      </c>
      <c r="X22" s="8" t="s">
        <v>23</v>
      </c>
    </row>
    <row r="23" spans="1:24" ht="21.75" customHeight="1" outlineLevel="2">
      <c r="A23" s="3" t="s">
        <v>60</v>
      </c>
      <c r="B23" s="3" t="s">
        <v>59</v>
      </c>
      <c r="C23" s="3" t="s">
        <v>36</v>
      </c>
      <c r="D23" s="3" t="s">
        <v>34</v>
      </c>
      <c r="E23" s="3" t="s">
        <v>28</v>
      </c>
      <c r="F23" s="3" t="s">
        <v>24</v>
      </c>
      <c r="G23" s="3" t="s">
        <v>29</v>
      </c>
      <c r="H23" s="10"/>
      <c r="I23" s="11">
        <f>SUM(J23:X23)</f>
        <v>2904</v>
      </c>
      <c r="J23" s="8">
        <v>154</v>
      </c>
      <c r="K23" s="8">
        <v>338</v>
      </c>
      <c r="L23" s="8">
        <v>326</v>
      </c>
      <c r="M23" s="8">
        <v>769</v>
      </c>
      <c r="N23" s="8">
        <v>663</v>
      </c>
      <c r="O23" s="8">
        <v>209</v>
      </c>
      <c r="P23" s="8">
        <v>371</v>
      </c>
      <c r="Q23" s="8">
        <v>74</v>
      </c>
      <c r="R23" s="8" t="s">
        <v>23</v>
      </c>
      <c r="S23" s="8" t="s">
        <v>23</v>
      </c>
      <c r="T23" s="8" t="s">
        <v>23</v>
      </c>
      <c r="U23" s="8" t="s">
        <v>23</v>
      </c>
      <c r="V23" s="8" t="s">
        <v>23</v>
      </c>
      <c r="W23" s="8" t="s">
        <v>23</v>
      </c>
      <c r="X23" s="8" t="s">
        <v>23</v>
      </c>
    </row>
    <row r="24" spans="1:24" ht="21.75" customHeight="1" outlineLevel="1">
      <c r="A24" s="4"/>
      <c r="B24" s="4"/>
      <c r="C24" s="5" t="s">
        <v>73</v>
      </c>
      <c r="D24" s="4"/>
      <c r="E24" s="4"/>
      <c r="F24" s="4"/>
      <c r="G24" s="5"/>
      <c r="H24" s="12"/>
      <c r="I24" s="13">
        <f t="shared" ref="I24:X24" si="4">SUBTOTAL(9,I21:I23)</f>
        <v>7236</v>
      </c>
      <c r="J24" s="9">
        <f t="shared" si="4"/>
        <v>272</v>
      </c>
      <c r="K24" s="9">
        <f t="shared" si="4"/>
        <v>854</v>
      </c>
      <c r="L24" s="9">
        <f t="shared" si="4"/>
        <v>691</v>
      </c>
      <c r="M24" s="9">
        <f t="shared" si="4"/>
        <v>1898</v>
      </c>
      <c r="N24" s="9">
        <f t="shared" si="4"/>
        <v>1749</v>
      </c>
      <c r="O24" s="9">
        <f t="shared" si="4"/>
        <v>554</v>
      </c>
      <c r="P24" s="9">
        <f t="shared" si="4"/>
        <v>978</v>
      </c>
      <c r="Q24" s="9">
        <f t="shared" si="4"/>
        <v>240</v>
      </c>
      <c r="R24" s="9">
        <f t="shared" si="4"/>
        <v>0</v>
      </c>
      <c r="S24" s="9">
        <f t="shared" si="4"/>
        <v>0</v>
      </c>
      <c r="T24" s="9">
        <f t="shared" si="4"/>
        <v>0</v>
      </c>
      <c r="U24" s="9">
        <f t="shared" si="4"/>
        <v>0</v>
      </c>
      <c r="V24" s="9">
        <f t="shared" si="4"/>
        <v>0</v>
      </c>
      <c r="W24" s="9">
        <f t="shared" si="4"/>
        <v>0</v>
      </c>
      <c r="X24" s="9">
        <f t="shared" si="4"/>
        <v>0</v>
      </c>
    </row>
    <row r="25" spans="1:24" ht="21.75" customHeight="1">
      <c r="A25" s="4"/>
      <c r="B25" s="4"/>
      <c r="C25" s="5" t="s">
        <v>74</v>
      </c>
      <c r="D25" s="4"/>
      <c r="E25" s="4"/>
      <c r="F25" s="4"/>
      <c r="G25" s="5"/>
      <c r="H25" s="12"/>
      <c r="I25" s="13">
        <f t="shared" ref="I25:X25" si="5">SUBTOTAL(9,I3:I23)</f>
        <v>51900</v>
      </c>
      <c r="J25" s="9">
        <f t="shared" si="5"/>
        <v>419</v>
      </c>
      <c r="K25" s="9">
        <f t="shared" si="5"/>
        <v>1490</v>
      </c>
      <c r="L25" s="9">
        <f t="shared" si="5"/>
        <v>1154</v>
      </c>
      <c r="M25" s="9">
        <f t="shared" si="5"/>
        <v>5818</v>
      </c>
      <c r="N25" s="9">
        <f t="shared" si="5"/>
        <v>8490</v>
      </c>
      <c r="O25" s="9">
        <f t="shared" si="5"/>
        <v>2949</v>
      </c>
      <c r="P25" s="9">
        <f t="shared" si="5"/>
        <v>10237</v>
      </c>
      <c r="Q25" s="9">
        <f t="shared" si="5"/>
        <v>9070</v>
      </c>
      <c r="R25" s="9">
        <f t="shared" si="5"/>
        <v>2562</v>
      </c>
      <c r="S25" s="9">
        <f t="shared" si="5"/>
        <v>5908</v>
      </c>
      <c r="T25" s="9">
        <f t="shared" si="5"/>
        <v>2784</v>
      </c>
      <c r="U25" s="9">
        <f t="shared" si="5"/>
        <v>0</v>
      </c>
      <c r="V25" s="9">
        <f t="shared" si="5"/>
        <v>848</v>
      </c>
      <c r="W25" s="9">
        <f t="shared" si="5"/>
        <v>0</v>
      </c>
      <c r="X25" s="9">
        <f t="shared" si="5"/>
        <v>171</v>
      </c>
    </row>
  </sheetData>
  <sheetProtection selectLockedCells="1" selectUnlockedCells="1"/>
  <autoFilter ref="A2:X23">
    <sortState ref="A2:X19">
      <sortCondition ref="C2:C19"/>
    </sortState>
  </autoFilter>
  <mergeCells count="1">
    <mergeCell ref="A1:X1"/>
  </mergeCells>
  <printOptions horizontalCentered="1"/>
  <pageMargins left="0" right="0" top="0" bottom="0.5" header="0" footer="0"/>
  <pageSetup paperSize="9" scale="65" firstPageNumber="0" orientation="landscape" horizontalDpi="300" verticalDpi="300" r:id="rId1"/>
  <headerFooter alignWithMargins="0">
    <oddFooter>&amp;LHAI&amp;C&amp;Z&amp;F&amp;R&amp;P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訂購單 (2)</vt:lpstr>
      <vt:lpstr>'訂購單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19031055</dc:creator>
  <cp:lastModifiedBy>Quyen</cp:lastModifiedBy>
  <cp:lastPrinted>2023-12-29T03:13:35Z</cp:lastPrinted>
  <dcterms:created xsi:type="dcterms:W3CDTF">2023-12-18T03:29:07Z</dcterms:created>
  <dcterms:modified xsi:type="dcterms:W3CDTF">2024-01-04T02:44:09Z</dcterms:modified>
</cp:coreProperties>
</file>