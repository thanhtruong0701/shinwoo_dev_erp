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8800" windowHeight="12225"/>
  </bookViews>
  <sheets>
    <sheet name="Sheet1" sheetId="1" r:id="rId1"/>
  </sheets>
  <definedNames>
    <definedName name="_xlnm._FilterDatabase" localSheetId="0" hidden="1">Sheet1!$A$1:$KK$1</definedName>
  </definedName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<sst xmlns="http://schemas.openxmlformats.org/spreadsheetml/2006/main" count="222" uniqueCount="118">
  <si>
    <t>RTA</t>
  </si>
  <si>
    <t>Document Date</t>
  </si>
  <si>
    <t>BUCKET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</si>
  <si>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</si>
  <si>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</si>
  <si>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</si>
  <si>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</si>
  <si>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</si>
  <si>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</si>
  <si>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</si>
  <si>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</si>
  <si>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</si>
  <si>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</si>
  <si>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</si>
  <si>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</si>
  <si>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</si>
  <si>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</si>
  <si>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</si>
  <si>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</si>
  <si>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</si>
  <si>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</si>
  <si>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</si>
  <si>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</si>
  <si>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</si>
  <si>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</si>
  <si>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</si>
  <si>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</si>
  <si>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</si>
  <si>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</si>
  <si>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</si>
  <si>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</si>
  <si>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</si>
  <si>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AIR JORDAN 1 MID</t>
  </si>
  <si>
    <t>MENS</t>
  </si>
  <si>
    <t>SP</t>
  </si>
  <si>
    <t>DQ8426-006</t>
  </si>
  <si>
    <t>AIR JORDAN 1 ZM AIR CMFT 2</t>
  </si>
  <si>
    <t>852542-100</t>
  </si>
  <si>
    <t>AIR JORDAN 1 MID SE</t>
  </si>
  <si>
    <t>6000728472100</t>
  </si>
  <si>
    <t>J06T100</t>
  </si>
  <si>
    <t>China</t>
  </si>
  <si>
    <t>6000728472200</t>
  </si>
  <si>
    <t>J06T101</t>
  </si>
  <si>
    <t>6000728472300</t>
  </si>
  <si>
    <t>J06T102</t>
  </si>
  <si>
    <t>6000728472400</t>
  </si>
  <si>
    <t>J06T103</t>
  </si>
  <si>
    <t>6000728472500</t>
  </si>
  <si>
    <t>J06T104</t>
  </si>
  <si>
    <t>6000728472600</t>
  </si>
  <si>
    <t>J06T105</t>
  </si>
  <si>
    <t>6000761577100</t>
  </si>
  <si>
    <t>J06T890</t>
  </si>
  <si>
    <t>6000761577200</t>
  </si>
  <si>
    <t>J06T891</t>
  </si>
  <si>
    <t>6000801550100</t>
  </si>
  <si>
    <t>J07T495</t>
  </si>
  <si>
    <t>6000801539100</t>
  </si>
  <si>
    <t>J07T477</t>
  </si>
  <si>
    <t>6000801539200</t>
  </si>
  <si>
    <t>J07T478</t>
  </si>
  <si>
    <t>6000801550200</t>
  </si>
  <si>
    <t>J07T496</t>
  </si>
  <si>
    <t>DV1307-120</t>
  </si>
  <si>
    <t>6000728477100</t>
  </si>
  <si>
    <t>J06T180</t>
  </si>
  <si>
    <t>6000728477200</t>
  </si>
  <si>
    <t>J06T181</t>
  </si>
  <si>
    <t>DJ5622-700</t>
  </si>
  <si>
    <t>ZOOM SUPERFLY 9 ACADEMY AG</t>
  </si>
  <si>
    <t>6000728473200</t>
  </si>
  <si>
    <t>J06T188</t>
  </si>
  <si>
    <t>DJ5630-700</t>
  </si>
  <si>
    <t>ZOOM VAPOR 15 ACADEMY AG</t>
  </si>
  <si>
    <t>6000760319100</t>
  </si>
  <si>
    <t>J06T880</t>
  </si>
  <si>
    <t>6000760319200</t>
  </si>
  <si>
    <t>J06T881</t>
  </si>
  <si>
    <t>DJ5635-700</t>
  </si>
  <si>
    <t>ZOOM VAPOR 15 ACADEMY TF</t>
  </si>
  <si>
    <t>6000760321100</t>
  </si>
  <si>
    <t>J06T884</t>
  </si>
  <si>
    <t>DJ5631-700</t>
  </si>
  <si>
    <t>ZOOM VAPOR 15 ACADEMY FG/MG</t>
  </si>
  <si>
    <t>6000760320100</t>
  </si>
  <si>
    <t>J06T882</t>
  </si>
  <si>
    <t>6000760320200</t>
  </si>
  <si>
    <t>J06T883</t>
  </si>
  <si>
    <t>PO FACTORY</t>
  </si>
  <si>
    <t>Material</t>
  </si>
  <si>
    <t>Gender Age</t>
  </si>
  <si>
    <t>PO Number</t>
  </si>
  <si>
    <t>PO Item</t>
  </si>
  <si>
    <t>LOTCODE</t>
  </si>
  <si>
    <t>Total Item Qty</t>
  </si>
  <si>
    <t>OGAC Date</t>
  </si>
  <si>
    <t>GAC Date</t>
  </si>
  <si>
    <t>Plant</t>
  </si>
  <si>
    <t>Planning Season</t>
  </si>
  <si>
    <t>Year</t>
  </si>
  <si>
    <t>0C</t>
  </si>
  <si>
    <t>0.5C</t>
  </si>
  <si>
    <t>1C</t>
  </si>
  <si>
    <t>1.5C</t>
  </si>
  <si>
    <t>2.5C</t>
  </si>
  <si>
    <t>3.5C</t>
  </si>
  <si>
    <t>4.5C</t>
  </si>
  <si>
    <t>5.5C</t>
  </si>
  <si>
    <t>6.5C</t>
  </si>
  <si>
    <t>7.5C</t>
  </si>
  <si>
    <t>8.5C</t>
  </si>
  <si>
    <t>9.5C</t>
  </si>
  <si>
    <t>7.5Y</t>
  </si>
  <si>
    <t>8Y</t>
  </si>
  <si>
    <t>8.5Y</t>
  </si>
  <si>
    <t>9.5Y</t>
  </si>
  <si>
    <t>SLD4684/23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</si>
</sst>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5">
    <font>
      <sz val="11"/>
      <color theme="1"/>
      <name val="Calibri"/>
      <charset val="134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2"/>
      <color rgb="FF000000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3"/>
  <sheetViews>
    <sheetView tabSelected="1" zoomScale="115" zoomScaleNormal="115" workbookViewId="0">
      <pane ySplit="1" topLeftCell="A2" activePane="bottomLeft" state="frozen"/>
      <selection pane="bottomLeft" activeCell="B3" sqref="B3"/>
    </sheetView>
  </sheetViews>
  <sheetFormatPr defaultColWidth="9.1328125" defaultRowHeight="14.25"/>
  <cols>
    <col min="1" max="1" width="11.265625" style="3" customWidth="1"/>
    <col min="2" max="2" width="11.59765625" style="3" bestFit="1" customWidth="1"/>
    <col min="3" max="3" width="11.1328125" style="3" customWidth="1"/>
    <col min="4" max="4" width="23.59765625" style="3" bestFit="1" customWidth="1"/>
    <col min="5" max="5" width="8.86328125" style="3" bestFit="1" customWidth="1"/>
    <col min="6" max="6" width="9.59765625" style="3" bestFit="1" customWidth="1"/>
    <col min="7" max="7" width="6.3984375" style="3" bestFit="1" customWidth="1"/>
    <col min="8" max="8" width="12.1328125" style="3" bestFit="1" customWidth="1"/>
    <col min="9" max="9" width="7.265625" style="3" bestFit="1" customWidth="1"/>
    <col min="10" max="10" width="8.1328125" style="3" bestFit="1" customWidth="1"/>
    <col min="11" max="11" width="7.73046875" style="3" bestFit="1" customWidth="1"/>
    <col min="12" max="13" width="9" style="3" bestFit="1" customWidth="1"/>
    <col min="14" max="14" width="8.73046875" style="3" bestFit="1" customWidth="1"/>
    <col min="15" max="15" width="8.73046875" style="3" customWidth="1"/>
    <col min="16" max="16" width="6.73046875" style="3" bestFit="1" customWidth="1"/>
    <col min="17" max="17" width="8.86328125" style="3" bestFit="1" customWidth="1"/>
    <col min="18" max="18" width="8.1328125" style="3" bestFit="1" customWidth="1"/>
    <col min="19" max="24" width="8.86328125" style="3" customWidth="1"/>
    <col min="25" max="16384" width="9.1328125" style="3"/>
  </cols>
  <sheetData>
    <row r="1" spans="1:112" ht="21">
      <c r="A1" s="1" t="s">
        <v>1</v>
      </c>
      <c r="B1" s="1" t="s">
        <v>89</v>
      </c>
      <c r="C1" s="1" t="s">
        <v>90</v>
      </c>
      <c r="D1" s="1" t="s">
        <v>90</v>
      </c>
      <c r="E1" s="1" t="s">
        <v>91</v>
      </c>
      <c r="F1" s="1" t="s">
        <v>92</v>
      </c>
      <c r="G1" s="1" t="s">
        <v>93</v>
      </c>
      <c r="H1" s="1"/>
      <c r="I1" s="1" t="s">
        <v>94</v>
      </c>
      <c r="J1" s="1" t="s">
        <v>2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98</v>
      </c>
      <c r="P1" s="1" t="s">
        <v>99</v>
      </c>
      <c r="Q1" s="1" t="s">
        <v>100</v>
      </c>
      <c r="R1" s="1" t="s">
        <v>0</v>
      </c>
      <c r="S1" s="2">
        <v>0.5</v>
      </c>
      <c r="T1" s="2">
        <v>1</v>
      </c>
      <c r="U1" s="2">
        <v>1.5</v>
      </c>
      <c r="V1" s="2">
        <v>2</v>
      </c>
      <c r="W1" s="2">
        <v>2.5</v>
      </c>
      <c r="X1" s="2">
        <v>3</v>
      </c>
      <c r="Y1" s="2">
        <v>3.5</v>
      </c>
      <c r="Z1" s="2">
        <v>4</v>
      </c>
      <c r="AA1" s="2">
        <v>4.5</v>
      </c>
      <c r="AB1" s="2">
        <v>5</v>
      </c>
      <c r="AC1" s="2">
        <v>5.5</v>
      </c>
      <c r="AD1" s="2">
        <v>6</v>
      </c>
      <c r="AE1" s="2">
        <v>6.5</v>
      </c>
      <c r="AF1" s="2">
        <v>7</v>
      </c>
      <c r="AG1" s="2">
        <v>7.5</v>
      </c>
      <c r="AH1" s="2">
        <v>8</v>
      </c>
      <c r="AI1" s="2">
        <v>8.5</v>
      </c>
      <c r="AJ1" s="2">
        <v>9</v>
      </c>
      <c r="AK1" s="2">
        <v>9.5</v>
      </c>
      <c r="AL1" s="2">
        <v>10</v>
      </c>
      <c r="AM1" s="2">
        <v>10.5</v>
      </c>
      <c r="AN1" s="2">
        <v>11</v>
      </c>
      <c r="AO1" s="2">
        <v>11.5</v>
      </c>
      <c r="AP1" s="2">
        <v>12</v>
      </c>
      <c r="AQ1" s="2">
        <v>12.5</v>
      </c>
      <c r="AR1" s="2">
        <v>13</v>
      </c>
      <c r="AS1" s="2">
        <v>13.5</v>
      </c>
      <c r="AT1" s="2">
        <v>14</v>
      </c>
      <c r="AU1" s="2">
        <v>14.5</v>
      </c>
      <c r="AV1" s="2">
        <v>15</v>
      </c>
      <c r="AW1" s="2">
        <v>15.5</v>
      </c>
      <c r="AX1" s="2">
        <v>16</v>
      </c>
      <c r="AY1" s="2">
        <v>16.5</v>
      </c>
      <c r="AZ1" s="2">
        <v>17</v>
      </c>
      <c r="BA1" s="2">
        <v>17.5</v>
      </c>
      <c r="BB1" s="2">
        <v>18</v>
      </c>
      <c r="BC1" s="2">
        <v>18.5</v>
      </c>
      <c r="BD1" s="2">
        <v>19</v>
      </c>
      <c r="BE1" s="2">
        <v>19.5</v>
      </c>
      <c r="BF1" s="2">
        <v>20</v>
      </c>
      <c r="BG1" s="2">
        <v>20.5</v>
      </c>
      <c r="BH1" s="2">
        <v>21</v>
      </c>
      <c r="BI1" s="2">
        <v>21.5</v>
      </c>
      <c r="BJ1" s="2">
        <v>22</v>
      </c>
      <c r="BK1" s="2">
        <v>22.5</v>
      </c>
      <c r="BL1" s="2">
        <v>23</v>
      </c>
      <c r="BM1" s="2">
        <v>23.5</v>
      </c>
      <c r="BN1" s="2">
        <v>24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3</v>
      </c>
      <c r="BT1" s="2" t="s">
        <v>105</v>
      </c>
      <c r="BU1" s="2" t="s">
        <v>4</v>
      </c>
      <c r="BV1" s="2" t="s">
        <v>106</v>
      </c>
      <c r="BW1" s="2" t="s">
        <v>5</v>
      </c>
      <c r="BX1" s="2" t="s">
        <v>107</v>
      </c>
      <c r="BY1" s="2" t="s">
        <v>6</v>
      </c>
      <c r="BZ1" s="2" t="s">
        <v>108</v>
      </c>
      <c r="CA1" s="2" t="s">
        <v>7</v>
      </c>
      <c r="CB1" s="2" t="s">
        <v>109</v>
      </c>
      <c r="CC1" s="2" t="s">
        <v>8</v>
      </c>
      <c r="CD1" s="2" t="s">
        <v>110</v>
      </c>
      <c r="CE1" s="2" t="s">
        <v>9</v>
      </c>
      <c r="CF1" s="2" t="s">
        <v>111</v>
      </c>
      <c r="CG1" s="2" t="s">
        <v>10</v>
      </c>
      <c r="CH1" s="2" t="s">
        <v>112</v>
      </c>
      <c r="CI1" s="2" t="s">
        <v>11</v>
      </c>
      <c r="CJ1" s="2" t="s">
        <v>12</v>
      </c>
      <c r="CK1" s="2" t="s">
        <v>13</v>
      </c>
      <c r="CL1" s="2" t="s">
        <v>14</v>
      </c>
      <c r="CM1" s="2" t="s">
        <v>15</v>
      </c>
      <c r="CN1" s="2" t="s">
        <v>16</v>
      </c>
      <c r="CO1" s="2" t="s">
        <v>17</v>
      </c>
      <c r="CP1" s="2" t="s">
        <v>18</v>
      </c>
      <c r="CQ1" s="2" t="s">
        <v>19</v>
      </c>
      <c r="CR1" s="2" t="s">
        <v>20</v>
      </c>
      <c r="CS1" s="2" t="s">
        <v>21</v>
      </c>
      <c r="CT1" s="2" t="s">
        <v>22</v>
      </c>
      <c r="CU1" s="2" t="s">
        <v>23</v>
      </c>
      <c r="CV1" s="2" t="s">
        <v>24</v>
      </c>
      <c r="CW1" s="2" t="s">
        <v>25</v>
      </c>
      <c r="CX1" s="2" t="s">
        <v>26</v>
      </c>
      <c r="CY1" s="2" t="s">
        <v>27</v>
      </c>
      <c r="CZ1" s="2" t="s">
        <v>28</v>
      </c>
      <c r="DA1" s="2" t="s">
        <v>29</v>
      </c>
      <c r="DB1" s="2" t="s">
        <v>30</v>
      </c>
      <c r="DC1" s="2" t="s">
        <v>31</v>
      </c>
      <c r="DD1" s="2" t="s">
        <v>113</v>
      </c>
      <c r="DE1" s="2" t="s">
        <v>114</v>
      </c>
      <c r="DF1" s="2" t="s">
        <v>115</v>
      </c>
      <c r="DG1" s="2">
        <v>9</v>
      </c>
      <c r="DH1" s="2" t="s">
        <v>116</v>
      </c>
    </row>
    <row r="2" spans="1:112">
      <c r="A2" s="5">
        <v>45091</v>
      </c>
      <c r="B2" s="4" t="s">
        <v>117</v>
      </c>
      <c r="C2" s="6" t="s">
        <v>37</v>
      </c>
      <c r="D2" s="6" t="s">
        <v>38</v>
      </c>
      <c r="E2" s="6" t="s">
        <v>33</v>
      </c>
      <c r="F2" s="6">
        <v>6000728472</v>
      </c>
      <c r="G2" s="6">
        <v>100</v>
      </c>
      <c r="H2" s="6" t="s">
        <v>39</v>
      </c>
      <c r="I2" s="6" t="s">
        <v>40</v>
      </c>
      <c r="J2" s="7">
        <v>45187</v>
      </c>
      <c r="K2" s="6">
        <f>SUM(S2:DH2)</f>
        <v>6938</v>
      </c>
      <c r="L2" s="5">
        <v>45199</v>
      </c>
      <c r="M2" s="5">
        <v>45199</v>
      </c>
      <c r="N2" s="6" t="s">
        <v>41</v>
      </c>
      <c r="O2" s="6"/>
      <c r="P2" s="6" t="s">
        <v>34</v>
      </c>
      <c r="Q2" s="6">
        <v>2024</v>
      </c>
      <c r="R2" s="7">
        <v>45159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>
        <v>402</v>
      </c>
      <c r="AG2" s="6">
        <v>527</v>
      </c>
      <c r="AH2" s="6">
        <v>1194</v>
      </c>
      <c r="AI2" s="6">
        <v>1347</v>
      </c>
      <c r="AJ2" s="6">
        <v>1187</v>
      </c>
      <c r="AK2" s="6">
        <v>1146</v>
      </c>
      <c r="AL2" s="6">
        <v>687</v>
      </c>
      <c r="AM2" s="6">
        <v>229</v>
      </c>
      <c r="AN2" s="6">
        <v>159</v>
      </c>
      <c r="AO2" s="6">
        <v>6</v>
      </c>
      <c r="AP2" s="6">
        <v>48</v>
      </c>
      <c r="AQ2" s="6"/>
      <c r="AR2" s="6">
        <v>6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</row>
    <row r="3" spans="1:112">
      <c r="A3" s="5">
        <v>45091</v>
      </c>
      <c r="B3" s="8" t="s">
        <v>117</v>
      </c>
      <c r="C3" s="6" t="s">
        <v>37</v>
      </c>
      <c r="D3" s="6" t="s">
        <v>38</v>
      </c>
      <c r="E3" s="6" t="s">
        <v>33</v>
      </c>
      <c r="F3" s="6">
        <v>6000728472</v>
      </c>
      <c r="G3" s="6">
        <v>200</v>
      </c>
      <c r="H3" s="6" t="s">
        <v>42</v>
      </c>
      <c r="I3" s="6" t="s">
        <v>43</v>
      </c>
      <c r="J3" s="7">
        <v>45187</v>
      </c>
      <c r="K3" s="6">
        <f t="shared" ref="K3:K21" si="0">SUM(S3:DH3)</f>
        <v>6938</v>
      </c>
      <c r="L3" s="5">
        <v>45199</v>
      </c>
      <c r="M3" s="5">
        <v>45199</v>
      </c>
      <c r="N3" s="6" t="s">
        <v>41</v>
      </c>
      <c r="O3" s="6"/>
      <c r="P3" s="6" t="s">
        <v>34</v>
      </c>
      <c r="Q3" s="6">
        <v>2024</v>
      </c>
      <c r="R3" s="7">
        <v>45159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>
        <v>402</v>
      </c>
      <c r="AG3" s="6">
        <v>527</v>
      </c>
      <c r="AH3" s="6">
        <v>1194</v>
      </c>
      <c r="AI3" s="6">
        <v>1347</v>
      </c>
      <c r="AJ3" s="6">
        <v>1187</v>
      </c>
      <c r="AK3" s="6">
        <v>1146</v>
      </c>
      <c r="AL3" s="6">
        <v>687</v>
      </c>
      <c r="AM3" s="6">
        <v>229</v>
      </c>
      <c r="AN3" s="6">
        <v>159</v>
      </c>
      <c r="AO3" s="6">
        <v>6</v>
      </c>
      <c r="AP3" s="6">
        <v>48</v>
      </c>
      <c r="AQ3" s="6"/>
      <c r="AR3" s="6">
        <v>6</v>
      </c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</row>
    <row r="4" spans="1:112">
      <c r="A4" s="5">
        <v>45091</v>
      </c>
      <c r="B4" s="8" t="s">
        <v>117</v>
      </c>
      <c r="C4" s="6" t="s">
        <v>37</v>
      </c>
      <c r="D4" s="6" t="s">
        <v>38</v>
      </c>
      <c r="E4" s="6" t="s">
        <v>33</v>
      </c>
      <c r="F4" s="6">
        <v>6000728472</v>
      </c>
      <c r="G4" s="6">
        <v>300</v>
      </c>
      <c r="H4" s="6" t="s">
        <v>44</v>
      </c>
      <c r="I4" s="6" t="s">
        <v>45</v>
      </c>
      <c r="J4" s="7">
        <v>45187</v>
      </c>
      <c r="K4" s="6">
        <f t="shared" si="0"/>
        <v>6938</v>
      </c>
      <c r="L4" s="5">
        <v>45199</v>
      </c>
      <c r="M4" s="5">
        <v>45199</v>
      </c>
      <c r="N4" s="6" t="s">
        <v>41</v>
      </c>
      <c r="O4" s="6"/>
      <c r="P4" s="6" t="s">
        <v>34</v>
      </c>
      <c r="Q4" s="6">
        <v>2024</v>
      </c>
      <c r="R4" s="7">
        <v>45159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>
        <v>402</v>
      </c>
      <c r="AG4" s="6">
        <v>527</v>
      </c>
      <c r="AH4" s="6">
        <v>1194</v>
      </c>
      <c r="AI4" s="6">
        <v>1347</v>
      </c>
      <c r="AJ4" s="6">
        <v>1187</v>
      </c>
      <c r="AK4" s="6">
        <v>1146</v>
      </c>
      <c r="AL4" s="6">
        <v>687</v>
      </c>
      <c r="AM4" s="6">
        <v>229</v>
      </c>
      <c r="AN4" s="6">
        <v>159</v>
      </c>
      <c r="AO4" s="6">
        <v>6</v>
      </c>
      <c r="AP4" s="6">
        <v>48</v>
      </c>
      <c r="AQ4" s="6"/>
      <c r="AR4" s="6">
        <v>6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>
      <c r="A5" s="5">
        <v>45091</v>
      </c>
      <c r="B5" s="8" t="s">
        <v>117</v>
      </c>
      <c r="C5" s="6" t="s">
        <v>37</v>
      </c>
      <c r="D5" s="6" t="s">
        <v>38</v>
      </c>
      <c r="E5" s="6" t="s">
        <v>33</v>
      </c>
      <c r="F5" s="6">
        <v>6000728472</v>
      </c>
      <c r="G5" s="6">
        <v>400</v>
      </c>
      <c r="H5" s="6" t="s">
        <v>46</v>
      </c>
      <c r="I5" s="6" t="s">
        <v>47</v>
      </c>
      <c r="J5" s="7">
        <v>45187</v>
      </c>
      <c r="K5" s="6">
        <f t="shared" si="0"/>
        <v>6938</v>
      </c>
      <c r="L5" s="5">
        <v>45199</v>
      </c>
      <c r="M5" s="5">
        <v>45199</v>
      </c>
      <c r="N5" s="6" t="s">
        <v>41</v>
      </c>
      <c r="O5" s="6"/>
      <c r="P5" s="6" t="s">
        <v>34</v>
      </c>
      <c r="Q5" s="6">
        <v>2024</v>
      </c>
      <c r="R5" s="7">
        <v>45159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>
        <v>402</v>
      </c>
      <c r="AG5" s="6">
        <v>527</v>
      </c>
      <c r="AH5" s="6">
        <v>1194</v>
      </c>
      <c r="AI5" s="6">
        <v>1347</v>
      </c>
      <c r="AJ5" s="6">
        <v>1187</v>
      </c>
      <c r="AK5" s="6">
        <v>1146</v>
      </c>
      <c r="AL5" s="6">
        <v>687</v>
      </c>
      <c r="AM5" s="6">
        <v>229</v>
      </c>
      <c r="AN5" s="6">
        <v>159</v>
      </c>
      <c r="AO5" s="6">
        <v>6</v>
      </c>
      <c r="AP5" s="6">
        <v>48</v>
      </c>
      <c r="AQ5" s="6"/>
      <c r="AR5" s="6">
        <v>6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>
      <c r="A6" s="5">
        <v>45091</v>
      </c>
      <c r="B6" s="8" t="s">
        <v>117</v>
      </c>
      <c r="C6" s="6" t="s">
        <v>37</v>
      </c>
      <c r="D6" s="6" t="s">
        <v>38</v>
      </c>
      <c r="E6" s="6" t="s">
        <v>33</v>
      </c>
      <c r="F6" s="6">
        <v>6000728472</v>
      </c>
      <c r="G6" s="6">
        <v>500</v>
      </c>
      <c r="H6" s="6" t="s">
        <v>48</v>
      </c>
      <c r="I6" s="6" t="s">
        <v>49</v>
      </c>
      <c r="J6" s="7">
        <v>45187</v>
      </c>
      <c r="K6" s="6">
        <f t="shared" si="0"/>
        <v>6938</v>
      </c>
      <c r="L6" s="5">
        <v>45199</v>
      </c>
      <c r="M6" s="5">
        <v>45199</v>
      </c>
      <c r="N6" s="6" t="s">
        <v>41</v>
      </c>
      <c r="O6" s="6"/>
      <c r="P6" s="6" t="s">
        <v>34</v>
      </c>
      <c r="Q6" s="6">
        <v>2024</v>
      </c>
      <c r="R6" s="7">
        <v>45159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402</v>
      </c>
      <c r="AG6" s="6">
        <v>527</v>
      </c>
      <c r="AH6" s="6">
        <v>1194</v>
      </c>
      <c r="AI6" s="6">
        <v>1347</v>
      </c>
      <c r="AJ6" s="6">
        <v>1187</v>
      </c>
      <c r="AK6" s="6">
        <v>1146</v>
      </c>
      <c r="AL6" s="6">
        <v>687</v>
      </c>
      <c r="AM6" s="6">
        <v>229</v>
      </c>
      <c r="AN6" s="6">
        <v>159</v>
      </c>
      <c r="AO6" s="6">
        <v>6</v>
      </c>
      <c r="AP6" s="6">
        <v>48</v>
      </c>
      <c r="AQ6" s="6"/>
      <c r="AR6" s="6">
        <v>6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>
      <c r="A7" s="5">
        <v>45091</v>
      </c>
      <c r="B7" s="8" t="s">
        <v>117</v>
      </c>
      <c r="C7" s="6" t="s">
        <v>37</v>
      </c>
      <c r="D7" s="6" t="s">
        <v>38</v>
      </c>
      <c r="E7" s="6" t="s">
        <v>33</v>
      </c>
      <c r="F7" s="6">
        <v>6000728472</v>
      </c>
      <c r="G7" s="6">
        <v>600</v>
      </c>
      <c r="H7" s="6" t="s">
        <v>50</v>
      </c>
      <c r="I7" s="6" t="s">
        <v>51</v>
      </c>
      <c r="J7" s="7">
        <v>45187</v>
      </c>
      <c r="K7" s="6">
        <f t="shared" si="0"/>
        <v>6938</v>
      </c>
      <c r="L7" s="5">
        <v>45199</v>
      </c>
      <c r="M7" s="5">
        <v>45199</v>
      </c>
      <c r="N7" s="6" t="s">
        <v>41</v>
      </c>
      <c r="O7" s="6"/>
      <c r="P7" s="6" t="s">
        <v>34</v>
      </c>
      <c r="Q7" s="6">
        <v>2024</v>
      </c>
      <c r="R7" s="7">
        <v>45159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402</v>
      </c>
      <c r="AG7" s="6">
        <v>527</v>
      </c>
      <c r="AH7" s="6">
        <v>1194</v>
      </c>
      <c r="AI7" s="6">
        <v>1347</v>
      </c>
      <c r="AJ7" s="6">
        <v>1187</v>
      </c>
      <c r="AK7" s="6">
        <v>1146</v>
      </c>
      <c r="AL7" s="6">
        <v>687</v>
      </c>
      <c r="AM7" s="6">
        <v>229</v>
      </c>
      <c r="AN7" s="6">
        <v>159</v>
      </c>
      <c r="AO7" s="6">
        <v>6</v>
      </c>
      <c r="AP7" s="6">
        <v>48</v>
      </c>
      <c r="AQ7" s="6"/>
      <c r="AR7" s="6">
        <v>6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>
      <c r="A8" s="5">
        <v>45106</v>
      </c>
      <c r="B8" s="8" t="s">
        <v>117</v>
      </c>
      <c r="C8" s="6" t="s">
        <v>35</v>
      </c>
      <c r="D8" s="6" t="s">
        <v>32</v>
      </c>
      <c r="E8" s="6" t="s">
        <v>33</v>
      </c>
      <c r="F8" s="6">
        <v>6000761577</v>
      </c>
      <c r="G8" s="6">
        <v>100</v>
      </c>
      <c r="H8" s="6" t="s">
        <v>52</v>
      </c>
      <c r="I8" s="6" t="s">
        <v>53</v>
      </c>
      <c r="J8" s="7">
        <v>45173</v>
      </c>
      <c r="K8" s="6">
        <f t="shared" si="0"/>
        <v>7879</v>
      </c>
      <c r="L8" s="5">
        <v>45192</v>
      </c>
      <c r="M8" s="5">
        <v>45192</v>
      </c>
      <c r="N8" s="6" t="s">
        <v>41</v>
      </c>
      <c r="O8" s="6"/>
      <c r="P8" s="6" t="s">
        <v>34</v>
      </c>
      <c r="Q8" s="6">
        <v>2024</v>
      </c>
      <c r="R8" s="7">
        <v>45159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>
        <v>552</v>
      </c>
      <c r="AG8" s="6">
        <v>709</v>
      </c>
      <c r="AH8" s="6">
        <v>1339</v>
      </c>
      <c r="AI8" s="6">
        <v>1418</v>
      </c>
      <c r="AJ8" s="6">
        <v>1260</v>
      </c>
      <c r="AK8" s="6">
        <v>1261</v>
      </c>
      <c r="AL8" s="6">
        <v>788</v>
      </c>
      <c r="AM8" s="6">
        <v>315</v>
      </c>
      <c r="AN8" s="6">
        <v>158</v>
      </c>
      <c r="AO8" s="6"/>
      <c r="AP8" s="6">
        <v>79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>
      <c r="A9" s="5">
        <v>45106</v>
      </c>
      <c r="B9" s="8" t="s">
        <v>117</v>
      </c>
      <c r="C9" s="6" t="s">
        <v>35</v>
      </c>
      <c r="D9" s="6" t="s">
        <v>32</v>
      </c>
      <c r="E9" s="6" t="s">
        <v>33</v>
      </c>
      <c r="F9" s="6">
        <v>6000761577</v>
      </c>
      <c r="G9" s="6">
        <v>200</v>
      </c>
      <c r="H9" s="6" t="s">
        <v>54</v>
      </c>
      <c r="I9" s="6" t="s">
        <v>55</v>
      </c>
      <c r="J9" s="7">
        <v>45173</v>
      </c>
      <c r="K9" s="6">
        <f t="shared" si="0"/>
        <v>7879</v>
      </c>
      <c r="L9" s="5">
        <v>45192</v>
      </c>
      <c r="M9" s="5">
        <v>45192</v>
      </c>
      <c r="N9" s="6" t="s">
        <v>41</v>
      </c>
      <c r="O9" s="6"/>
      <c r="P9" s="6" t="s">
        <v>34</v>
      </c>
      <c r="Q9" s="6">
        <v>2024</v>
      </c>
      <c r="R9" s="7">
        <v>45159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552</v>
      </c>
      <c r="AG9" s="6">
        <v>709</v>
      </c>
      <c r="AH9" s="6">
        <v>1339</v>
      </c>
      <c r="AI9" s="6">
        <v>1418</v>
      </c>
      <c r="AJ9" s="6">
        <v>1260</v>
      </c>
      <c r="AK9" s="6">
        <v>1261</v>
      </c>
      <c r="AL9" s="6">
        <v>788</v>
      </c>
      <c r="AM9" s="6">
        <v>315</v>
      </c>
      <c r="AN9" s="6">
        <v>158</v>
      </c>
      <c r="AO9" s="6"/>
      <c r="AP9" s="6">
        <v>79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>
      <c r="A10" s="5">
        <v>45126</v>
      </c>
      <c r="B10" s="8" t="s">
        <v>117</v>
      </c>
      <c r="C10" s="6" t="s">
        <v>35</v>
      </c>
      <c r="D10" s="6" t="s">
        <v>32</v>
      </c>
      <c r="E10" s="6" t="s">
        <v>33</v>
      </c>
      <c r="F10" s="6">
        <v>6000801550</v>
      </c>
      <c r="G10" s="6">
        <v>100</v>
      </c>
      <c r="H10" s="6" t="s">
        <v>56</v>
      </c>
      <c r="I10" s="6" t="s">
        <v>57</v>
      </c>
      <c r="J10" s="7">
        <v>45173</v>
      </c>
      <c r="K10" s="6">
        <f t="shared" si="0"/>
        <v>145</v>
      </c>
      <c r="L10" s="5">
        <v>45213</v>
      </c>
      <c r="M10" s="5">
        <v>45213</v>
      </c>
      <c r="N10" s="6" t="s">
        <v>41</v>
      </c>
      <c r="O10" s="6"/>
      <c r="P10" s="6" t="s">
        <v>34</v>
      </c>
      <c r="Q10" s="6">
        <v>2024</v>
      </c>
      <c r="R10" s="7">
        <v>45159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6</v>
      </c>
      <c r="AG10" s="6">
        <v>12</v>
      </c>
      <c r="AH10" s="6">
        <v>28</v>
      </c>
      <c r="AI10" s="6">
        <v>24</v>
      </c>
      <c r="AJ10" s="6">
        <v>21</v>
      </c>
      <c r="AK10" s="6">
        <v>19</v>
      </c>
      <c r="AL10" s="6">
        <v>13</v>
      </c>
      <c r="AM10" s="6">
        <v>8</v>
      </c>
      <c r="AN10" s="6">
        <v>6</v>
      </c>
      <c r="AO10" s="6"/>
      <c r="AP10" s="6">
        <v>5</v>
      </c>
      <c r="AQ10" s="6"/>
      <c r="AR10" s="6">
        <v>3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>
      <c r="A11" s="5">
        <v>45126</v>
      </c>
      <c r="B11" s="8" t="s">
        <v>117</v>
      </c>
      <c r="C11" s="6" t="s">
        <v>35</v>
      </c>
      <c r="D11" s="6" t="s">
        <v>32</v>
      </c>
      <c r="E11" s="6" t="s">
        <v>33</v>
      </c>
      <c r="F11" s="6">
        <v>6000801539</v>
      </c>
      <c r="G11" s="6">
        <v>100</v>
      </c>
      <c r="H11" s="6" t="s">
        <v>58</v>
      </c>
      <c r="I11" s="6" t="s">
        <v>59</v>
      </c>
      <c r="J11" s="7">
        <v>45173</v>
      </c>
      <c r="K11" s="6">
        <f t="shared" si="0"/>
        <v>6972</v>
      </c>
      <c r="L11" s="5">
        <v>45220</v>
      </c>
      <c r="M11" s="5">
        <v>45220</v>
      </c>
      <c r="N11" s="6" t="s">
        <v>41</v>
      </c>
      <c r="O11" s="6"/>
      <c r="P11" s="6" t="s">
        <v>34</v>
      </c>
      <c r="Q11" s="6">
        <v>2024</v>
      </c>
      <c r="R11" s="7">
        <v>45159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357</v>
      </c>
      <c r="AG11" s="6">
        <v>606</v>
      </c>
      <c r="AH11" s="6">
        <v>1042</v>
      </c>
      <c r="AI11" s="6">
        <v>1239</v>
      </c>
      <c r="AJ11" s="6">
        <v>1141</v>
      </c>
      <c r="AK11" s="6">
        <v>1141</v>
      </c>
      <c r="AL11" s="6">
        <v>703</v>
      </c>
      <c r="AM11" s="6">
        <v>407</v>
      </c>
      <c r="AN11" s="6">
        <v>307</v>
      </c>
      <c r="AO11" s="6">
        <v>10</v>
      </c>
      <c r="AP11" s="6">
        <v>6</v>
      </c>
      <c r="AQ11" s="6"/>
      <c r="AR11" s="6">
        <v>13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>
      <c r="A12" s="5">
        <v>45126</v>
      </c>
      <c r="B12" s="8" t="s">
        <v>117</v>
      </c>
      <c r="C12" s="6" t="s">
        <v>35</v>
      </c>
      <c r="D12" s="6" t="s">
        <v>32</v>
      </c>
      <c r="E12" s="6" t="s">
        <v>33</v>
      </c>
      <c r="F12" s="6">
        <v>6000801539</v>
      </c>
      <c r="G12" s="6">
        <v>200</v>
      </c>
      <c r="H12" s="6" t="s">
        <v>60</v>
      </c>
      <c r="I12" s="6" t="s">
        <v>61</v>
      </c>
      <c r="J12" s="7">
        <v>45173</v>
      </c>
      <c r="K12" s="6">
        <f t="shared" si="0"/>
        <v>1971</v>
      </c>
      <c r="L12" s="5">
        <v>45220</v>
      </c>
      <c r="M12" s="5">
        <v>45220</v>
      </c>
      <c r="N12" s="6" t="s">
        <v>41</v>
      </c>
      <c r="O12" s="6"/>
      <c r="P12" s="6" t="s">
        <v>34</v>
      </c>
      <c r="Q12" s="6">
        <v>2024</v>
      </c>
      <c r="R12" s="7">
        <v>45159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101</v>
      </c>
      <c r="AG12" s="6">
        <v>171</v>
      </c>
      <c r="AH12" s="6">
        <v>294</v>
      </c>
      <c r="AI12" s="6">
        <v>350</v>
      </c>
      <c r="AJ12" s="6">
        <v>322</v>
      </c>
      <c r="AK12" s="6">
        <v>322</v>
      </c>
      <c r="AL12" s="6">
        <v>199</v>
      </c>
      <c r="AM12" s="6">
        <v>115</v>
      </c>
      <c r="AN12" s="6">
        <v>87</v>
      </c>
      <c r="AO12" s="6">
        <v>4</v>
      </c>
      <c r="AP12" s="6">
        <v>2</v>
      </c>
      <c r="AQ12" s="6"/>
      <c r="AR12" s="6">
        <v>4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>
      <c r="A13" s="5">
        <v>45126</v>
      </c>
      <c r="B13" s="8" t="s">
        <v>117</v>
      </c>
      <c r="C13" s="6" t="s">
        <v>35</v>
      </c>
      <c r="D13" s="6" t="s">
        <v>32</v>
      </c>
      <c r="E13" s="6" t="s">
        <v>33</v>
      </c>
      <c r="F13" s="6">
        <v>6000801550</v>
      </c>
      <c r="G13" s="6">
        <v>200</v>
      </c>
      <c r="H13" s="6" t="s">
        <v>62</v>
      </c>
      <c r="I13" s="6" t="s">
        <v>63</v>
      </c>
      <c r="J13" s="7">
        <v>45173</v>
      </c>
      <c r="K13" s="6">
        <f t="shared" si="0"/>
        <v>3846</v>
      </c>
      <c r="L13" s="5">
        <v>45220</v>
      </c>
      <c r="M13" s="5">
        <v>45220</v>
      </c>
      <c r="N13" s="6" t="s">
        <v>41</v>
      </c>
      <c r="O13" s="6"/>
      <c r="P13" s="6" t="s">
        <v>34</v>
      </c>
      <c r="Q13" s="6">
        <v>2024</v>
      </c>
      <c r="R13" s="7">
        <v>45159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154</v>
      </c>
      <c r="AG13" s="6">
        <v>307</v>
      </c>
      <c r="AH13" s="6">
        <v>751</v>
      </c>
      <c r="AI13" s="6">
        <v>654</v>
      </c>
      <c r="AJ13" s="6">
        <v>577</v>
      </c>
      <c r="AK13" s="6">
        <v>500</v>
      </c>
      <c r="AL13" s="6">
        <v>346</v>
      </c>
      <c r="AM13" s="6">
        <v>192</v>
      </c>
      <c r="AN13" s="6">
        <v>173</v>
      </c>
      <c r="AO13" s="6"/>
      <c r="AP13" s="6">
        <v>115</v>
      </c>
      <c r="AQ13" s="6"/>
      <c r="AR13" s="6">
        <v>77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>
      <c r="A14" s="5">
        <v>45091</v>
      </c>
      <c r="B14" s="8" t="s">
        <v>117</v>
      </c>
      <c r="C14" s="6" t="s">
        <v>64</v>
      </c>
      <c r="D14" s="6" t="s">
        <v>36</v>
      </c>
      <c r="E14" s="6" t="s">
        <v>33</v>
      </c>
      <c r="F14" s="6">
        <v>6000728477</v>
      </c>
      <c r="G14" s="6">
        <v>100</v>
      </c>
      <c r="H14" s="6" t="s">
        <v>65</v>
      </c>
      <c r="I14" s="6" t="s">
        <v>66</v>
      </c>
      <c r="J14" s="7">
        <v>45187</v>
      </c>
      <c r="K14" s="6">
        <f t="shared" si="0"/>
        <v>1013</v>
      </c>
      <c r="L14" s="5">
        <v>45206</v>
      </c>
      <c r="M14" s="5">
        <v>45206</v>
      </c>
      <c r="N14" s="6" t="s">
        <v>41</v>
      </c>
      <c r="O14" s="6"/>
      <c r="P14" s="6" t="s">
        <v>34</v>
      </c>
      <c r="Q14" s="6">
        <v>2024</v>
      </c>
      <c r="R14" s="7">
        <v>45159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49</v>
      </c>
      <c r="AG14" s="6">
        <v>67</v>
      </c>
      <c r="AH14" s="6">
        <v>155</v>
      </c>
      <c r="AI14" s="6">
        <v>215</v>
      </c>
      <c r="AJ14" s="6">
        <v>197</v>
      </c>
      <c r="AK14" s="6">
        <v>188</v>
      </c>
      <c r="AL14" s="6">
        <v>92</v>
      </c>
      <c r="AM14" s="6">
        <v>25</v>
      </c>
      <c r="AN14" s="6">
        <v>19</v>
      </c>
      <c r="AO14" s="6"/>
      <c r="AP14" s="6">
        <v>6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>
      <c r="A15" s="5">
        <v>45091</v>
      </c>
      <c r="B15" s="8" t="s">
        <v>117</v>
      </c>
      <c r="C15" s="6" t="s">
        <v>64</v>
      </c>
      <c r="D15" s="6" t="s">
        <v>36</v>
      </c>
      <c r="E15" s="6" t="s">
        <v>33</v>
      </c>
      <c r="F15" s="6">
        <v>6000728477</v>
      </c>
      <c r="G15" s="6">
        <v>200</v>
      </c>
      <c r="H15" s="6" t="s">
        <v>67</v>
      </c>
      <c r="I15" s="6" t="s">
        <v>68</v>
      </c>
      <c r="J15" s="7">
        <v>45187</v>
      </c>
      <c r="K15" s="6">
        <f t="shared" si="0"/>
        <v>1628</v>
      </c>
      <c r="L15" s="5">
        <v>45213</v>
      </c>
      <c r="M15" s="5">
        <v>45213</v>
      </c>
      <c r="N15" s="6" t="s">
        <v>41</v>
      </c>
      <c r="O15" s="6"/>
      <c r="P15" s="6" t="s">
        <v>34</v>
      </c>
      <c r="Q15" s="6">
        <v>2024</v>
      </c>
      <c r="R15" s="7">
        <v>45159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>
        <v>78</v>
      </c>
      <c r="AG15" s="6">
        <v>108</v>
      </c>
      <c r="AH15" s="6">
        <v>249</v>
      </c>
      <c r="AI15" s="6">
        <v>345</v>
      </c>
      <c r="AJ15" s="6">
        <v>315</v>
      </c>
      <c r="AK15" s="6">
        <v>303</v>
      </c>
      <c r="AL15" s="6">
        <v>148</v>
      </c>
      <c r="AM15" s="6">
        <v>41</v>
      </c>
      <c r="AN15" s="6">
        <v>31</v>
      </c>
      <c r="AO15" s="6"/>
      <c r="AP15" s="6">
        <v>10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>
      <c r="A16" s="5">
        <v>45091</v>
      </c>
      <c r="B16" s="8" t="s">
        <v>117</v>
      </c>
      <c r="C16" s="6" t="s">
        <v>69</v>
      </c>
      <c r="D16" s="6" t="s">
        <v>70</v>
      </c>
      <c r="E16" s="6" t="s">
        <v>33</v>
      </c>
      <c r="F16" s="6">
        <v>6000728473</v>
      </c>
      <c r="G16" s="6">
        <v>200</v>
      </c>
      <c r="H16" s="6" t="s">
        <v>71</v>
      </c>
      <c r="I16" s="6" t="s">
        <v>72</v>
      </c>
      <c r="J16" s="7">
        <v>45194</v>
      </c>
      <c r="K16" s="6">
        <f t="shared" si="0"/>
        <v>1076</v>
      </c>
      <c r="L16" s="5">
        <v>45227</v>
      </c>
      <c r="M16" s="5">
        <v>45227</v>
      </c>
      <c r="N16" s="6" t="s">
        <v>41</v>
      </c>
      <c r="O16" s="6"/>
      <c r="P16" s="6" t="s">
        <v>34</v>
      </c>
      <c r="Q16" s="6">
        <v>2024</v>
      </c>
      <c r="R16" s="7">
        <v>45159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86</v>
      </c>
      <c r="AG16" s="6">
        <v>98</v>
      </c>
      <c r="AH16" s="6">
        <v>179</v>
      </c>
      <c r="AI16" s="6">
        <v>212</v>
      </c>
      <c r="AJ16" s="6">
        <v>168</v>
      </c>
      <c r="AK16" s="6">
        <v>177</v>
      </c>
      <c r="AL16" s="6">
        <v>96</v>
      </c>
      <c r="AM16" s="6">
        <v>42</v>
      </c>
      <c r="AN16" s="6">
        <v>18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>
      <c r="A17" s="5">
        <v>45105</v>
      </c>
      <c r="B17" s="8" t="s">
        <v>117</v>
      </c>
      <c r="C17" s="6" t="s">
        <v>73</v>
      </c>
      <c r="D17" s="6" t="s">
        <v>74</v>
      </c>
      <c r="E17" s="6" t="s">
        <v>33</v>
      </c>
      <c r="F17" s="6">
        <v>6000760319</v>
      </c>
      <c r="G17" s="6">
        <v>100</v>
      </c>
      <c r="H17" s="6" t="s">
        <v>75</v>
      </c>
      <c r="I17" s="6" t="s">
        <v>76</v>
      </c>
      <c r="J17" s="7">
        <v>45187</v>
      </c>
      <c r="K17" s="6">
        <f t="shared" si="0"/>
        <v>538</v>
      </c>
      <c r="L17" s="5">
        <v>45199</v>
      </c>
      <c r="M17" s="5">
        <v>45199</v>
      </c>
      <c r="N17" s="6" t="s">
        <v>41</v>
      </c>
      <c r="O17" s="6"/>
      <c r="P17" s="6" t="s">
        <v>34</v>
      </c>
      <c r="Q17" s="6">
        <v>2024</v>
      </c>
      <c r="R17" s="7">
        <v>45159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5</v>
      </c>
      <c r="AE17" s="6">
        <v>25</v>
      </c>
      <c r="AF17" s="6">
        <v>46</v>
      </c>
      <c r="AG17" s="6">
        <v>46</v>
      </c>
      <c r="AH17" s="6">
        <v>82</v>
      </c>
      <c r="AI17" s="6">
        <v>99</v>
      </c>
      <c r="AJ17" s="6">
        <v>74</v>
      </c>
      <c r="AK17" s="6">
        <v>84</v>
      </c>
      <c r="AL17" s="6">
        <v>45</v>
      </c>
      <c r="AM17" s="6">
        <v>20</v>
      </c>
      <c r="AN17" s="6">
        <v>9</v>
      </c>
      <c r="AO17" s="6">
        <v>2</v>
      </c>
      <c r="AP17" s="6">
        <v>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>
      <c r="A18" s="5">
        <v>45105</v>
      </c>
      <c r="B18" s="8" t="s">
        <v>117</v>
      </c>
      <c r="C18" s="6" t="s">
        <v>73</v>
      </c>
      <c r="D18" s="6" t="s">
        <v>74</v>
      </c>
      <c r="E18" s="6" t="s">
        <v>33</v>
      </c>
      <c r="F18" s="6">
        <v>6000760319</v>
      </c>
      <c r="G18" s="6">
        <v>200</v>
      </c>
      <c r="H18" s="6" t="s">
        <v>77</v>
      </c>
      <c r="I18" s="6" t="s">
        <v>78</v>
      </c>
      <c r="J18" s="7">
        <v>45187</v>
      </c>
      <c r="K18" s="6">
        <f t="shared" si="0"/>
        <v>2290</v>
      </c>
      <c r="L18" s="5">
        <v>45206</v>
      </c>
      <c r="M18" s="5">
        <v>45206</v>
      </c>
      <c r="N18" s="6" t="s">
        <v>41</v>
      </c>
      <c r="O18" s="6"/>
      <c r="P18" s="6" t="s">
        <v>34</v>
      </c>
      <c r="Q18" s="6">
        <v>2024</v>
      </c>
      <c r="R18" s="7">
        <v>45159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21</v>
      </c>
      <c r="AE18" s="6">
        <v>105</v>
      </c>
      <c r="AF18" s="6">
        <v>195</v>
      </c>
      <c r="AG18" s="6">
        <v>197</v>
      </c>
      <c r="AH18" s="6">
        <v>348</v>
      </c>
      <c r="AI18" s="6">
        <v>423</v>
      </c>
      <c r="AJ18" s="6">
        <v>316</v>
      </c>
      <c r="AK18" s="6">
        <v>357</v>
      </c>
      <c r="AL18" s="6">
        <v>192</v>
      </c>
      <c r="AM18" s="6">
        <v>85</v>
      </c>
      <c r="AN18" s="6">
        <v>39</v>
      </c>
      <c r="AO18" s="6">
        <v>7</v>
      </c>
      <c r="AP18" s="6">
        <v>5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>
      <c r="A19" s="5">
        <v>45105</v>
      </c>
      <c r="B19" s="8" t="s">
        <v>117</v>
      </c>
      <c r="C19" s="6" t="s">
        <v>79</v>
      </c>
      <c r="D19" s="6" t="s">
        <v>80</v>
      </c>
      <c r="E19" s="6" t="s">
        <v>33</v>
      </c>
      <c r="F19" s="6">
        <v>6000760321</v>
      </c>
      <c r="G19" s="6">
        <v>100</v>
      </c>
      <c r="H19" s="6" t="s">
        <v>81</v>
      </c>
      <c r="I19" s="6" t="s">
        <v>82</v>
      </c>
      <c r="J19" s="7">
        <v>45194</v>
      </c>
      <c r="K19" s="6">
        <f t="shared" si="0"/>
        <v>1136</v>
      </c>
      <c r="L19" s="5">
        <v>45206</v>
      </c>
      <c r="M19" s="5">
        <v>45206</v>
      </c>
      <c r="N19" s="6" t="s">
        <v>41</v>
      </c>
      <c r="O19" s="6"/>
      <c r="P19" s="6" t="s">
        <v>34</v>
      </c>
      <c r="Q19" s="6">
        <v>2024</v>
      </c>
      <c r="R19" s="7">
        <v>45159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9</v>
      </c>
      <c r="AE19" s="6">
        <v>51</v>
      </c>
      <c r="AF19" s="6">
        <v>87</v>
      </c>
      <c r="AG19" s="6">
        <v>96</v>
      </c>
      <c r="AH19" s="6">
        <v>171</v>
      </c>
      <c r="AI19" s="6">
        <v>192</v>
      </c>
      <c r="AJ19" s="6">
        <v>181</v>
      </c>
      <c r="AK19" s="6">
        <v>175</v>
      </c>
      <c r="AL19" s="6">
        <v>99</v>
      </c>
      <c r="AM19" s="6">
        <v>49</v>
      </c>
      <c r="AN19" s="6">
        <v>19</v>
      </c>
      <c r="AO19" s="6">
        <v>5</v>
      </c>
      <c r="AP19" s="6">
        <v>2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>
      <c r="A20" s="5">
        <v>45105</v>
      </c>
      <c r="B20" s="8" t="s">
        <v>117</v>
      </c>
      <c r="C20" s="6" t="s">
        <v>83</v>
      </c>
      <c r="D20" s="6" t="s">
        <v>84</v>
      </c>
      <c r="E20" s="6" t="s">
        <v>33</v>
      </c>
      <c r="F20" s="6">
        <v>6000760320</v>
      </c>
      <c r="G20" s="6">
        <v>100</v>
      </c>
      <c r="H20" s="6" t="s">
        <v>85</v>
      </c>
      <c r="I20" s="6" t="s">
        <v>86</v>
      </c>
      <c r="J20" s="7">
        <v>45187</v>
      </c>
      <c r="K20" s="6">
        <f t="shared" si="0"/>
        <v>613</v>
      </c>
      <c r="L20" s="5">
        <v>45199</v>
      </c>
      <c r="M20" s="5">
        <v>45199</v>
      </c>
      <c r="N20" s="6" t="s">
        <v>41</v>
      </c>
      <c r="O20" s="6"/>
      <c r="P20" s="6" t="s">
        <v>34</v>
      </c>
      <c r="Q20" s="6">
        <v>2024</v>
      </c>
      <c r="R20" s="7">
        <v>45159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4</v>
      </c>
      <c r="AE20" s="6">
        <v>28</v>
      </c>
      <c r="AF20" s="6">
        <v>55</v>
      </c>
      <c r="AG20" s="6">
        <v>52</v>
      </c>
      <c r="AH20" s="6">
        <v>96</v>
      </c>
      <c r="AI20" s="6">
        <v>107</v>
      </c>
      <c r="AJ20" s="6">
        <v>91</v>
      </c>
      <c r="AK20" s="6">
        <v>93</v>
      </c>
      <c r="AL20" s="6">
        <v>50</v>
      </c>
      <c r="AM20" s="6">
        <v>23</v>
      </c>
      <c r="AN20" s="6">
        <v>10</v>
      </c>
      <c r="AO20" s="6">
        <v>2</v>
      </c>
      <c r="AP20" s="6">
        <v>2</v>
      </c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>
      <c r="A21" s="5">
        <v>45105</v>
      </c>
      <c r="B21" s="8" t="s">
        <v>117</v>
      </c>
      <c r="C21" s="6" t="s">
        <v>83</v>
      </c>
      <c r="D21" s="6" t="s">
        <v>84</v>
      </c>
      <c r="E21" s="6" t="s">
        <v>33</v>
      </c>
      <c r="F21" s="6">
        <v>6000760320</v>
      </c>
      <c r="G21" s="6">
        <v>200</v>
      </c>
      <c r="H21" s="6" t="s">
        <v>87</v>
      </c>
      <c r="I21" s="6" t="s">
        <v>88</v>
      </c>
      <c r="J21" s="7">
        <v>45194</v>
      </c>
      <c r="K21" s="6">
        <f t="shared" si="0"/>
        <v>2616</v>
      </c>
      <c r="L21" s="5">
        <v>45206</v>
      </c>
      <c r="M21" s="5">
        <v>45206</v>
      </c>
      <c r="N21" s="6" t="s">
        <v>41</v>
      </c>
      <c r="O21" s="6"/>
      <c r="P21" s="6" t="s">
        <v>34</v>
      </c>
      <c r="Q21" s="6">
        <v>2024</v>
      </c>
      <c r="R21" s="7">
        <v>45159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16</v>
      </c>
      <c r="AE21" s="6">
        <v>120</v>
      </c>
      <c r="AF21" s="6">
        <v>233</v>
      </c>
      <c r="AG21" s="6">
        <v>220</v>
      </c>
      <c r="AH21" s="6">
        <v>411</v>
      </c>
      <c r="AI21" s="6">
        <v>458</v>
      </c>
      <c r="AJ21" s="6">
        <v>390</v>
      </c>
      <c r="AK21" s="6">
        <v>395</v>
      </c>
      <c r="AL21" s="6">
        <v>212</v>
      </c>
      <c r="AM21" s="6">
        <v>97</v>
      </c>
      <c r="AN21" s="6">
        <v>44</v>
      </c>
      <c r="AO21" s="6">
        <v>10</v>
      </c>
      <c r="AP21" s="6">
        <v>10</v>
      </c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3" spans="1:112">
      <c r="A23" s="3">
        <v>1</v>
      </c>
      <c r="B23" s="3">
        <v>2</v>
      </c>
      <c r="C23" s="3">
        <v>3</v>
      </c>
      <c r="D23" s="3">
        <v>4</v>
      </c>
      <c r="E23" s="3">
        <v>5</v>
      </c>
      <c r="F23" s="3">
        <v>6</v>
      </c>
      <c r="G23" s="3">
        <v>7</v>
      </c>
      <c r="H23" s="3">
        <v>8</v>
      </c>
      <c r="I23" s="3">
        <v>9</v>
      </c>
      <c r="J23" s="3">
        <v>10</v>
      </c>
      <c r="K23" s="3">
        <v>11</v>
      </c>
      <c r="L23" s="3">
        <v>12</v>
      </c>
      <c r="M23" s="3">
        <v>13</v>
      </c>
      <c r="N23" s="3">
        <v>14</v>
      </c>
      <c r="O23" s="3">
        <v>15</v>
      </c>
      <c r="P23" s="3">
        <v>16</v>
      </c>
      <c r="Q23" s="3">
        <v>17</v>
      </c>
      <c r="R23" s="3">
        <v>18</v>
      </c>
      <c r="S23" s="3">
        <v>19</v>
      </c>
      <c r="T23" s="3">
        <v>20</v>
      </c>
      <c r="U23" s="3">
        <v>21</v>
      </c>
      <c r="V23" s="3">
        <v>22</v>
      </c>
      <c r="W23" s="3">
        <v>23</v>
      </c>
      <c r="X23" s="3">
        <v>24</v>
      </c>
      <c r="Y23" s="3">
        <v>25</v>
      </c>
      <c r="Z23" s="3">
        <v>26</v>
      </c>
      <c r="AA23" s="3">
        <v>27</v>
      </c>
      <c r="AB23" s="3">
        <v>28</v>
      </c>
      <c r="AC23" s="3">
        <v>29</v>
      </c>
      <c r="AD23" s="3">
        <v>30</v>
      </c>
      <c r="AE23" s="3">
        <v>31</v>
      </c>
      <c r="AF23" s="3">
        <v>32</v>
      </c>
      <c r="AG23" s="3">
        <v>33</v>
      </c>
      <c r="AH23" s="3">
        <v>34</v>
      </c>
      <c r="AI23" s="3">
        <v>35</v>
      </c>
      <c r="AJ23" s="3">
        <v>36</v>
      </c>
      <c r="AK23" s="3">
        <v>37</v>
      </c>
      <c r="AL23" s="3">
        <v>38</v>
      </c>
      <c r="AM23" s="3">
        <v>39</v>
      </c>
      <c r="AN23" s="3">
        <v>40</v>
      </c>
      <c r="AO23" s="3">
        <v>41</v>
      </c>
      <c r="AP23" s="3">
        <v>42</v>
      </c>
      <c r="AQ23" s="3">
        <v>43</v>
      </c>
      <c r="AR23" s="3">
        <v>44</v>
      </c>
      <c r="AS23" s="3">
        <v>45</v>
      </c>
      <c r="AT23" s="3">
        <v>46</v>
      </c>
      <c r="AU23" s="3">
        <v>47</v>
      </c>
      <c r="AV23" s="3">
        <v>48</v>
      </c>
      <c r="AW23" s="3">
        <v>49</v>
      </c>
      <c r="AX23" s="3">
        <v>50</v>
      </c>
      <c r="AY23" s="3">
        <v>51</v>
      </c>
      <c r="AZ23" s="3">
        <v>52</v>
      </c>
      <c r="BA23" s="3">
        <v>53</v>
      </c>
      <c r="BB23" s="3">
        <v>54</v>
      </c>
      <c r="BC23" s="3">
        <v>55</v>
      </c>
      <c r="BD23" s="3">
        <v>56</v>
      </c>
      <c r="BE23" s="3">
        <v>57</v>
      </c>
      <c r="BF23" s="3">
        <v>58</v>
      </c>
      <c r="BG23" s="3">
        <v>59</v>
      </c>
      <c r="BH23" s="3">
        <v>60</v>
      </c>
      <c r="BI23" s="3">
        <v>61</v>
      </c>
      <c r="BJ23" s="3">
        <v>62</v>
      </c>
      <c r="BK23" s="3">
        <v>63</v>
      </c>
      <c r="BL23" s="3">
        <v>64</v>
      </c>
      <c r="BM23" s="3">
        <v>65</v>
      </c>
      <c r="BN23" s="3">
        <v>66</v>
      </c>
      <c r="BO23" s="3">
        <v>67</v>
      </c>
      <c r="BP23" s="3">
        <v>68</v>
      </c>
      <c r="BQ23" s="3">
        <v>69</v>
      </c>
      <c r="BR23" s="3">
        <v>70</v>
      </c>
      <c r="BS23" s="3">
        <v>71</v>
      </c>
      <c r="BT23" s="3">
        <v>72</v>
      </c>
      <c r="BU23" s="3">
        <v>73</v>
      </c>
      <c r="BV23" s="3">
        <v>74</v>
      </c>
      <c r="BW23" s="3">
        <v>75</v>
      </c>
      <c r="BX23" s="3">
        <v>76</v>
      </c>
      <c r="BY23" s="3">
        <v>77</v>
      </c>
      <c r="BZ23" s="3">
        <v>78</v>
      </c>
      <c r="CA23" s="3">
        <v>79</v>
      </c>
      <c r="CB23" s="3">
        <v>80</v>
      </c>
      <c r="CC23" s="3">
        <v>81</v>
      </c>
      <c r="CD23" s="3">
        <v>82</v>
      </c>
      <c r="CE23" s="3">
        <v>83</v>
      </c>
      <c r="CF23" s="3">
        <v>84</v>
      </c>
      <c r="CG23" s="3">
        <v>85</v>
      </c>
      <c r="CH23" s="3">
        <v>86</v>
      </c>
      <c r="CI23" s="3">
        <v>87</v>
      </c>
      <c r="CJ23" s="3">
        <v>88</v>
      </c>
      <c r="CK23" s="3">
        <v>89</v>
      </c>
      <c r="CL23" s="3">
        <v>90</v>
      </c>
      <c r="CM23" s="3">
        <v>91</v>
      </c>
      <c r="CN23" s="3">
        <v>92</v>
      </c>
      <c r="CO23" s="3">
        <v>93</v>
      </c>
      <c r="CP23" s="3">
        <v>94</v>
      </c>
      <c r="CQ23" s="3">
        <v>95</v>
      </c>
      <c r="CR23" s="3">
        <v>96</v>
      </c>
      <c r="CS23" s="3">
        <v>97</v>
      </c>
      <c r="CT23" s="3">
        <v>98</v>
      </c>
      <c r="CU23" s="3">
        <v>99</v>
      </c>
      <c r="CV23" s="3">
        <v>100</v>
      </c>
      <c r="CW23" s="3">
        <v>101</v>
      </c>
      <c r="CX23" s="3">
        <v>102</v>
      </c>
      <c r="CY23" s="3">
        <v>103</v>
      </c>
      <c r="CZ23" s="3">
        <v>104</v>
      </c>
      <c r="DA23" s="3">
        <v>105</v>
      </c>
      <c r="DB23" s="3">
        <v>106</v>
      </c>
      <c r="DC23" s="3">
        <v>107</v>
      </c>
      <c r="DD23" s="3">
        <v>108</v>
      </c>
      <c r="DE23" s="3">
        <v>109</v>
      </c>
      <c r="DF23" s="3">
        <v>110</v>
      </c>
      <c r="DG23" s="3">
        <v>111</v>
      </c>
      <c r="DH23" s="3">
        <v>112</v>
      </c>
    </row>
  </sheetData>
  <autoFilter ref="A1:KK1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SLI-MRP1</dc:creator>
  <cp:lastModifiedBy>Quyen</cp:lastModifiedBy>
  <dcterms:created xsi:type="dcterms:W3CDTF">2023-07-31T07:37:00Z</dcterms:created>
  <dcterms:modified xsi:type="dcterms:W3CDTF">2023-08-25T09:50:53Z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1033-11.2.0.11306</vt:lpwstr>
  </property>
  <property fmtid="{D5CDD505-2E9C-101B-9397-08002B2CF9AE}" pid="4" name="ICV">
    <vt:lpwstr>44F9270E6E5449AEA3127F85C1D91BD8</vt:lpwstr>
  </property>
</Properties>
</file>