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lp_label\Taiwan-indo\china-japan\PO CHINA DESEMBER\JX\"/>
    </mc:Choice>
  </mc:AlternateContent>
  <bookViews>
    <workbookView xWindow="-120" yWindow="-120" windowWidth="21840" windowHeight="13140" tabRatio="799"/>
  </bookViews>
  <sheets>
    <sheet name="sz chn" sheetId="17" r:id="rId1"/>
    <sheet name="chn" sheetId="13" r:id="rId2"/>
  </sheets>
  <definedNames>
    <definedName name="_xlnm._FilterDatabase" localSheetId="1" hidden="1">chn!$A$4:$BA$20</definedName>
    <definedName name="_xlnm._FilterDatabase" localSheetId="0" hidden="1">'sz chn'!$A$1:$BI$16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3" l="1"/>
  <c r="J16" i="17" l="1"/>
  <c r="E20" i="13" l="1"/>
</calcChain>
</file>

<file path=xl/sharedStrings.xml><?xml version="1.0" encoding="utf-8"?>
<sst xmlns="http://schemas.openxmlformats.org/spreadsheetml/2006/main" count="348" uniqueCount="168">
  <si>
    <t xml:space="preserve">NIKE OUTSTANDING ORDER  </t>
  </si>
  <si>
    <t>BUY DATE 11/9</t>
  </si>
  <si>
    <t>STYLE NO.</t>
  </si>
  <si>
    <t>STYLE NAME</t>
  </si>
  <si>
    <t>CUST</t>
  </si>
  <si>
    <t>PLANT</t>
  </si>
  <si>
    <t>ORI QTY</t>
  </si>
  <si>
    <t>Partial</t>
  </si>
  <si>
    <t>LOT QTY</t>
  </si>
  <si>
    <t>X/F QTY</t>
  </si>
  <si>
    <t>BAL. QTY</t>
  </si>
  <si>
    <t>Season</t>
  </si>
  <si>
    <t>Label Release</t>
  </si>
  <si>
    <t>Wkly Bucket</t>
  </si>
  <si>
    <t>OGAC</t>
  </si>
  <si>
    <t>PO DOC DATE</t>
  </si>
  <si>
    <t>Bus Month</t>
  </si>
  <si>
    <t>Bust Week Start Date</t>
  </si>
  <si>
    <t>SDD</t>
  </si>
  <si>
    <t>Prev GAC</t>
  </si>
  <si>
    <t>CGAC</t>
  </si>
  <si>
    <t>ORD</t>
  </si>
  <si>
    <t>X/F Date</t>
  </si>
  <si>
    <t>X/F Date to RGAC</t>
  </si>
  <si>
    <t>X/F Date to OGAC</t>
  </si>
  <si>
    <t>Rmrks</t>
  </si>
  <si>
    <t>CR Date</t>
  </si>
  <si>
    <t>CR Retrieved Date</t>
  </si>
  <si>
    <t>LAUNCH
DATE</t>
  </si>
  <si>
    <t>MSR (Y/N)</t>
  </si>
  <si>
    <t>Pack. Way</t>
  </si>
  <si>
    <t>packing</t>
  </si>
  <si>
    <t>Delivery Mode / MOT</t>
  </si>
  <si>
    <t>Invoice</t>
  </si>
  <si>
    <t>PO#</t>
  </si>
  <si>
    <t>Trading Co PO Number</t>
  </si>
  <si>
    <t>PO ITEM</t>
  </si>
  <si>
    <t>Gender</t>
  </si>
  <si>
    <t>Customer Name</t>
  </si>
  <si>
    <t>Customer Country</t>
  </si>
  <si>
    <t>Purchasing group</t>
  </si>
  <si>
    <t>Plant</t>
  </si>
  <si>
    <t>OLD X-REF</t>
  </si>
  <si>
    <t>CUST PO</t>
  </si>
  <si>
    <t>Color Description</t>
  </si>
  <si>
    <t>Outsole 1 Cd</t>
  </si>
  <si>
    <t>Midsole 1 Cd</t>
  </si>
  <si>
    <t>VAS Ind</t>
  </si>
  <si>
    <t>VAS &amp; Sp.Inst</t>
  </si>
  <si>
    <t>Sub Category</t>
  </si>
  <si>
    <t>PO+POI</t>
  </si>
  <si>
    <t>Require CPSIA Lab test</t>
  </si>
  <si>
    <t>PASSED LAB TEST (dated)</t>
  </si>
  <si>
    <t xml:space="preserve">LABEL </t>
  </si>
  <si>
    <t>MCL</t>
  </si>
  <si>
    <t>SU</t>
  </si>
  <si>
    <t>MENS</t>
  </si>
  <si>
    <t>NSW RUNNING</t>
  </si>
  <si>
    <t>4</t>
  </si>
  <si>
    <t>397690-018</t>
  </si>
  <si>
    <t>WMNS AIR MAX COMMAND</t>
  </si>
  <si>
    <t>WOMENS</t>
  </si>
  <si>
    <t>LGHT BN/LGHT BN-WHITE-LT IRN O</t>
  </si>
  <si>
    <t>M11924</t>
  </si>
  <si>
    <t>SP</t>
  </si>
  <si>
    <t>China</t>
  </si>
  <si>
    <t>Greater China</t>
  </si>
  <si>
    <t>Nike China MN</t>
  </si>
  <si>
    <t>QR China CERT + China Sticker</t>
  </si>
  <si>
    <t>1</t>
  </si>
  <si>
    <t>WHITE/WHITE-WHITE</t>
  </si>
  <si>
    <t>621716-008</t>
  </si>
  <si>
    <t>NIKE REAX 8 TR MESH</t>
  </si>
  <si>
    <t>BLACK/BLACK-ANTHRACITE</t>
  </si>
  <si>
    <t>OS393270-1</t>
  </si>
  <si>
    <t>MS246220-1</t>
  </si>
  <si>
    <t>MENS CORE TRAIN</t>
  </si>
  <si>
    <t>Nike China CLC</t>
  </si>
  <si>
    <t>1 PR increase</t>
  </si>
  <si>
    <t>621716-100</t>
  </si>
  <si>
    <t>SAIL/MYSTIC RED-BLACK</t>
  </si>
  <si>
    <t>YA NSW RUNNING</t>
  </si>
  <si>
    <t>704949-119</t>
  </si>
  <si>
    <t>NIKE HUARACHE RUN (PS)</t>
  </si>
  <si>
    <t>BOYS PRE SCHOOL</t>
  </si>
  <si>
    <t>SMMT WHT/DP RYL BL-PR PLTNM-BL</t>
  </si>
  <si>
    <t>OS394354-1</t>
  </si>
  <si>
    <t>MS247270-1</t>
  </si>
  <si>
    <t>2</t>
  </si>
  <si>
    <t>OS398787-1</t>
  </si>
  <si>
    <t>MS251539-1</t>
  </si>
  <si>
    <t>DX0751-400</t>
  </si>
  <si>
    <t>W NIKE DBREAK VNTG</t>
  </si>
  <si>
    <t>GAME ROYAL/SL-TM ORNG-CCNT MLK</t>
  </si>
  <si>
    <t>NIKE REVOLUTION 6 NN</t>
  </si>
  <si>
    <t>OS399510-1</t>
  </si>
  <si>
    <t>MS252232-1</t>
  </si>
  <si>
    <t>MENS CORE RUNNING</t>
  </si>
  <si>
    <t>DC3728-102</t>
  </si>
  <si>
    <t>DC3729-003</t>
  </si>
  <si>
    <t>W NIKE REVOLUTION 6 NN</t>
  </si>
  <si>
    <t>BLACK/WHITE-DK SMK GREY-CL GRY</t>
  </si>
  <si>
    <t>WOMENS CORE RUNNING</t>
  </si>
  <si>
    <t>2429 PR decrease</t>
  </si>
  <si>
    <t>DC3729-105</t>
  </si>
  <si>
    <t>WHITE/OPT YELLOW-BLACK-BLTC BL</t>
  </si>
  <si>
    <t>NIKE DEFYALLDAY</t>
  </si>
  <si>
    <t>OS399687-1</t>
  </si>
  <si>
    <t>MS252402-1</t>
  </si>
  <si>
    <t>DJ1196-100</t>
  </si>
  <si>
    <t>WHITE/MIDNIGHT NAVY-MTLC SLVR</t>
  </si>
  <si>
    <t>190 PR decrease</t>
  </si>
  <si>
    <t>DJ1196-101</t>
  </si>
  <si>
    <t>WHITE/BLACK-UNIV RED</t>
  </si>
  <si>
    <t>6000281296100</t>
  </si>
  <si>
    <t>6000281291100</t>
  </si>
  <si>
    <t>6000281297100</t>
  </si>
  <si>
    <t>6000281291200</t>
  </si>
  <si>
    <t>6000281291300</t>
  </si>
  <si>
    <t>6000281298100</t>
  </si>
  <si>
    <t>6000281298200</t>
  </si>
  <si>
    <t>6000281502100</t>
  </si>
  <si>
    <t>6000281299100</t>
  </si>
  <si>
    <t>6000281292100</t>
  </si>
  <si>
    <t>6000281500100</t>
  </si>
  <si>
    <t>6000281292300</t>
  </si>
  <si>
    <t>6000281293100</t>
  </si>
  <si>
    <t>6000281293200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</si>
  <si>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</si>
  <si>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</si>
  <si>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</si>
  <si>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</si>
  <si>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</si>
  <si>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</si>
  <si>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</si>
  <si>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</si>
  <si>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</si>
  <si>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</si>
  <si>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</si>
  <si>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</si>
  <si>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</si>
  <si>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</si>
  <si>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</si>
  <si>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</si>
  <si>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</si>
  <si>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</si>
  <si>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</si>
  <si>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</si>
  <si>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</si>
  <si>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</si>
  <si>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</si>
  <si>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</si>
  <si>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</si>
  <si>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</si>
  <si>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</si>
  <si>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</si>
  <si>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</si>
  <si>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Gender Age</t>
  </si>
  <si>
    <t>PO Number</t>
  </si>
  <si>
    <t>PO</t>
  </si>
  <si>
    <t>Material</t>
  </si>
  <si>
    <t>PO Item</t>
  </si>
  <si>
    <t>Planning Season</t>
  </si>
  <si>
    <t>Year</t>
  </si>
  <si>
    <t>OGAC Date</t>
  </si>
  <si>
    <t>RTA</t>
  </si>
  <si>
    <t>Result</t>
  </si>
  <si>
    <t>JX2211-0348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</si>
</sst>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"/>
    <numFmt numFmtId="165" formatCode="m/d;@"/>
    <numFmt numFmtId="166" formatCode="[$-409]d\-mmm\-yy;@"/>
    <numFmt numFmtId="167" formatCode="_(* #,##0_);_(* \(#,##0\);_(* &quot;-&quot;??_);_(@_)"/>
    <numFmt numFmtId="168" formatCode="_(* #,##0.00_);_(* \(#,##0.00\);_(* \-??_);_(@_)"/>
    <numFmt numFmtId="169" formatCode="_-* #,##0.00_-;\-* #,##0.00_-;_-* \-??_-;_-@_-"/>
    <numFmt numFmtId="170" formatCode="[$-409]d\-mmm;@"/>
  </numFmts>
  <fonts count="65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indexed="9"/>
      <name val="Calibri"/>
      <family val="2"/>
    </font>
    <font>
      <sz val="10"/>
      <color rgb="FF9C0006"/>
      <name val="Calibri"/>
      <family val="2"/>
      <scheme val="minor"/>
    </font>
    <font>
      <sz val="11"/>
      <color indexed="20"/>
      <name val="Calibri"/>
      <family val="2"/>
    </font>
    <font>
      <b/>
      <sz val="10"/>
      <color rgb="FFFA7D00"/>
      <name val="Calibri"/>
      <family val="2"/>
      <scheme val="minor"/>
    </font>
    <font>
      <b/>
      <sz val="11"/>
      <color indexed="52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indexed="9"/>
      <name val="Calibri"/>
      <family val="2"/>
    </font>
    <font>
      <sz val="10"/>
      <name val="Trebuchet MS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i/>
      <sz val="10"/>
      <color rgb="FF7F7F7F"/>
      <name val="Calibri"/>
      <family val="2"/>
      <scheme val="minor"/>
    </font>
    <font>
      <i/>
      <sz val="11"/>
      <color indexed="23"/>
      <name val="Calibri"/>
      <family val="2"/>
    </font>
    <font>
      <sz val="10"/>
      <color rgb="FF006100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0"/>
      <color rgb="FF3F3F76"/>
      <name val="Calibri"/>
      <family val="2"/>
      <scheme val="minor"/>
    </font>
    <font>
      <sz val="11"/>
      <color indexed="62"/>
      <name val="Calibri"/>
      <family val="2"/>
    </font>
    <font>
      <sz val="10"/>
      <color rgb="FFFA7D00"/>
      <name val="Calibri"/>
      <family val="2"/>
      <scheme val="minor"/>
    </font>
    <font>
      <sz val="11"/>
      <color indexed="52"/>
      <name val="Calibri"/>
      <family val="2"/>
    </font>
    <font>
      <sz val="10"/>
      <color rgb="FF9C6500"/>
      <name val="Calibri"/>
      <family val="2"/>
      <scheme val="minor"/>
    </font>
    <font>
      <sz val="11"/>
      <color indexed="60"/>
      <name val="Calibri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11"/>
      <name val="돋움"/>
      <family val="3"/>
      <charset val="129"/>
    </font>
    <font>
      <b/>
      <sz val="10"/>
      <color rgb="FF3F3F3F"/>
      <name val="Calibri"/>
      <family val="2"/>
      <scheme val="minor"/>
    </font>
    <font>
      <b/>
      <sz val="11"/>
      <color indexed="63"/>
      <name val="Calibri"/>
      <family val="2"/>
    </font>
    <font>
      <b/>
      <i/>
      <u/>
      <sz val="11"/>
      <color indexed="8"/>
      <name val="Calibri"/>
      <family val="2"/>
    </font>
    <font>
      <b/>
      <sz val="11"/>
      <color indexed="18"/>
      <name val="Tahoma"/>
      <family val="2"/>
    </font>
    <font>
      <b/>
      <sz val="18"/>
      <color indexed="56"/>
      <name val="Cambria"/>
      <family val="2"/>
    </font>
    <font>
      <sz val="18"/>
      <color theme="3"/>
      <name val="Cambria"/>
      <family val="2"/>
      <scheme val="maj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indexed="10"/>
      <name val="Calibri"/>
      <family val="2"/>
    </font>
    <font>
      <b/>
      <sz val="10"/>
      <color theme="1"/>
      <name val="Arial"/>
      <family val="2"/>
    </font>
    <font>
      <sz val="11"/>
      <color rgb="FFFF000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36"/>
      </patternFill>
    </fill>
    <fill>
      <patternFill patternType="solid">
        <fgColor rgb="FFFFC000"/>
        <bgColor indexed="64"/>
      </patternFill>
    </fill>
    <fill>
      <patternFill patternType="solid">
        <fgColor rgb="FFCC66FF"/>
        <bgColor indexed="24"/>
      </patternFill>
    </fill>
    <fill>
      <patternFill patternType="solid">
        <fgColor rgb="FF66FF33"/>
        <bgColor indexed="64"/>
      </patternFill>
    </fill>
    <fill>
      <patternFill patternType="solid">
        <fgColor indexed="31"/>
        <bgColor indexed="46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66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608">
    <xf numFmtId="0" fontId="0" fillId="0" borderId="0"/>
    <xf numFmtId="43" fontId="18" fillId="0" borderId="0" applyFill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5" fillId="1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5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5" fillId="14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5" fillId="1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5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5" fillId="22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5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5" fillId="26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5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5" fillId="30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5" fillId="30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5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11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5" fillId="11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5" fillId="15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5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5" fillId="19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5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5" fillId="23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5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5" fillId="27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5" fillId="27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5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31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5" fillId="31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5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6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6" fillId="12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6" fillId="12" borderId="0" applyNumberFormat="0" applyBorder="0" applyAlignment="0" applyProtection="0"/>
    <xf numFmtId="0" fontId="17" fillId="12" borderId="0" applyNumberFormat="0" applyBorder="0" applyAlignment="0" applyProtection="0"/>
    <xf numFmtId="0" fontId="26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6" fillId="1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6" fillId="16" borderId="0" applyNumberFormat="0" applyBorder="0" applyAlignment="0" applyProtection="0"/>
    <xf numFmtId="0" fontId="17" fillId="16" borderId="0" applyNumberFormat="0" applyBorder="0" applyAlignment="0" applyProtection="0"/>
    <xf numFmtId="0" fontId="26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6" fillId="20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6" fillId="20" borderId="0" applyNumberFormat="0" applyBorder="0" applyAlignment="0" applyProtection="0"/>
    <xf numFmtId="0" fontId="17" fillId="20" borderId="0" applyNumberFormat="0" applyBorder="0" applyAlignment="0" applyProtection="0"/>
    <xf numFmtId="0" fontId="26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6" fillId="24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6" fillId="24" borderId="0" applyNumberFormat="0" applyBorder="0" applyAlignment="0" applyProtection="0"/>
    <xf numFmtId="0" fontId="17" fillId="24" borderId="0" applyNumberFormat="0" applyBorder="0" applyAlignment="0" applyProtection="0"/>
    <xf numFmtId="0" fontId="26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6" fillId="2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6" fillId="28" borderId="0" applyNumberFormat="0" applyBorder="0" applyAlignment="0" applyProtection="0"/>
    <xf numFmtId="0" fontId="17" fillId="28" borderId="0" applyNumberFormat="0" applyBorder="0" applyAlignment="0" applyProtection="0"/>
    <xf numFmtId="0" fontId="26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6" fillId="32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6" fillId="32" borderId="0" applyNumberFormat="0" applyBorder="0" applyAlignment="0" applyProtection="0"/>
    <xf numFmtId="0" fontId="17" fillId="32" borderId="0" applyNumberFormat="0" applyBorder="0" applyAlignment="0" applyProtection="0"/>
    <xf numFmtId="0" fontId="26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6" fillId="9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6" fillId="9" borderId="0" applyNumberFormat="0" applyBorder="0" applyAlignment="0" applyProtection="0"/>
    <xf numFmtId="0" fontId="17" fillId="9" borderId="0" applyNumberFormat="0" applyBorder="0" applyAlignment="0" applyProtection="0"/>
    <xf numFmtId="0" fontId="26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6" fillId="13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6" fillId="13" borderId="0" applyNumberFormat="0" applyBorder="0" applyAlignment="0" applyProtection="0"/>
    <xf numFmtId="0" fontId="17" fillId="13" borderId="0" applyNumberFormat="0" applyBorder="0" applyAlignment="0" applyProtection="0"/>
    <xf numFmtId="0" fontId="26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6" fillId="17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6" fillId="17" borderId="0" applyNumberFormat="0" applyBorder="0" applyAlignment="0" applyProtection="0"/>
    <xf numFmtId="0" fontId="17" fillId="17" borderId="0" applyNumberFormat="0" applyBorder="0" applyAlignment="0" applyProtection="0"/>
    <xf numFmtId="0" fontId="26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6" fillId="21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6" fillId="21" borderId="0" applyNumberFormat="0" applyBorder="0" applyAlignment="0" applyProtection="0"/>
    <xf numFmtId="0" fontId="17" fillId="21" borderId="0" applyNumberFormat="0" applyBorder="0" applyAlignment="0" applyProtection="0"/>
    <xf numFmtId="0" fontId="26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6" fillId="2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6" fillId="25" borderId="0" applyNumberFormat="0" applyBorder="0" applyAlignment="0" applyProtection="0"/>
    <xf numFmtId="0" fontId="17" fillId="25" borderId="0" applyNumberFormat="0" applyBorder="0" applyAlignment="0" applyProtection="0"/>
    <xf numFmtId="0" fontId="26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6" fillId="2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6" fillId="29" borderId="0" applyNumberFormat="0" applyBorder="0" applyAlignment="0" applyProtection="0"/>
    <xf numFmtId="0" fontId="17" fillId="29" borderId="0" applyNumberFormat="0" applyBorder="0" applyAlignment="0" applyProtection="0"/>
    <xf numFmtId="0" fontId="28" fillId="3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8" fillId="3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28" fillId="3" borderId="0" applyNumberFormat="0" applyBorder="0" applyAlignment="0" applyProtection="0"/>
    <xf numFmtId="0" fontId="7" fillId="3" borderId="0" applyNumberFormat="0" applyBorder="0" applyAlignment="0" applyProtection="0"/>
    <xf numFmtId="0" fontId="30" fillId="6" borderId="4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0" fillId="6" borderId="4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0" fillId="6" borderId="4" applyNumberFormat="0" applyAlignment="0" applyProtection="0"/>
    <xf numFmtId="0" fontId="11" fillId="6" borderId="4" applyNumberFormat="0" applyAlignment="0" applyProtection="0"/>
    <xf numFmtId="0" fontId="32" fillId="7" borderId="7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2" fillId="7" borderId="7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3" fillId="56" borderId="13" applyNumberFormat="0" applyAlignment="0" applyProtection="0"/>
    <xf numFmtId="0" fontId="32" fillId="7" borderId="7" applyNumberFormat="0" applyAlignment="0" applyProtection="0"/>
    <xf numFmtId="0" fontId="13" fillId="7" borderId="7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20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168" fontId="20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20" fillId="0" borderId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35" fillId="0" borderId="0" applyFont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168" fontId="18" fillId="0" borderId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6" fillId="0" borderId="0" applyFont="0" applyFill="0" applyBorder="0" applyAlignment="0" applyProtection="0">
      <alignment vertical="top"/>
    </xf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36" fillId="0" borderId="0" applyFont="0" applyFill="0" applyBorder="0" applyAlignment="0" applyProtection="0">
      <alignment vertical="top"/>
    </xf>
    <xf numFmtId="44" fontId="20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39" fillId="2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39" fillId="2" borderId="0" applyNumberFormat="0" applyBorder="0" applyAlignment="0" applyProtection="0"/>
    <xf numFmtId="0" fontId="6" fillId="2" borderId="0" applyNumberFormat="0" applyBorder="0" applyAlignment="0" applyProtection="0"/>
    <xf numFmtId="0" fontId="18" fillId="45" borderId="0" applyNumberFormat="0" applyBorder="0" applyProtection="0">
      <alignment horizontal="center"/>
    </xf>
    <xf numFmtId="0" fontId="18" fillId="45" borderId="0" applyNumberFormat="0" applyBorder="0" applyProtection="0">
      <alignment horizontal="center"/>
    </xf>
    <xf numFmtId="0" fontId="18" fillId="45" borderId="0" applyNumberFormat="0" applyBorder="0" applyProtection="0">
      <alignment horizontal="center"/>
    </xf>
    <xf numFmtId="0" fontId="18" fillId="45" borderId="0" applyNumberFormat="0" applyBorder="0" applyProtection="0">
      <alignment horizontal="center"/>
    </xf>
    <xf numFmtId="0" fontId="18" fillId="45" borderId="0" applyNumberFormat="0" applyBorder="0" applyProtection="0">
      <alignment horizontal="center"/>
    </xf>
    <xf numFmtId="0" fontId="18" fillId="45" borderId="0" applyNumberFormat="0" applyBorder="0" applyProtection="0">
      <alignment horizontal="center"/>
    </xf>
    <xf numFmtId="0" fontId="18" fillId="45" borderId="0" applyNumberFormat="0" applyBorder="0" applyProtection="0">
      <alignment horizontal="center"/>
    </xf>
    <xf numFmtId="0" fontId="18" fillId="45" borderId="0" applyNumberFormat="0" applyBorder="0" applyProtection="0">
      <alignment horizontal="center"/>
    </xf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3" fillId="0" borderId="1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" fillId="0" borderId="2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5" fillId="0" borderId="3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5" borderId="4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5" fillId="5" borderId="4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6" fillId="42" borderId="12" applyNumberFormat="0" applyAlignment="0" applyProtection="0"/>
    <xf numFmtId="0" fontId="45" fillId="5" borderId="4" applyNumberFormat="0" applyAlignment="0" applyProtection="0"/>
    <xf numFmtId="0" fontId="9" fillId="5" borderId="4" applyNumberFormat="0" applyAlignment="0" applyProtection="0"/>
    <xf numFmtId="0" fontId="47" fillId="0" borderId="6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7" fillId="0" borderId="6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8" fillId="0" borderId="17" applyNumberFormat="0" applyFill="0" applyAlignment="0" applyProtection="0"/>
    <xf numFmtId="0" fontId="47" fillId="0" borderId="6" applyNumberFormat="0" applyFill="0" applyAlignment="0" applyProtection="0"/>
    <xf numFmtId="0" fontId="12" fillId="0" borderId="6" applyNumberFormat="0" applyFill="0" applyAlignment="0" applyProtection="0"/>
    <xf numFmtId="0" fontId="49" fillId="4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49" fillId="4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50" fillId="57" borderId="0" applyNumberFormat="0" applyBorder="0" applyAlignment="0" applyProtection="0"/>
    <xf numFmtId="0" fontId="49" fillId="4" borderId="0" applyNumberFormat="0" applyBorder="0" applyAlignment="0" applyProtection="0"/>
    <xf numFmtId="0" fontId="8" fillId="4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5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20" fillId="0" borderId="0"/>
    <xf numFmtId="0" fontId="52" fillId="0" borderId="0"/>
    <xf numFmtId="0" fontId="20" fillId="0" borderId="0"/>
    <xf numFmtId="0" fontId="52" fillId="0" borderId="0"/>
    <xf numFmtId="0" fontId="20" fillId="0" borderId="0"/>
    <xf numFmtId="0" fontId="52" fillId="0" borderId="0"/>
    <xf numFmtId="0" fontId="5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2" fillId="0" borderId="0"/>
    <xf numFmtId="0" fontId="20" fillId="0" borderId="0"/>
    <xf numFmtId="0" fontId="53" fillId="0" borderId="0">
      <alignment vertical="center"/>
    </xf>
    <xf numFmtId="0" fontId="35" fillId="0" borderId="0"/>
    <xf numFmtId="0" fontId="18" fillId="0" borderId="0"/>
    <xf numFmtId="0" fontId="5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35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5" fillId="8" borderId="8" applyNumberFormat="0" applyFon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5" fillId="8" borderId="8" applyNumberFormat="0" applyFon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18" fillId="58" borderId="18" applyNumberFormat="0" applyAlignment="0" applyProtection="0"/>
    <xf numFmtId="0" fontId="54" fillId="6" borderId="5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4" fillId="6" borderId="5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5" fillId="55" borderId="19" applyNumberFormat="0" applyAlignment="0" applyProtection="0"/>
    <xf numFmtId="0" fontId="54" fillId="6" borderId="5" applyNumberFormat="0" applyAlignment="0" applyProtection="0"/>
    <xf numFmtId="0" fontId="10" fillId="6" borderId="5" applyNumberFormat="0" applyAlignment="0" applyProtection="0"/>
    <xf numFmtId="9" fontId="20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4" fontId="57" fillId="47" borderId="20">
      <alignment horizontal="left" vertical="center" indent="1"/>
    </xf>
    <xf numFmtId="0" fontId="36" fillId="0" borderId="0">
      <alignment vertical="top"/>
    </xf>
    <xf numFmtId="0" fontId="36" fillId="0" borderId="0">
      <alignment vertical="top"/>
    </xf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9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60" fillId="0" borderId="9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24" fillId="0" borderId="21" applyNumberFormat="0" applyFill="0" applyAlignment="0" applyProtection="0"/>
    <xf numFmtId="0" fontId="60" fillId="0" borderId="9" applyNumberFormat="0" applyFill="0" applyAlignment="0" applyProtection="0"/>
    <xf numFmtId="0" fontId="16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69" fontId="18" fillId="0" borderId="0" applyFill="0" applyBorder="0" applyAlignment="0" applyProtection="0"/>
    <xf numFmtId="0" fontId="53" fillId="0" borderId="0"/>
    <xf numFmtId="0" fontId="18" fillId="0" borderId="0"/>
  </cellStyleXfs>
  <cellXfs count="44">
    <xf numFmtId="0" fontId="0" fillId="0" borderId="0" xfId="0"/>
    <xf numFmtId="164" fontId="19" fillId="33" borderId="10" xfId="2" applyNumberFormat="1" applyFont="1" applyFill="1" applyBorder="1" applyAlignment="1" applyProtection="1">
      <alignment horizontal="left" vertical="center"/>
    </xf>
    <xf numFmtId="0" fontId="21" fillId="34" borderId="0" xfId="0" applyFont="1" applyFill="1" applyAlignment="1">
      <alignment horizontal="center" vertical="center"/>
    </xf>
    <xf numFmtId="0" fontId="21" fillId="0" borderId="0" xfId="0" applyNumberFormat="1" applyFont="1" applyFill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18" fillId="0" borderId="0" xfId="1" applyNumberFormat="1" applyFont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49" fontId="19" fillId="33" borderId="0" xfId="2" applyNumberFormat="1" applyFont="1" applyFill="1" applyBorder="1" applyAlignment="1" applyProtection="1">
      <alignment horizontal="left" vertical="center"/>
    </xf>
    <xf numFmtId="166" fontId="19" fillId="0" borderId="0" xfId="2" applyNumberFormat="1" applyFont="1" applyBorder="1" applyAlignment="1" applyProtection="1">
      <alignment horizontal="left" vertical="center"/>
    </xf>
    <xf numFmtId="167" fontId="22" fillId="35" borderId="11" xfId="1" applyNumberFormat="1" applyFont="1" applyFill="1" applyBorder="1" applyAlignment="1" applyProtection="1">
      <alignment horizontal="center" vertical="center" wrapText="1"/>
    </xf>
    <xf numFmtId="0" fontId="22" fillId="35" borderId="11" xfId="1" applyNumberFormat="1" applyFont="1" applyFill="1" applyBorder="1" applyAlignment="1" applyProtection="1">
      <alignment horizontal="center" vertical="center" wrapText="1"/>
    </xf>
    <xf numFmtId="0" fontId="18" fillId="35" borderId="11" xfId="1" applyNumberFormat="1" applyFont="1" applyFill="1" applyBorder="1" applyAlignment="1" applyProtection="1">
      <alignment horizontal="center" vertical="center" wrapText="1"/>
    </xf>
    <xf numFmtId="0" fontId="23" fillId="35" borderId="11" xfId="1" applyNumberFormat="1" applyFont="1" applyFill="1" applyBorder="1" applyAlignment="1" applyProtection="1">
      <alignment horizontal="center" vertical="center" wrapText="1"/>
    </xf>
    <xf numFmtId="165" fontId="22" fillId="35" borderId="11" xfId="1" applyNumberFormat="1" applyFont="1" applyFill="1" applyBorder="1" applyAlignment="1" applyProtection="1">
      <alignment horizontal="center" vertical="center" wrapText="1"/>
    </xf>
    <xf numFmtId="165" fontId="22" fillId="35" borderId="11" xfId="1" applyNumberFormat="1" applyFont="1" applyFill="1" applyBorder="1" applyAlignment="1" applyProtection="1">
      <alignment horizontal="center" vertical="center"/>
    </xf>
    <xf numFmtId="1" fontId="22" fillId="35" borderId="11" xfId="1" applyNumberFormat="1" applyFont="1" applyFill="1" applyBorder="1" applyAlignment="1" applyProtection="1">
      <alignment horizontal="center" vertical="center" wrapText="1"/>
    </xf>
    <xf numFmtId="2" fontId="22" fillId="35" borderId="11" xfId="1" applyNumberFormat="1" applyFont="1" applyFill="1" applyBorder="1" applyAlignment="1" applyProtection="1">
      <alignment horizontal="center" vertical="center"/>
    </xf>
    <xf numFmtId="167" fontId="22" fillId="36" borderId="11" xfId="1" applyNumberFormat="1" applyFont="1" applyFill="1" applyBorder="1" applyAlignment="1" applyProtection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21" fillId="0" borderId="11" xfId="0" applyNumberFormat="1" applyFont="1" applyFill="1" applyBorder="1" applyAlignment="1">
      <alignment horizontal="center" vertical="center"/>
    </xf>
    <xf numFmtId="165" fontId="21" fillId="0" borderId="11" xfId="0" applyNumberFormat="1" applyFont="1" applyFill="1" applyBorder="1" applyAlignment="1">
      <alignment horizontal="center" vertical="center"/>
    </xf>
    <xf numFmtId="165" fontId="0" fillId="0" borderId="11" xfId="0" applyNumberForma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11" xfId="0" quotePrefix="1" applyFont="1" applyFill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/>
    <xf numFmtId="165" fontId="0" fillId="0" borderId="0" xfId="0" applyNumberFormat="1" applyFill="1" applyAlignment="1">
      <alignment horizontal="center" vertical="center"/>
    </xf>
    <xf numFmtId="0" fontId="23" fillId="59" borderId="11" xfId="0" applyFont="1" applyFill="1" applyBorder="1" applyAlignment="1">
      <alignment horizontal="center" vertical="center" wrapText="1"/>
    </xf>
    <xf numFmtId="0" fontId="63" fillId="59" borderId="11" xfId="0" applyFont="1" applyFill="1" applyBorder="1" applyAlignment="1">
      <alignment horizontal="center" vertical="center" wrapText="1"/>
    </xf>
    <xf numFmtId="14" fontId="23" fillId="59" borderId="11" xfId="0" applyNumberFormat="1" applyFont="1" applyFill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0" fontId="16" fillId="59" borderId="11" xfId="0" applyFont="1" applyFill="1" applyBorder="1" applyAlignment="1">
      <alignment horizontal="center" vertical="center"/>
    </xf>
    <xf numFmtId="170" fontId="0" fillId="0" borderId="11" xfId="0" applyNumberFormat="1" applyBorder="1" applyAlignment="1">
      <alignment horizontal="center" vertical="center"/>
    </xf>
    <xf numFmtId="170" fontId="64" fillId="0" borderId="11" xfId="0" applyNumberFormat="1" applyFont="1" applyBorder="1" applyAlignment="1">
      <alignment horizontal="center" vertical="center"/>
    </xf>
  </cellXfs>
  <cellStyles count="2608">
    <cellStyle name="20% - Accent1 10" xfId="3"/>
    <cellStyle name="20% - Accent1 10 2" xfId="4"/>
    <cellStyle name="20% - Accent1 10 2 2" xfId="5"/>
    <cellStyle name="20% - Accent1 10 3" xfId="6"/>
    <cellStyle name="20% - Accent1 11" xfId="7"/>
    <cellStyle name="20% - Accent1 11 2" xfId="8"/>
    <cellStyle name="20% - Accent1 12" xfId="9"/>
    <cellStyle name="20% - Accent1 12 2" xfId="10"/>
    <cellStyle name="20% - Accent1 13" xfId="11"/>
    <cellStyle name="20% - Accent1 13 2" xfId="12"/>
    <cellStyle name="20% - Accent1 14" xfId="13"/>
    <cellStyle name="20% - Accent1 14 2" xfId="14"/>
    <cellStyle name="20% - Accent1 15" xfId="15"/>
    <cellStyle name="20% - Accent1 15 2" xfId="16"/>
    <cellStyle name="20% - Accent1 16" xfId="17"/>
    <cellStyle name="20% - Accent1 16 2" xfId="18"/>
    <cellStyle name="20% - Accent1 17" xfId="19"/>
    <cellStyle name="20% - Accent1 18" xfId="20"/>
    <cellStyle name="20% - Accent1 2" xfId="21"/>
    <cellStyle name="20% - Accent1 2 2" xfId="22"/>
    <cellStyle name="20% - Accent1 2 3" xfId="23"/>
    <cellStyle name="20% - Accent1 2 4" xfId="24"/>
    <cellStyle name="20% - Accent1 2 5" xfId="25"/>
    <cellStyle name="20% - Accent1 2 6" xfId="26"/>
    <cellStyle name="20% - Accent1 3" xfId="27"/>
    <cellStyle name="20% - Accent1 3 2" xfId="28"/>
    <cellStyle name="20% - Accent1 3 3" xfId="29"/>
    <cellStyle name="20% - Accent1 3 4" xfId="30"/>
    <cellStyle name="20% - Accent1 3 5" xfId="31"/>
    <cellStyle name="20% - Accent1 3 6" xfId="32"/>
    <cellStyle name="20% - Accent1 4" xfId="33"/>
    <cellStyle name="20% - Accent1 5" xfId="34"/>
    <cellStyle name="20% - Accent1 6" xfId="35"/>
    <cellStyle name="20% - Accent1 7" xfId="36"/>
    <cellStyle name="20% - Accent1 8" xfId="37"/>
    <cellStyle name="20% - Accent1 9" xfId="38"/>
    <cellStyle name="20% - Accent1 9 2" xfId="39"/>
    <cellStyle name="20% - Accent1 9 2 2" xfId="40"/>
    <cellStyle name="20% - Accent1 9 3" xfId="41"/>
    <cellStyle name="20% - Accent2 10" xfId="42"/>
    <cellStyle name="20% - Accent2 10 2" xfId="43"/>
    <cellStyle name="20% - Accent2 10 2 2" xfId="44"/>
    <cellStyle name="20% - Accent2 10 3" xfId="45"/>
    <cellStyle name="20% - Accent2 11" xfId="46"/>
    <cellStyle name="20% - Accent2 11 2" xfId="47"/>
    <cellStyle name="20% - Accent2 12" xfId="48"/>
    <cellStyle name="20% - Accent2 12 2" xfId="49"/>
    <cellStyle name="20% - Accent2 13" xfId="50"/>
    <cellStyle name="20% - Accent2 13 2" xfId="51"/>
    <cellStyle name="20% - Accent2 14" xfId="52"/>
    <cellStyle name="20% - Accent2 14 2" xfId="53"/>
    <cellStyle name="20% - Accent2 15" xfId="54"/>
    <cellStyle name="20% - Accent2 15 2" xfId="55"/>
    <cellStyle name="20% - Accent2 16" xfId="56"/>
    <cellStyle name="20% - Accent2 16 2" xfId="57"/>
    <cellStyle name="20% - Accent2 17" xfId="58"/>
    <cellStyle name="20% - Accent2 18" xfId="59"/>
    <cellStyle name="20% - Accent2 2" xfId="60"/>
    <cellStyle name="20% - Accent2 2 2" xfId="61"/>
    <cellStyle name="20% - Accent2 2 3" xfId="62"/>
    <cellStyle name="20% - Accent2 2 4" xfId="63"/>
    <cellStyle name="20% - Accent2 2 5" xfId="64"/>
    <cellStyle name="20% - Accent2 2 6" xfId="65"/>
    <cellStyle name="20% - Accent2 3" xfId="66"/>
    <cellStyle name="20% - Accent2 3 2" xfId="67"/>
    <cellStyle name="20% - Accent2 3 3" xfId="68"/>
    <cellStyle name="20% - Accent2 3 4" xfId="69"/>
    <cellStyle name="20% - Accent2 3 5" xfId="70"/>
    <cellStyle name="20% - Accent2 3 6" xfId="71"/>
    <cellStyle name="20% - Accent2 4" xfId="72"/>
    <cellStyle name="20% - Accent2 5" xfId="73"/>
    <cellStyle name="20% - Accent2 6" xfId="74"/>
    <cellStyle name="20% - Accent2 7" xfId="75"/>
    <cellStyle name="20% - Accent2 8" xfId="76"/>
    <cellStyle name="20% - Accent2 9" xfId="77"/>
    <cellStyle name="20% - Accent2 9 2" xfId="78"/>
    <cellStyle name="20% - Accent2 9 2 2" xfId="79"/>
    <cellStyle name="20% - Accent2 9 3" xfId="80"/>
    <cellStyle name="20% - Accent3 10" xfId="81"/>
    <cellStyle name="20% - Accent3 10 2" xfId="82"/>
    <cellStyle name="20% - Accent3 10 2 2" xfId="83"/>
    <cellStyle name="20% - Accent3 10 3" xfId="84"/>
    <cellStyle name="20% - Accent3 11" xfId="85"/>
    <cellStyle name="20% - Accent3 11 2" xfId="86"/>
    <cellStyle name="20% - Accent3 12" xfId="87"/>
    <cellStyle name="20% - Accent3 12 2" xfId="88"/>
    <cellStyle name="20% - Accent3 13" xfId="89"/>
    <cellStyle name="20% - Accent3 13 2" xfId="90"/>
    <cellStyle name="20% - Accent3 14" xfId="91"/>
    <cellStyle name="20% - Accent3 14 2" xfId="92"/>
    <cellStyle name="20% - Accent3 15" xfId="93"/>
    <cellStyle name="20% - Accent3 15 2" xfId="94"/>
    <cellStyle name="20% - Accent3 16" xfId="95"/>
    <cellStyle name="20% - Accent3 16 2" xfId="96"/>
    <cellStyle name="20% - Accent3 17" xfId="97"/>
    <cellStyle name="20% - Accent3 18" xfId="98"/>
    <cellStyle name="20% - Accent3 2" xfId="99"/>
    <cellStyle name="20% - Accent3 2 2" xfId="100"/>
    <cellStyle name="20% - Accent3 2 3" xfId="101"/>
    <cellStyle name="20% - Accent3 2 4" xfId="102"/>
    <cellStyle name="20% - Accent3 2 5" xfId="103"/>
    <cellStyle name="20% - Accent3 2 6" xfId="104"/>
    <cellStyle name="20% - Accent3 3" xfId="105"/>
    <cellStyle name="20% - Accent3 3 2" xfId="106"/>
    <cellStyle name="20% - Accent3 3 3" xfId="107"/>
    <cellStyle name="20% - Accent3 3 4" xfId="108"/>
    <cellStyle name="20% - Accent3 3 5" xfId="109"/>
    <cellStyle name="20% - Accent3 3 6" xfId="110"/>
    <cellStyle name="20% - Accent3 4" xfId="111"/>
    <cellStyle name="20% - Accent3 5" xfId="112"/>
    <cellStyle name="20% - Accent3 6" xfId="113"/>
    <cellStyle name="20% - Accent3 7" xfId="114"/>
    <cellStyle name="20% - Accent3 8" xfId="115"/>
    <cellStyle name="20% - Accent3 9" xfId="116"/>
    <cellStyle name="20% - Accent3 9 2" xfId="117"/>
    <cellStyle name="20% - Accent3 9 2 2" xfId="118"/>
    <cellStyle name="20% - Accent3 9 3" xfId="119"/>
    <cellStyle name="20% - Accent4 10" xfId="120"/>
    <cellStyle name="20% - Accent4 10 2" xfId="121"/>
    <cellStyle name="20% - Accent4 10 2 2" xfId="122"/>
    <cellStyle name="20% - Accent4 10 3" xfId="123"/>
    <cellStyle name="20% - Accent4 11" xfId="124"/>
    <cellStyle name="20% - Accent4 11 2" xfId="125"/>
    <cellStyle name="20% - Accent4 12" xfId="126"/>
    <cellStyle name="20% - Accent4 12 2" xfId="127"/>
    <cellStyle name="20% - Accent4 13" xfId="128"/>
    <cellStyle name="20% - Accent4 13 2" xfId="129"/>
    <cellStyle name="20% - Accent4 14" xfId="130"/>
    <cellStyle name="20% - Accent4 14 2" xfId="131"/>
    <cellStyle name="20% - Accent4 15" xfId="132"/>
    <cellStyle name="20% - Accent4 15 2" xfId="133"/>
    <cellStyle name="20% - Accent4 16" xfId="134"/>
    <cellStyle name="20% - Accent4 16 2" xfId="135"/>
    <cellStyle name="20% - Accent4 17" xfId="136"/>
    <cellStyle name="20% - Accent4 18" xfId="137"/>
    <cellStyle name="20% - Accent4 2" xfId="138"/>
    <cellStyle name="20% - Accent4 2 2" xfId="139"/>
    <cellStyle name="20% - Accent4 2 3" xfId="140"/>
    <cellStyle name="20% - Accent4 2 4" xfId="141"/>
    <cellStyle name="20% - Accent4 2 5" xfId="142"/>
    <cellStyle name="20% - Accent4 2 6" xfId="143"/>
    <cellStyle name="20% - Accent4 3" xfId="144"/>
    <cellStyle name="20% - Accent4 3 2" xfId="145"/>
    <cellStyle name="20% - Accent4 3 3" xfId="146"/>
    <cellStyle name="20% - Accent4 3 4" xfId="147"/>
    <cellStyle name="20% - Accent4 3 5" xfId="148"/>
    <cellStyle name="20% - Accent4 3 6" xfId="149"/>
    <cellStyle name="20% - Accent4 4" xfId="150"/>
    <cellStyle name="20% - Accent4 5" xfId="151"/>
    <cellStyle name="20% - Accent4 6" xfId="152"/>
    <cellStyle name="20% - Accent4 7" xfId="153"/>
    <cellStyle name="20% - Accent4 8" xfId="154"/>
    <cellStyle name="20% - Accent4 9" xfId="155"/>
    <cellStyle name="20% - Accent4 9 2" xfId="156"/>
    <cellStyle name="20% - Accent4 9 2 2" xfId="157"/>
    <cellStyle name="20% - Accent4 9 3" xfId="158"/>
    <cellStyle name="20% - Accent5 10" xfId="159"/>
    <cellStyle name="20% - Accent5 10 2" xfId="160"/>
    <cellStyle name="20% - Accent5 10 2 2" xfId="161"/>
    <cellStyle name="20% - Accent5 10 3" xfId="162"/>
    <cellStyle name="20% - Accent5 11" xfId="163"/>
    <cellStyle name="20% - Accent5 11 2" xfId="164"/>
    <cellStyle name="20% - Accent5 12" xfId="165"/>
    <cellStyle name="20% - Accent5 12 2" xfId="166"/>
    <cellStyle name="20% - Accent5 13" xfId="167"/>
    <cellStyle name="20% - Accent5 13 2" xfId="168"/>
    <cellStyle name="20% - Accent5 14" xfId="169"/>
    <cellStyle name="20% - Accent5 14 2" xfId="170"/>
    <cellStyle name="20% - Accent5 15" xfId="171"/>
    <cellStyle name="20% - Accent5 15 2" xfId="172"/>
    <cellStyle name="20% - Accent5 16" xfId="173"/>
    <cellStyle name="20% - Accent5 16 2" xfId="174"/>
    <cellStyle name="20% - Accent5 17" xfId="175"/>
    <cellStyle name="20% - Accent5 18" xfId="176"/>
    <cellStyle name="20% - Accent5 2" xfId="177"/>
    <cellStyle name="20% - Accent5 2 2" xfId="178"/>
    <cellStyle name="20% - Accent5 2 3" xfId="179"/>
    <cellStyle name="20% - Accent5 2 4" xfId="180"/>
    <cellStyle name="20% - Accent5 2 5" xfId="181"/>
    <cellStyle name="20% - Accent5 2 6" xfId="182"/>
    <cellStyle name="20% - Accent5 3" xfId="183"/>
    <cellStyle name="20% - Accent5 3 2" xfId="184"/>
    <cellStyle name="20% - Accent5 3 3" xfId="185"/>
    <cellStyle name="20% - Accent5 3 4" xfId="186"/>
    <cellStyle name="20% - Accent5 3 5" xfId="187"/>
    <cellStyle name="20% - Accent5 3 6" xfId="188"/>
    <cellStyle name="20% - Accent5 4" xfId="189"/>
    <cellStyle name="20% - Accent5 5" xfId="190"/>
    <cellStyle name="20% - Accent5 6" xfId="191"/>
    <cellStyle name="20% - Accent5 7" xfId="192"/>
    <cellStyle name="20% - Accent5 8" xfId="193"/>
    <cellStyle name="20% - Accent5 9" xfId="194"/>
    <cellStyle name="20% - Accent5 9 2" xfId="195"/>
    <cellStyle name="20% - Accent5 9 2 2" xfId="196"/>
    <cellStyle name="20% - Accent5 9 3" xfId="197"/>
    <cellStyle name="20% - Accent6 10" xfId="198"/>
    <cellStyle name="20% - Accent6 10 2" xfId="199"/>
    <cellStyle name="20% - Accent6 10 2 2" xfId="200"/>
    <cellStyle name="20% - Accent6 10 3" xfId="201"/>
    <cellStyle name="20% - Accent6 11" xfId="202"/>
    <cellStyle name="20% - Accent6 11 2" xfId="203"/>
    <cellStyle name="20% - Accent6 12" xfId="204"/>
    <cellStyle name="20% - Accent6 12 2" xfId="205"/>
    <cellStyle name="20% - Accent6 13" xfId="206"/>
    <cellStyle name="20% - Accent6 13 2" xfId="207"/>
    <cellStyle name="20% - Accent6 14" xfId="208"/>
    <cellStyle name="20% - Accent6 14 2" xfId="209"/>
    <cellStyle name="20% - Accent6 15" xfId="210"/>
    <cellStyle name="20% - Accent6 15 2" xfId="211"/>
    <cellStyle name="20% - Accent6 16" xfId="212"/>
    <cellStyle name="20% - Accent6 16 2" xfId="213"/>
    <cellStyle name="20% - Accent6 17" xfId="214"/>
    <cellStyle name="20% - Accent6 18" xfId="215"/>
    <cellStyle name="20% - Accent6 2" xfId="216"/>
    <cellStyle name="20% - Accent6 2 2" xfId="217"/>
    <cellStyle name="20% - Accent6 2 3" xfId="218"/>
    <cellStyle name="20% - Accent6 2 4" xfId="219"/>
    <cellStyle name="20% - Accent6 2 5" xfId="220"/>
    <cellStyle name="20% - Accent6 2 6" xfId="221"/>
    <cellStyle name="20% - Accent6 3" xfId="222"/>
    <cellStyle name="20% - Accent6 3 2" xfId="223"/>
    <cellStyle name="20% - Accent6 3 3" xfId="224"/>
    <cellStyle name="20% - Accent6 3 4" xfId="225"/>
    <cellStyle name="20% - Accent6 3 5" xfId="226"/>
    <cellStyle name="20% - Accent6 3 6" xfId="227"/>
    <cellStyle name="20% - Accent6 4" xfId="228"/>
    <cellStyle name="20% - Accent6 5" xfId="229"/>
    <cellStyle name="20% - Accent6 6" xfId="230"/>
    <cellStyle name="20% - Accent6 7" xfId="231"/>
    <cellStyle name="20% - Accent6 8" xfId="232"/>
    <cellStyle name="20% - Accent6 9" xfId="233"/>
    <cellStyle name="20% - Accent6 9 2" xfId="234"/>
    <cellStyle name="20% - Accent6 9 2 2" xfId="235"/>
    <cellStyle name="20% - Accent6 9 3" xfId="236"/>
    <cellStyle name="40% - Accent1 10" xfId="237"/>
    <cellStyle name="40% - Accent1 10 2" xfId="238"/>
    <cellStyle name="40% - Accent1 10 2 2" xfId="239"/>
    <cellStyle name="40% - Accent1 10 3" xfId="240"/>
    <cellStyle name="40% - Accent1 11" xfId="241"/>
    <cellStyle name="40% - Accent1 11 2" xfId="242"/>
    <cellStyle name="40% - Accent1 12" xfId="243"/>
    <cellStyle name="40% - Accent1 12 2" xfId="244"/>
    <cellStyle name="40% - Accent1 13" xfId="245"/>
    <cellStyle name="40% - Accent1 13 2" xfId="246"/>
    <cellStyle name="40% - Accent1 14" xfId="247"/>
    <cellStyle name="40% - Accent1 14 2" xfId="248"/>
    <cellStyle name="40% - Accent1 15" xfId="249"/>
    <cellStyle name="40% - Accent1 15 2" xfId="250"/>
    <cellStyle name="40% - Accent1 16" xfId="251"/>
    <cellStyle name="40% - Accent1 16 2" xfId="252"/>
    <cellStyle name="40% - Accent1 17" xfId="253"/>
    <cellStyle name="40% - Accent1 18" xfId="254"/>
    <cellStyle name="40% - Accent1 2" xfId="255"/>
    <cellStyle name="40% - Accent1 2 2" xfId="256"/>
    <cellStyle name="40% - Accent1 2 3" xfId="257"/>
    <cellStyle name="40% - Accent1 2 4" xfId="258"/>
    <cellStyle name="40% - Accent1 2 5" xfId="259"/>
    <cellStyle name="40% - Accent1 2 6" xfId="260"/>
    <cellStyle name="40% - Accent1 3" xfId="261"/>
    <cellStyle name="40% - Accent1 3 2" xfId="262"/>
    <cellStyle name="40% - Accent1 3 3" xfId="263"/>
    <cellStyle name="40% - Accent1 3 4" xfId="264"/>
    <cellStyle name="40% - Accent1 3 5" xfId="265"/>
    <cellStyle name="40% - Accent1 3 6" xfId="266"/>
    <cellStyle name="40% - Accent1 4" xfId="267"/>
    <cellStyle name="40% - Accent1 5" xfId="268"/>
    <cellStyle name="40% - Accent1 6" xfId="269"/>
    <cellStyle name="40% - Accent1 7" xfId="270"/>
    <cellStyle name="40% - Accent1 8" xfId="271"/>
    <cellStyle name="40% - Accent1 9" xfId="272"/>
    <cellStyle name="40% - Accent1 9 2" xfId="273"/>
    <cellStyle name="40% - Accent1 9 2 2" xfId="274"/>
    <cellStyle name="40% - Accent1 9 3" xfId="275"/>
    <cellStyle name="40% - Accent2 10" xfId="276"/>
    <cellStyle name="40% - Accent2 10 2" xfId="277"/>
    <cellStyle name="40% - Accent2 10 2 2" xfId="278"/>
    <cellStyle name="40% - Accent2 10 3" xfId="279"/>
    <cellStyle name="40% - Accent2 11" xfId="280"/>
    <cellStyle name="40% - Accent2 11 2" xfId="281"/>
    <cellStyle name="40% - Accent2 12" xfId="282"/>
    <cellStyle name="40% - Accent2 12 2" xfId="283"/>
    <cellStyle name="40% - Accent2 13" xfId="284"/>
    <cellStyle name="40% - Accent2 13 2" xfId="285"/>
    <cellStyle name="40% - Accent2 14" xfId="286"/>
    <cellStyle name="40% - Accent2 14 2" xfId="287"/>
    <cellStyle name="40% - Accent2 15" xfId="288"/>
    <cellStyle name="40% - Accent2 15 2" xfId="289"/>
    <cellStyle name="40% - Accent2 16" xfId="290"/>
    <cellStyle name="40% - Accent2 16 2" xfId="291"/>
    <cellStyle name="40% - Accent2 17" xfId="292"/>
    <cellStyle name="40% - Accent2 18" xfId="293"/>
    <cellStyle name="40% - Accent2 2" xfId="294"/>
    <cellStyle name="40% - Accent2 2 2" xfId="295"/>
    <cellStyle name="40% - Accent2 2 3" xfId="296"/>
    <cellStyle name="40% - Accent2 2 4" xfId="297"/>
    <cellStyle name="40% - Accent2 2 5" xfId="298"/>
    <cellStyle name="40% - Accent2 2 6" xfId="299"/>
    <cellStyle name="40% - Accent2 3" xfId="300"/>
    <cellStyle name="40% - Accent2 3 2" xfId="301"/>
    <cellStyle name="40% - Accent2 3 3" xfId="302"/>
    <cellStyle name="40% - Accent2 3 4" xfId="303"/>
    <cellStyle name="40% - Accent2 3 5" xfId="304"/>
    <cellStyle name="40% - Accent2 3 6" xfId="305"/>
    <cellStyle name="40% - Accent2 4" xfId="306"/>
    <cellStyle name="40% - Accent2 5" xfId="307"/>
    <cellStyle name="40% - Accent2 6" xfId="308"/>
    <cellStyle name="40% - Accent2 7" xfId="309"/>
    <cellStyle name="40% - Accent2 8" xfId="310"/>
    <cellStyle name="40% - Accent2 9" xfId="311"/>
    <cellStyle name="40% - Accent2 9 2" xfId="312"/>
    <cellStyle name="40% - Accent2 9 2 2" xfId="313"/>
    <cellStyle name="40% - Accent2 9 3" xfId="314"/>
    <cellStyle name="40% - Accent3 10" xfId="315"/>
    <cellStyle name="40% - Accent3 10 2" xfId="316"/>
    <cellStyle name="40% - Accent3 10 2 2" xfId="317"/>
    <cellStyle name="40% - Accent3 10 3" xfId="318"/>
    <cellStyle name="40% - Accent3 11" xfId="319"/>
    <cellStyle name="40% - Accent3 11 2" xfId="320"/>
    <cellStyle name="40% - Accent3 12" xfId="321"/>
    <cellStyle name="40% - Accent3 12 2" xfId="322"/>
    <cellStyle name="40% - Accent3 13" xfId="323"/>
    <cellStyle name="40% - Accent3 13 2" xfId="324"/>
    <cellStyle name="40% - Accent3 14" xfId="325"/>
    <cellStyle name="40% - Accent3 14 2" xfId="326"/>
    <cellStyle name="40% - Accent3 15" xfId="327"/>
    <cellStyle name="40% - Accent3 15 2" xfId="328"/>
    <cellStyle name="40% - Accent3 16" xfId="329"/>
    <cellStyle name="40% - Accent3 16 2" xfId="330"/>
    <cellStyle name="40% - Accent3 17" xfId="331"/>
    <cellStyle name="40% - Accent3 18" xfId="332"/>
    <cellStyle name="40% - Accent3 2" xfId="333"/>
    <cellStyle name="40% - Accent3 2 2" xfId="334"/>
    <cellStyle name="40% - Accent3 2 3" xfId="335"/>
    <cellStyle name="40% - Accent3 2 4" xfId="336"/>
    <cellStyle name="40% - Accent3 2 5" xfId="337"/>
    <cellStyle name="40% - Accent3 2 6" xfId="338"/>
    <cellStyle name="40% - Accent3 3" xfId="339"/>
    <cellStyle name="40% - Accent3 3 2" xfId="340"/>
    <cellStyle name="40% - Accent3 3 3" xfId="341"/>
    <cellStyle name="40% - Accent3 3 4" xfId="342"/>
    <cellStyle name="40% - Accent3 3 5" xfId="343"/>
    <cellStyle name="40% - Accent3 3 6" xfId="344"/>
    <cellStyle name="40% - Accent3 4" xfId="345"/>
    <cellStyle name="40% - Accent3 5" xfId="346"/>
    <cellStyle name="40% - Accent3 6" xfId="347"/>
    <cellStyle name="40% - Accent3 7" xfId="348"/>
    <cellStyle name="40% - Accent3 8" xfId="349"/>
    <cellStyle name="40% - Accent3 9" xfId="350"/>
    <cellStyle name="40% - Accent3 9 2" xfId="351"/>
    <cellStyle name="40% - Accent3 9 2 2" xfId="352"/>
    <cellStyle name="40% - Accent3 9 3" xfId="353"/>
    <cellStyle name="40% - Accent4 10" xfId="354"/>
    <cellStyle name="40% - Accent4 10 2" xfId="355"/>
    <cellStyle name="40% - Accent4 10 2 2" xfId="356"/>
    <cellStyle name="40% - Accent4 10 3" xfId="357"/>
    <cellStyle name="40% - Accent4 11" xfId="358"/>
    <cellStyle name="40% - Accent4 11 2" xfId="359"/>
    <cellStyle name="40% - Accent4 12" xfId="360"/>
    <cellStyle name="40% - Accent4 12 2" xfId="361"/>
    <cellStyle name="40% - Accent4 13" xfId="362"/>
    <cellStyle name="40% - Accent4 13 2" xfId="363"/>
    <cellStyle name="40% - Accent4 14" xfId="364"/>
    <cellStyle name="40% - Accent4 14 2" xfId="365"/>
    <cellStyle name="40% - Accent4 15" xfId="366"/>
    <cellStyle name="40% - Accent4 15 2" xfId="367"/>
    <cellStyle name="40% - Accent4 16" xfId="368"/>
    <cellStyle name="40% - Accent4 16 2" xfId="369"/>
    <cellStyle name="40% - Accent4 17" xfId="370"/>
    <cellStyle name="40% - Accent4 18" xfId="371"/>
    <cellStyle name="40% - Accent4 2" xfId="372"/>
    <cellStyle name="40% - Accent4 2 2" xfId="373"/>
    <cellStyle name="40% - Accent4 2 3" xfId="374"/>
    <cellStyle name="40% - Accent4 2 4" xfId="375"/>
    <cellStyle name="40% - Accent4 2 5" xfId="376"/>
    <cellStyle name="40% - Accent4 2 6" xfId="377"/>
    <cellStyle name="40% - Accent4 3" xfId="378"/>
    <cellStyle name="40% - Accent4 3 2" xfId="379"/>
    <cellStyle name="40% - Accent4 3 3" xfId="380"/>
    <cellStyle name="40% - Accent4 3 4" xfId="381"/>
    <cellStyle name="40% - Accent4 3 5" xfId="382"/>
    <cellStyle name="40% - Accent4 3 6" xfId="383"/>
    <cellStyle name="40% - Accent4 4" xfId="384"/>
    <cellStyle name="40% - Accent4 5" xfId="385"/>
    <cellStyle name="40% - Accent4 6" xfId="386"/>
    <cellStyle name="40% - Accent4 7" xfId="387"/>
    <cellStyle name="40% - Accent4 8" xfId="388"/>
    <cellStyle name="40% - Accent4 9" xfId="389"/>
    <cellStyle name="40% - Accent4 9 2" xfId="390"/>
    <cellStyle name="40% - Accent4 9 2 2" xfId="391"/>
    <cellStyle name="40% - Accent4 9 3" xfId="392"/>
    <cellStyle name="40% - Accent5 10" xfId="393"/>
    <cellStyle name="40% - Accent5 10 2" xfId="394"/>
    <cellStyle name="40% - Accent5 10 2 2" xfId="395"/>
    <cellStyle name="40% - Accent5 10 3" xfId="396"/>
    <cellStyle name="40% - Accent5 11" xfId="397"/>
    <cellStyle name="40% - Accent5 11 2" xfId="398"/>
    <cellStyle name="40% - Accent5 12" xfId="399"/>
    <cellStyle name="40% - Accent5 12 2" xfId="400"/>
    <cellStyle name="40% - Accent5 13" xfId="401"/>
    <cellStyle name="40% - Accent5 13 2" xfId="402"/>
    <cellStyle name="40% - Accent5 14" xfId="403"/>
    <cellStyle name="40% - Accent5 14 2" xfId="404"/>
    <cellStyle name="40% - Accent5 15" xfId="405"/>
    <cellStyle name="40% - Accent5 15 2" xfId="406"/>
    <cellStyle name="40% - Accent5 16" xfId="407"/>
    <cellStyle name="40% - Accent5 16 2" xfId="408"/>
    <cellStyle name="40% - Accent5 17" xfId="409"/>
    <cellStyle name="40% - Accent5 18" xfId="410"/>
    <cellStyle name="40% - Accent5 2" xfId="411"/>
    <cellStyle name="40% - Accent5 2 2" xfId="412"/>
    <cellStyle name="40% - Accent5 2 3" xfId="413"/>
    <cellStyle name="40% - Accent5 2 4" xfId="414"/>
    <cellStyle name="40% - Accent5 2 5" xfId="415"/>
    <cellStyle name="40% - Accent5 2 6" xfId="416"/>
    <cellStyle name="40% - Accent5 3" xfId="417"/>
    <cellStyle name="40% - Accent5 3 2" xfId="418"/>
    <cellStyle name="40% - Accent5 3 3" xfId="419"/>
    <cellStyle name="40% - Accent5 3 4" xfId="420"/>
    <cellStyle name="40% - Accent5 3 5" xfId="421"/>
    <cellStyle name="40% - Accent5 3 6" xfId="422"/>
    <cellStyle name="40% - Accent5 4" xfId="423"/>
    <cellStyle name="40% - Accent5 5" xfId="424"/>
    <cellStyle name="40% - Accent5 6" xfId="425"/>
    <cellStyle name="40% - Accent5 7" xfId="426"/>
    <cellStyle name="40% - Accent5 8" xfId="427"/>
    <cellStyle name="40% - Accent5 9" xfId="428"/>
    <cellStyle name="40% - Accent5 9 2" xfId="429"/>
    <cellStyle name="40% - Accent5 9 2 2" xfId="430"/>
    <cellStyle name="40% - Accent5 9 3" xfId="431"/>
    <cellStyle name="40% - Accent6 10" xfId="432"/>
    <cellStyle name="40% - Accent6 10 2" xfId="433"/>
    <cellStyle name="40% - Accent6 10 2 2" xfId="434"/>
    <cellStyle name="40% - Accent6 10 3" xfId="435"/>
    <cellStyle name="40% - Accent6 11" xfId="436"/>
    <cellStyle name="40% - Accent6 11 2" xfId="437"/>
    <cellStyle name="40% - Accent6 12" xfId="438"/>
    <cellStyle name="40% - Accent6 12 2" xfId="439"/>
    <cellStyle name="40% - Accent6 13" xfId="440"/>
    <cellStyle name="40% - Accent6 13 2" xfId="441"/>
    <cellStyle name="40% - Accent6 14" xfId="442"/>
    <cellStyle name="40% - Accent6 14 2" xfId="443"/>
    <cellStyle name="40% - Accent6 15" xfId="444"/>
    <cellStyle name="40% - Accent6 15 2" xfId="445"/>
    <cellStyle name="40% - Accent6 16" xfId="446"/>
    <cellStyle name="40% - Accent6 16 2" xfId="447"/>
    <cellStyle name="40% - Accent6 17" xfId="448"/>
    <cellStyle name="40% - Accent6 18" xfId="449"/>
    <cellStyle name="40% - Accent6 2" xfId="450"/>
    <cellStyle name="40% - Accent6 2 2" xfId="451"/>
    <cellStyle name="40% - Accent6 2 3" xfId="452"/>
    <cellStyle name="40% - Accent6 2 4" xfId="453"/>
    <cellStyle name="40% - Accent6 2 5" xfId="454"/>
    <cellStyle name="40% - Accent6 2 6" xfId="455"/>
    <cellStyle name="40% - Accent6 3" xfId="456"/>
    <cellStyle name="40% - Accent6 3 2" xfId="457"/>
    <cellStyle name="40% - Accent6 3 3" xfId="458"/>
    <cellStyle name="40% - Accent6 3 4" xfId="459"/>
    <cellStyle name="40% - Accent6 3 5" xfId="460"/>
    <cellStyle name="40% - Accent6 3 6" xfId="461"/>
    <cellStyle name="40% - Accent6 4" xfId="462"/>
    <cellStyle name="40% - Accent6 5" xfId="463"/>
    <cellStyle name="40% - Accent6 6" xfId="464"/>
    <cellStyle name="40% - Accent6 7" xfId="465"/>
    <cellStyle name="40% - Accent6 8" xfId="466"/>
    <cellStyle name="40% - Accent6 9" xfId="467"/>
    <cellStyle name="40% - Accent6 9 2" xfId="468"/>
    <cellStyle name="40% - Accent6 9 2 2" xfId="469"/>
    <cellStyle name="40% - Accent6 9 3" xfId="470"/>
    <cellStyle name="60% - Accent1 2" xfId="471"/>
    <cellStyle name="60% - Accent1 2 2" xfId="472"/>
    <cellStyle name="60% - Accent1 2 3" xfId="473"/>
    <cellStyle name="60% - Accent1 2 4" xfId="474"/>
    <cellStyle name="60% - Accent1 2 5" xfId="475"/>
    <cellStyle name="60% - Accent1 2 6" xfId="476"/>
    <cellStyle name="60% - Accent1 3" xfId="477"/>
    <cellStyle name="60% - Accent1 3 2" xfId="478"/>
    <cellStyle name="60% - Accent1 3 3" xfId="479"/>
    <cellStyle name="60% - Accent1 3 4" xfId="480"/>
    <cellStyle name="60% - Accent1 3 5" xfId="481"/>
    <cellStyle name="60% - Accent1 3 6" xfId="482"/>
    <cellStyle name="60% - Accent1 4" xfId="483"/>
    <cellStyle name="60% - Accent1 5" xfId="484"/>
    <cellStyle name="60% - Accent1 6" xfId="485"/>
    <cellStyle name="60% - Accent1 7" xfId="486"/>
    <cellStyle name="60% - Accent1 8" xfId="487"/>
    <cellStyle name="60% - Accent1 9" xfId="488"/>
    <cellStyle name="60% - Accent2 2" xfId="489"/>
    <cellStyle name="60% - Accent2 2 2" xfId="490"/>
    <cellStyle name="60% - Accent2 2 3" xfId="491"/>
    <cellStyle name="60% - Accent2 2 4" xfId="492"/>
    <cellStyle name="60% - Accent2 2 5" xfId="493"/>
    <cellStyle name="60% - Accent2 2 6" xfId="494"/>
    <cellStyle name="60% - Accent2 3" xfId="495"/>
    <cellStyle name="60% - Accent2 3 2" xfId="496"/>
    <cellStyle name="60% - Accent2 3 3" xfId="497"/>
    <cellStyle name="60% - Accent2 3 4" xfId="498"/>
    <cellStyle name="60% - Accent2 3 5" xfId="499"/>
    <cellStyle name="60% - Accent2 3 6" xfId="500"/>
    <cellStyle name="60% - Accent2 4" xfId="501"/>
    <cellStyle name="60% - Accent2 5" xfId="502"/>
    <cellStyle name="60% - Accent2 6" xfId="503"/>
    <cellStyle name="60% - Accent2 7" xfId="504"/>
    <cellStyle name="60% - Accent2 8" xfId="505"/>
    <cellStyle name="60% - Accent2 9" xfId="506"/>
    <cellStyle name="60% - Accent3 2" xfId="507"/>
    <cellStyle name="60% - Accent3 2 2" xfId="508"/>
    <cellStyle name="60% - Accent3 2 3" xfId="509"/>
    <cellStyle name="60% - Accent3 2 4" xfId="510"/>
    <cellStyle name="60% - Accent3 2 5" xfId="511"/>
    <cellStyle name="60% - Accent3 2 6" xfId="512"/>
    <cellStyle name="60% - Accent3 3" xfId="513"/>
    <cellStyle name="60% - Accent3 3 2" xfId="514"/>
    <cellStyle name="60% - Accent3 3 3" xfId="515"/>
    <cellStyle name="60% - Accent3 3 4" xfId="516"/>
    <cellStyle name="60% - Accent3 3 5" xfId="517"/>
    <cellStyle name="60% - Accent3 3 6" xfId="518"/>
    <cellStyle name="60% - Accent3 4" xfId="519"/>
    <cellStyle name="60% - Accent3 5" xfId="520"/>
    <cellStyle name="60% - Accent3 6" xfId="521"/>
    <cellStyle name="60% - Accent3 7" xfId="522"/>
    <cellStyle name="60% - Accent3 8" xfId="523"/>
    <cellStyle name="60% - Accent3 9" xfId="524"/>
    <cellStyle name="60% - Accent4 2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3" xfId="531"/>
    <cellStyle name="60% - Accent4 3 2" xfId="532"/>
    <cellStyle name="60% - Accent4 3 3" xfId="533"/>
    <cellStyle name="60% - Accent4 3 4" xfId="534"/>
    <cellStyle name="60% - Accent4 3 5" xfId="535"/>
    <cellStyle name="60% - Accent4 3 6" xfId="536"/>
    <cellStyle name="60% - Accent4 4" xfId="537"/>
    <cellStyle name="60% - Accent4 5" xfId="538"/>
    <cellStyle name="60% - Accent4 6" xfId="539"/>
    <cellStyle name="60% - Accent4 7" xfId="540"/>
    <cellStyle name="60% - Accent4 8" xfId="541"/>
    <cellStyle name="60% - Accent4 9" xfId="542"/>
    <cellStyle name="60% - Accent5 2" xfId="543"/>
    <cellStyle name="60% - Accent5 2 2" xfId="544"/>
    <cellStyle name="60% - Accent5 2 3" xfId="545"/>
    <cellStyle name="60% - Accent5 2 4" xfId="546"/>
    <cellStyle name="60% - Accent5 2 5" xfId="547"/>
    <cellStyle name="60% - Accent5 2 6" xfId="548"/>
    <cellStyle name="60% - Accent5 3" xfId="549"/>
    <cellStyle name="60% - Accent5 3 2" xfId="550"/>
    <cellStyle name="60% - Accent5 3 3" xfId="551"/>
    <cellStyle name="60% - Accent5 3 4" xfId="552"/>
    <cellStyle name="60% - Accent5 3 5" xfId="553"/>
    <cellStyle name="60% - Accent5 3 6" xfId="554"/>
    <cellStyle name="60% - Accent5 4" xfId="555"/>
    <cellStyle name="60% - Accent5 5" xfId="556"/>
    <cellStyle name="60% - Accent5 6" xfId="557"/>
    <cellStyle name="60% - Accent5 7" xfId="558"/>
    <cellStyle name="60% - Accent5 8" xfId="559"/>
    <cellStyle name="60% - Accent5 9" xfId="560"/>
    <cellStyle name="60% - Accent6 2" xfId="561"/>
    <cellStyle name="60% - Accent6 2 2" xfId="562"/>
    <cellStyle name="60% - Accent6 2 3" xfId="563"/>
    <cellStyle name="60% - Accent6 2 4" xfId="564"/>
    <cellStyle name="60% - Accent6 2 5" xfId="565"/>
    <cellStyle name="60% - Accent6 2 6" xfId="566"/>
    <cellStyle name="60% - Accent6 3" xfId="567"/>
    <cellStyle name="60% - Accent6 3 2" xfId="568"/>
    <cellStyle name="60% - Accent6 3 3" xfId="569"/>
    <cellStyle name="60% - Accent6 3 4" xfId="570"/>
    <cellStyle name="60% - Accent6 3 5" xfId="571"/>
    <cellStyle name="60% - Accent6 3 6" xfId="572"/>
    <cellStyle name="60% - Accent6 4" xfId="573"/>
    <cellStyle name="60% - Accent6 5" xfId="574"/>
    <cellStyle name="60% - Accent6 6" xfId="575"/>
    <cellStyle name="60% - Accent6 7" xfId="576"/>
    <cellStyle name="60% - Accent6 8" xfId="577"/>
    <cellStyle name="60% - Accent6 9" xfId="578"/>
    <cellStyle name="Accent1 2" xfId="579"/>
    <cellStyle name="Accent1 2 2" xfId="580"/>
    <cellStyle name="Accent1 2 3" xfId="581"/>
    <cellStyle name="Accent1 2 4" xfId="582"/>
    <cellStyle name="Accent1 2 5" xfId="583"/>
    <cellStyle name="Accent1 2 6" xfId="584"/>
    <cellStyle name="Accent1 3" xfId="585"/>
    <cellStyle name="Accent1 3 2" xfId="586"/>
    <cellStyle name="Accent1 3 3" xfId="587"/>
    <cellStyle name="Accent1 3 4" xfId="588"/>
    <cellStyle name="Accent1 3 5" xfId="589"/>
    <cellStyle name="Accent1 3 6" xfId="590"/>
    <cellStyle name="Accent1 4" xfId="591"/>
    <cellStyle name="Accent1 5" xfId="592"/>
    <cellStyle name="Accent1 6" xfId="593"/>
    <cellStyle name="Accent1 7" xfId="594"/>
    <cellStyle name="Accent1 8" xfId="595"/>
    <cellStyle name="Accent1 9" xfId="596"/>
    <cellStyle name="Accent2 2" xfId="597"/>
    <cellStyle name="Accent2 2 2" xfId="598"/>
    <cellStyle name="Accent2 2 3" xfId="599"/>
    <cellStyle name="Accent2 2 4" xfId="600"/>
    <cellStyle name="Accent2 2 5" xfId="601"/>
    <cellStyle name="Accent2 2 6" xfId="602"/>
    <cellStyle name="Accent2 3" xfId="603"/>
    <cellStyle name="Accent2 3 2" xfId="604"/>
    <cellStyle name="Accent2 3 3" xfId="605"/>
    <cellStyle name="Accent2 3 4" xfId="606"/>
    <cellStyle name="Accent2 3 5" xfId="607"/>
    <cellStyle name="Accent2 3 6" xfId="608"/>
    <cellStyle name="Accent2 4" xfId="609"/>
    <cellStyle name="Accent2 5" xfId="610"/>
    <cellStyle name="Accent2 6" xfId="611"/>
    <cellStyle name="Accent2 7" xfId="612"/>
    <cellStyle name="Accent2 8" xfId="613"/>
    <cellStyle name="Accent2 9" xfId="614"/>
    <cellStyle name="Accent3 2" xfId="615"/>
    <cellStyle name="Accent3 2 2" xfId="616"/>
    <cellStyle name="Accent3 2 3" xfId="617"/>
    <cellStyle name="Accent3 2 4" xfId="618"/>
    <cellStyle name="Accent3 2 5" xfId="619"/>
    <cellStyle name="Accent3 2 6" xfId="620"/>
    <cellStyle name="Accent3 3" xfId="621"/>
    <cellStyle name="Accent3 3 2" xfId="622"/>
    <cellStyle name="Accent3 3 3" xfId="623"/>
    <cellStyle name="Accent3 3 4" xfId="624"/>
    <cellStyle name="Accent3 3 5" xfId="625"/>
    <cellStyle name="Accent3 3 6" xfId="626"/>
    <cellStyle name="Accent3 4" xfId="627"/>
    <cellStyle name="Accent3 5" xfId="628"/>
    <cellStyle name="Accent3 6" xfId="629"/>
    <cellStyle name="Accent3 7" xfId="630"/>
    <cellStyle name="Accent3 8" xfId="631"/>
    <cellStyle name="Accent3 9" xfId="632"/>
    <cellStyle name="Accent4 2" xfId="633"/>
    <cellStyle name="Accent4 2 2" xfId="634"/>
    <cellStyle name="Accent4 2 3" xfId="635"/>
    <cellStyle name="Accent4 2 4" xfId="636"/>
    <cellStyle name="Accent4 2 5" xfId="637"/>
    <cellStyle name="Accent4 2 6" xfId="638"/>
    <cellStyle name="Accent4 3" xfId="639"/>
    <cellStyle name="Accent4 3 2" xfId="640"/>
    <cellStyle name="Accent4 3 3" xfId="641"/>
    <cellStyle name="Accent4 3 4" xfId="642"/>
    <cellStyle name="Accent4 3 5" xfId="643"/>
    <cellStyle name="Accent4 3 6" xfId="644"/>
    <cellStyle name="Accent4 4" xfId="645"/>
    <cellStyle name="Accent4 5" xfId="646"/>
    <cellStyle name="Accent4 6" xfId="647"/>
    <cellStyle name="Accent4 7" xfId="648"/>
    <cellStyle name="Accent4 8" xfId="649"/>
    <cellStyle name="Accent4 9" xfId="650"/>
    <cellStyle name="Accent5 2" xfId="651"/>
    <cellStyle name="Accent5 2 2" xfId="652"/>
    <cellStyle name="Accent5 2 3" xfId="653"/>
    <cellStyle name="Accent5 2 4" xfId="654"/>
    <cellStyle name="Accent5 2 5" xfId="655"/>
    <cellStyle name="Accent5 2 6" xfId="656"/>
    <cellStyle name="Accent5 3" xfId="657"/>
    <cellStyle name="Accent5 3 2" xfId="658"/>
    <cellStyle name="Accent5 3 3" xfId="659"/>
    <cellStyle name="Accent5 3 4" xfId="660"/>
    <cellStyle name="Accent5 3 5" xfId="661"/>
    <cellStyle name="Accent5 3 6" xfId="662"/>
    <cellStyle name="Accent5 4" xfId="663"/>
    <cellStyle name="Accent5 5" xfId="664"/>
    <cellStyle name="Accent5 6" xfId="665"/>
    <cellStyle name="Accent5 7" xfId="666"/>
    <cellStyle name="Accent5 8" xfId="667"/>
    <cellStyle name="Accent5 9" xfId="668"/>
    <cellStyle name="Accent6 2" xfId="669"/>
    <cellStyle name="Accent6 2 2" xfId="670"/>
    <cellStyle name="Accent6 2 3" xfId="671"/>
    <cellStyle name="Accent6 2 4" xfId="672"/>
    <cellStyle name="Accent6 2 5" xfId="673"/>
    <cellStyle name="Accent6 2 6" xfId="674"/>
    <cellStyle name="Accent6 3" xfId="675"/>
    <cellStyle name="Accent6 3 2" xfId="676"/>
    <cellStyle name="Accent6 3 3" xfId="677"/>
    <cellStyle name="Accent6 3 4" xfId="678"/>
    <cellStyle name="Accent6 3 5" xfId="679"/>
    <cellStyle name="Accent6 3 6" xfId="680"/>
    <cellStyle name="Accent6 4" xfId="681"/>
    <cellStyle name="Accent6 5" xfId="682"/>
    <cellStyle name="Accent6 6" xfId="683"/>
    <cellStyle name="Accent6 7" xfId="684"/>
    <cellStyle name="Accent6 8" xfId="685"/>
    <cellStyle name="Accent6 9" xfId="686"/>
    <cellStyle name="Bad 2" xfId="687"/>
    <cellStyle name="Bad 2 2" xfId="688"/>
    <cellStyle name="Bad 2 3" xfId="689"/>
    <cellStyle name="Bad 2 4" xfId="690"/>
    <cellStyle name="Bad 2 5" xfId="691"/>
    <cellStyle name="Bad 2 6" xfId="692"/>
    <cellStyle name="Bad 3" xfId="693"/>
    <cellStyle name="Bad 3 2" xfId="694"/>
    <cellStyle name="Bad 3 3" xfId="695"/>
    <cellStyle name="Bad 3 4" xfId="696"/>
    <cellStyle name="Bad 3 5" xfId="697"/>
    <cellStyle name="Bad 3 6" xfId="698"/>
    <cellStyle name="Bad 4" xfId="699"/>
    <cellStyle name="Bad 5" xfId="700"/>
    <cellStyle name="Bad 6" xfId="701"/>
    <cellStyle name="Bad 7" xfId="702"/>
    <cellStyle name="Bad 8" xfId="703"/>
    <cellStyle name="Bad 9" xfId="704"/>
    <cellStyle name="Calculation 2" xfId="705"/>
    <cellStyle name="Calculation 2 2" xfId="706"/>
    <cellStyle name="Calculation 2 3" xfId="707"/>
    <cellStyle name="Calculation 2 4" xfId="708"/>
    <cellStyle name="Calculation 2 5" xfId="709"/>
    <cellStyle name="Calculation 2 6" xfId="710"/>
    <cellStyle name="Calculation 3" xfId="711"/>
    <cellStyle name="Calculation 3 2" xfId="712"/>
    <cellStyle name="Calculation 3 3" xfId="713"/>
    <cellStyle name="Calculation 3 4" xfId="714"/>
    <cellStyle name="Calculation 3 5" xfId="715"/>
    <cellStyle name="Calculation 3 6" xfId="716"/>
    <cellStyle name="Calculation 4" xfId="717"/>
    <cellStyle name="Calculation 5" xfId="718"/>
    <cellStyle name="Calculation 6" xfId="719"/>
    <cellStyle name="Calculation 7" xfId="720"/>
    <cellStyle name="Calculation 8" xfId="721"/>
    <cellStyle name="Calculation 9" xfId="722"/>
    <cellStyle name="Check Cell 2" xfId="723"/>
    <cellStyle name="Check Cell 2 2" xfId="724"/>
    <cellStyle name="Check Cell 2 3" xfId="725"/>
    <cellStyle name="Check Cell 2 4" xfId="726"/>
    <cellStyle name="Check Cell 2 5" xfId="727"/>
    <cellStyle name="Check Cell 2 6" xfId="728"/>
    <cellStyle name="Check Cell 3" xfId="729"/>
    <cellStyle name="Check Cell 3 2" xfId="730"/>
    <cellStyle name="Check Cell 3 3" xfId="731"/>
    <cellStyle name="Check Cell 3 4" xfId="732"/>
    <cellStyle name="Check Cell 3 5" xfId="733"/>
    <cellStyle name="Check Cell 3 6" xfId="734"/>
    <cellStyle name="Check Cell 4" xfId="735"/>
    <cellStyle name="Check Cell 5" xfId="736"/>
    <cellStyle name="Check Cell 6" xfId="737"/>
    <cellStyle name="Check Cell 7" xfId="738"/>
    <cellStyle name="Check Cell 8" xfId="739"/>
    <cellStyle name="Check Cell 9" xfId="740"/>
    <cellStyle name="Comma" xfId="1" builtinId="3"/>
    <cellStyle name="Comma 10" xfId="741"/>
    <cellStyle name="Comma 10 2" xfId="742"/>
    <cellStyle name="Comma 10 2 2" xfId="743"/>
    <cellStyle name="Comma 10 3" xfId="744"/>
    <cellStyle name="Comma 11" xfId="745"/>
    <cellStyle name="Comma 2" xfId="746"/>
    <cellStyle name="Comma 2 2" xfId="747"/>
    <cellStyle name="Comma 2 2 2" xfId="748"/>
    <cellStyle name="Comma 2 2 2 2" xfId="749"/>
    <cellStyle name="Comma 2 2 3" xfId="750"/>
    <cellStyle name="Comma 2 2 3 2" xfId="751"/>
    <cellStyle name="Comma 2 2 4" xfId="752"/>
    <cellStyle name="Comma 2 2 4 2" xfId="753"/>
    <cellStyle name="Comma 2 2 5" xfId="754"/>
    <cellStyle name="Comma 2 2 5 2" xfId="755"/>
    <cellStyle name="Comma 2 2 6" xfId="756"/>
    <cellStyle name="Comma 2 2 6 2" xfId="757"/>
    <cellStyle name="Comma 2 2 7" xfId="758"/>
    <cellStyle name="Comma 2 2 7 2" xfId="759"/>
    <cellStyle name="Comma 2 3" xfId="760"/>
    <cellStyle name="Comma 2 3 2" xfId="761"/>
    <cellStyle name="Comma 2 3 2 2" xfId="762"/>
    <cellStyle name="Comma 2 3 3" xfId="763"/>
    <cellStyle name="Comma 2 3 3 2" xfId="764"/>
    <cellStyle name="Comma 2 3 4" xfId="765"/>
    <cellStyle name="Comma 2 3 4 2" xfId="766"/>
    <cellStyle name="Comma 2 3 5" xfId="767"/>
    <cellStyle name="Comma 2 3 5 2" xfId="768"/>
    <cellStyle name="Comma 2 4" xfId="769"/>
    <cellStyle name="Comma 2 4 2" xfId="770"/>
    <cellStyle name="Comma 2 5" xfId="771"/>
    <cellStyle name="Comma 2 5 2" xfId="772"/>
    <cellStyle name="Comma 2 6" xfId="773"/>
    <cellStyle name="Comma 2 6 2" xfId="774"/>
    <cellStyle name="Comma 2 7" xfId="775"/>
    <cellStyle name="Comma 2 7 2" xfId="776"/>
    <cellStyle name="Comma 2 8" xfId="777"/>
    <cellStyle name="Comma 2 8 2" xfId="778"/>
    <cellStyle name="Comma 2 9" xfId="779"/>
    <cellStyle name="Comma 2_1-8 Oct" xfId="780"/>
    <cellStyle name="Comma 3" xfId="781"/>
    <cellStyle name="Comma 3 2" xfId="782"/>
    <cellStyle name="Comma 3 2 10" xfId="783"/>
    <cellStyle name="Comma 3 2 10 2" xfId="784"/>
    <cellStyle name="Comma 3 2 11" xfId="785"/>
    <cellStyle name="Comma 3 2 11 2" xfId="786"/>
    <cellStyle name="Comma 3 2 12" xfId="787"/>
    <cellStyle name="Comma 3 2 12 2" xfId="788"/>
    <cellStyle name="Comma 3 2 13" xfId="789"/>
    <cellStyle name="Comma 3 2 14" xfId="790"/>
    <cellStyle name="Comma 3 2 2" xfId="791"/>
    <cellStyle name="Comma 3 2 2 2" xfId="792"/>
    <cellStyle name="Comma 3 2 2 3" xfId="793"/>
    <cellStyle name="Comma 3 2 2 4" xfId="794"/>
    <cellStyle name="Comma 3 2 2 5" xfId="795"/>
    <cellStyle name="Comma 3 2 2 6" xfId="796"/>
    <cellStyle name="Comma 3 2 2 7" xfId="797"/>
    <cellStyle name="Comma 3 2 3" xfId="798"/>
    <cellStyle name="Comma 3 2 4" xfId="799"/>
    <cellStyle name="Comma 3 2 5" xfId="800"/>
    <cellStyle name="Comma 3 2 6" xfId="801"/>
    <cellStyle name="Comma 3 2 7" xfId="802"/>
    <cellStyle name="Comma 3 2 7 2" xfId="803"/>
    <cellStyle name="Comma 3 2 8" xfId="804"/>
    <cellStyle name="Comma 3 2 8 2" xfId="805"/>
    <cellStyle name="Comma 3 2 9" xfId="806"/>
    <cellStyle name="Comma 3 2 9 2" xfId="807"/>
    <cellStyle name="Comma 3 2_23-28" xfId="808"/>
    <cellStyle name="Comma 3 3" xfId="809"/>
    <cellStyle name="Comma 3 3 2" xfId="810"/>
    <cellStyle name="Comma 3 3 2 2" xfId="811"/>
    <cellStyle name="Comma 3 3 3" xfId="812"/>
    <cellStyle name="Comma 3 3 3 2" xfId="813"/>
    <cellStyle name="Comma 3 3 4" xfId="814"/>
    <cellStyle name="Comma 3 3 4 2" xfId="815"/>
    <cellStyle name="Comma 3 3 5" xfId="816"/>
    <cellStyle name="Comma 3 3 5 2" xfId="817"/>
    <cellStyle name="Comma 3 4" xfId="818"/>
    <cellStyle name="Comma 3 4 2" xfId="819"/>
    <cellStyle name="Comma 3 5" xfId="820"/>
    <cellStyle name="Comma 3 5 2" xfId="821"/>
    <cellStyle name="Comma 3 6" xfId="822"/>
    <cellStyle name="Comma 3 6 2" xfId="823"/>
    <cellStyle name="Comma 3 7" xfId="824"/>
    <cellStyle name="Comma 3 7 2" xfId="825"/>
    <cellStyle name="Comma 3 8" xfId="826"/>
    <cellStyle name="Comma 3 8 2" xfId="827"/>
    <cellStyle name="Comma 3_1-8 Oct" xfId="828"/>
    <cellStyle name="Comma 4" xfId="829"/>
    <cellStyle name="Comma 4 2" xfId="830"/>
    <cellStyle name="Comma 4 2 2" xfId="831"/>
    <cellStyle name="Comma 4 2 2 2" xfId="832"/>
    <cellStyle name="Comma 4 2 3" xfId="833"/>
    <cellStyle name="Comma 4 2 3 2" xfId="834"/>
    <cellStyle name="Comma 4 2 4" xfId="835"/>
    <cellStyle name="Comma 4 2 4 2" xfId="836"/>
    <cellStyle name="Comma 4 2 5" xfId="837"/>
    <cellStyle name="Comma 4 2 5 2" xfId="838"/>
    <cellStyle name="Comma 4 3" xfId="839"/>
    <cellStyle name="Comma 4 3 2" xfId="840"/>
    <cellStyle name="Comma 4 4" xfId="841"/>
    <cellStyle name="Comma 4 4 2" xfId="842"/>
    <cellStyle name="Comma 4 5" xfId="843"/>
    <cellStyle name="Comma 4 5 2" xfId="844"/>
    <cellStyle name="Comma 4 6" xfId="845"/>
    <cellStyle name="Comma 4 6 2" xfId="846"/>
    <cellStyle name="Comma 4 7" xfId="847"/>
    <cellStyle name="Comma 4 7 2" xfId="848"/>
    <cellStyle name="Comma 5" xfId="849"/>
    <cellStyle name="Comma 5 2" xfId="850"/>
    <cellStyle name="Comma 5 2 2" xfId="851"/>
    <cellStyle name="Comma 5 2 2 2" xfId="852"/>
    <cellStyle name="Comma 5 2 3" xfId="853"/>
    <cellStyle name="Comma 5 2 3 2" xfId="854"/>
    <cellStyle name="Comma 5 2 4" xfId="855"/>
    <cellStyle name="Comma 5 2 4 2" xfId="856"/>
    <cellStyle name="Comma 5 2 5" xfId="857"/>
    <cellStyle name="Comma 5 2 5 2" xfId="858"/>
    <cellStyle name="Comma 5 2 6" xfId="859"/>
    <cellStyle name="Comma 5 2 6 2" xfId="860"/>
    <cellStyle name="Comma 5 2 7" xfId="861"/>
    <cellStyle name="Comma 5 2 7 2" xfId="862"/>
    <cellStyle name="Comma 5 3" xfId="863"/>
    <cellStyle name="Comma 5 3 2" xfId="864"/>
    <cellStyle name="Comma 5 3 2 2" xfId="865"/>
    <cellStyle name="Comma 5 3 3" xfId="866"/>
    <cellStyle name="Comma 5 3 3 2" xfId="867"/>
    <cellStyle name="Comma 5 3 4" xfId="868"/>
    <cellStyle name="Comma 5 3 4 2" xfId="869"/>
    <cellStyle name="Comma 5 3 5" xfId="870"/>
    <cellStyle name="Comma 5 3 5 2" xfId="871"/>
    <cellStyle name="Comma 5 4" xfId="872"/>
    <cellStyle name="Comma 5 4 2" xfId="873"/>
    <cellStyle name="Comma 5 5" xfId="874"/>
    <cellStyle name="Comma 5 5 2" xfId="875"/>
    <cellStyle name="Comma 5 6" xfId="876"/>
    <cellStyle name="Comma 5 6 2" xfId="877"/>
    <cellStyle name="Comma 5 7" xfId="878"/>
    <cellStyle name="Comma 5 7 2" xfId="879"/>
    <cellStyle name="Comma 5 8" xfId="880"/>
    <cellStyle name="Comma 5 8 2" xfId="881"/>
    <cellStyle name="Comma 5 9" xfId="882"/>
    <cellStyle name="Comma 5_1-8 Oct" xfId="883"/>
    <cellStyle name="Comma 6" xfId="884"/>
    <cellStyle name="Comma 6 2" xfId="885"/>
    <cellStyle name="Comma 6 2 10" xfId="886"/>
    <cellStyle name="Comma 6 2 10 2" xfId="887"/>
    <cellStyle name="Comma 6 2 11" xfId="888"/>
    <cellStyle name="Comma 6 2 11 2" xfId="889"/>
    <cellStyle name="Comma 6 2 12" xfId="890"/>
    <cellStyle name="Comma 6 2 12 2" xfId="891"/>
    <cellStyle name="Comma 6 2 2" xfId="892"/>
    <cellStyle name="Comma 6 2 2 2" xfId="893"/>
    <cellStyle name="Comma 6 2 2 3" xfId="894"/>
    <cellStyle name="Comma 6 2 2 4" xfId="895"/>
    <cellStyle name="Comma 6 2 2 5" xfId="896"/>
    <cellStyle name="Comma 6 2 2 6" xfId="897"/>
    <cellStyle name="Comma 6 2 2 7" xfId="898"/>
    <cellStyle name="Comma 6 2 3" xfId="899"/>
    <cellStyle name="Comma 6 2 4" xfId="900"/>
    <cellStyle name="Comma 6 2 5" xfId="901"/>
    <cellStyle name="Comma 6 2 6" xfId="902"/>
    <cellStyle name="Comma 6 2 7" xfId="903"/>
    <cellStyle name="Comma 6 2 7 2" xfId="904"/>
    <cellStyle name="Comma 6 2 8" xfId="905"/>
    <cellStyle name="Comma 6 2 8 2" xfId="906"/>
    <cellStyle name="Comma 6 2 9" xfId="907"/>
    <cellStyle name="Comma 6 2 9 2" xfId="908"/>
    <cellStyle name="Comma 6 2_23-28" xfId="909"/>
    <cellStyle name="Comma 6 3" xfId="910"/>
    <cellStyle name="Comma 6 3 2" xfId="911"/>
    <cellStyle name="Comma 6 3 2 2" xfId="912"/>
    <cellStyle name="Comma 6 3 3" xfId="913"/>
    <cellStyle name="Comma 6 3 3 2" xfId="914"/>
    <cellStyle name="Comma 6 3 4" xfId="915"/>
    <cellStyle name="Comma 6 3 4 2" xfId="916"/>
    <cellStyle name="Comma 6 3 5" xfId="917"/>
    <cellStyle name="Comma 6 3 5 2" xfId="918"/>
    <cellStyle name="Comma 6 4" xfId="919"/>
    <cellStyle name="Comma 6 4 2" xfId="920"/>
    <cellStyle name="Comma 6 5" xfId="921"/>
    <cellStyle name="Comma 6 5 2" xfId="922"/>
    <cellStyle name="Comma 6 6" xfId="923"/>
    <cellStyle name="Comma 6 6 2" xfId="924"/>
    <cellStyle name="Comma 6 7" xfId="925"/>
    <cellStyle name="Comma 6 7 2" xfId="926"/>
    <cellStyle name="Comma 6 8" xfId="927"/>
    <cellStyle name="Comma 6 8 2" xfId="928"/>
    <cellStyle name="Comma 6_1-8 Oct" xfId="929"/>
    <cellStyle name="Comma 7" xfId="930"/>
    <cellStyle name="Comma 7 2" xfId="931"/>
    <cellStyle name="Comma 7 3" xfId="932"/>
    <cellStyle name="Comma 7 4" xfId="933"/>
    <cellStyle name="Comma 7 5" xfId="934"/>
    <cellStyle name="Comma 7 6" xfId="935"/>
    <cellStyle name="Comma 7 7" xfId="936"/>
    <cellStyle name="Comma 8" xfId="937"/>
    <cellStyle name="Comma 8 2" xfId="938"/>
    <cellStyle name="Comma 8 3" xfId="939"/>
    <cellStyle name="Comma 8 4" xfId="940"/>
    <cellStyle name="Comma 8 5" xfId="941"/>
    <cellStyle name="Comma 8 6" xfId="942"/>
    <cellStyle name="Comma 8 7" xfId="943"/>
    <cellStyle name="Comma 8 8" xfId="944"/>
    <cellStyle name="Comma 9" xfId="945"/>
    <cellStyle name="Comma 9 2" xfId="946"/>
    <cellStyle name="Comma 9 3" xfId="947"/>
    <cellStyle name="Comma 9 4" xfId="948"/>
    <cellStyle name="Comma 9 5" xfId="949"/>
    <cellStyle name="Comma 9 6" xfId="950"/>
    <cellStyle name="Comma 9 7" xfId="951"/>
    <cellStyle name="Comma 9 7 2" xfId="952"/>
    <cellStyle name="Comma 9 8" xfId="953"/>
    <cellStyle name="Currency 2" xfId="954"/>
    <cellStyle name="Currency 2 2" xfId="955"/>
    <cellStyle name="Currency 2 2 2" xfId="956"/>
    <cellStyle name="Currency 3" xfId="957"/>
    <cellStyle name="Currency 3 2" xfId="958"/>
    <cellStyle name="Explanatory Text 2" xfId="959"/>
    <cellStyle name="Explanatory Text 2 2" xfId="960"/>
    <cellStyle name="Explanatory Text 2 3" xfId="961"/>
    <cellStyle name="Explanatory Text 2 4" xfId="962"/>
    <cellStyle name="Explanatory Text 2 5" xfId="963"/>
    <cellStyle name="Explanatory Text 2 6" xfId="964"/>
    <cellStyle name="Explanatory Text 3" xfId="965"/>
    <cellStyle name="Explanatory Text 3 2" xfId="966"/>
    <cellStyle name="Explanatory Text 3 3" xfId="967"/>
    <cellStyle name="Explanatory Text 3 4" xfId="968"/>
    <cellStyle name="Explanatory Text 3 5" xfId="969"/>
    <cellStyle name="Explanatory Text 3 6" xfId="970"/>
    <cellStyle name="Explanatory Text 4" xfId="971"/>
    <cellStyle name="Explanatory Text 5" xfId="972"/>
    <cellStyle name="Explanatory Text 6" xfId="973"/>
    <cellStyle name="Explanatory Text 7" xfId="974"/>
    <cellStyle name="Explanatory Text 8" xfId="975"/>
    <cellStyle name="Explanatory Text 9" xfId="976"/>
    <cellStyle name="Good 2" xfId="977"/>
    <cellStyle name="Good 2 2" xfId="978"/>
    <cellStyle name="Good 2 3" xfId="979"/>
    <cellStyle name="Good 2 4" xfId="980"/>
    <cellStyle name="Good 2 5" xfId="981"/>
    <cellStyle name="Good 2 6" xfId="982"/>
    <cellStyle name="Good 3" xfId="983"/>
    <cellStyle name="Good 3 2" xfId="984"/>
    <cellStyle name="Good 3 3" xfId="985"/>
    <cellStyle name="Good 3 4" xfId="986"/>
    <cellStyle name="Good 3 5" xfId="987"/>
    <cellStyle name="Good 3 6" xfId="988"/>
    <cellStyle name="Good 4" xfId="989"/>
    <cellStyle name="Good 5" xfId="990"/>
    <cellStyle name="Good 6" xfId="991"/>
    <cellStyle name="Good 7" xfId="992"/>
    <cellStyle name="Good 8" xfId="993"/>
    <cellStyle name="Good 9" xfId="994"/>
    <cellStyle name="GREEN" xfId="995"/>
    <cellStyle name="GREEN 2" xfId="996"/>
    <cellStyle name="GREEN 2 2" xfId="997"/>
    <cellStyle name="GREEN 3" xfId="998"/>
    <cellStyle name="GREEN 3 2" xfId="999"/>
    <cellStyle name="GREEN 4" xfId="1000"/>
    <cellStyle name="GREEN 4 2" xfId="1001"/>
    <cellStyle name="GREEN 5" xfId="1002"/>
    <cellStyle name="Heading 1 2" xfId="1003"/>
    <cellStyle name="Heading 1 2 2" xfId="1004"/>
    <cellStyle name="Heading 1 3" xfId="1005"/>
    <cellStyle name="Heading 1 4" xfId="1006"/>
    <cellStyle name="Heading 1 5" xfId="1007"/>
    <cellStyle name="Heading 1 6" xfId="1008"/>
    <cellStyle name="Heading 1 7" xfId="1009"/>
    <cellStyle name="Heading 1 8" xfId="1010"/>
    <cellStyle name="Heading 2 2" xfId="1011"/>
    <cellStyle name="Heading 2 2 2" xfId="1012"/>
    <cellStyle name="Heading 2 3" xfId="1013"/>
    <cellStyle name="Heading 2 4" xfId="1014"/>
    <cellStyle name="Heading 2 5" xfId="1015"/>
    <cellStyle name="Heading 2 6" xfId="1016"/>
    <cellStyle name="Heading 2 7" xfId="1017"/>
    <cellStyle name="Heading 2 8" xfId="1018"/>
    <cellStyle name="Heading 3 2" xfId="1019"/>
    <cellStyle name="Heading 3 2 2" xfId="1020"/>
    <cellStyle name="Heading 3 3" xfId="1021"/>
    <cellStyle name="Heading 3 4" xfId="1022"/>
    <cellStyle name="Heading 3 5" xfId="1023"/>
    <cellStyle name="Heading 3 6" xfId="1024"/>
    <cellStyle name="Heading 3 7" xfId="1025"/>
    <cellStyle name="Heading 3 8" xfId="1026"/>
    <cellStyle name="Heading 4 2" xfId="1027"/>
    <cellStyle name="Heading 4 2 2" xfId="1028"/>
    <cellStyle name="Heading 4 3" xfId="1029"/>
    <cellStyle name="Heading 4 4" xfId="1030"/>
    <cellStyle name="Heading 4 5" xfId="1031"/>
    <cellStyle name="Heading 4 6" xfId="1032"/>
    <cellStyle name="Heading 4 7" xfId="1033"/>
    <cellStyle name="Heading 4 8" xfId="1034"/>
    <cellStyle name="Hyperlink 2" xfId="1035"/>
    <cellStyle name="Input 2" xfId="1036"/>
    <cellStyle name="Input 2 2" xfId="1037"/>
    <cellStyle name="Input 2 3" xfId="1038"/>
    <cellStyle name="Input 2 4" xfId="1039"/>
    <cellStyle name="Input 2 5" xfId="1040"/>
    <cellStyle name="Input 2 6" xfId="1041"/>
    <cellStyle name="Input 3" xfId="1042"/>
    <cellStyle name="Input 3 2" xfId="1043"/>
    <cellStyle name="Input 3 3" xfId="1044"/>
    <cellStyle name="Input 3 4" xfId="1045"/>
    <cellStyle name="Input 3 5" xfId="1046"/>
    <cellStyle name="Input 3 6" xfId="1047"/>
    <cellStyle name="Input 4" xfId="1048"/>
    <cellStyle name="Input 5" xfId="1049"/>
    <cellStyle name="Input 6" xfId="1050"/>
    <cellStyle name="Input 7" xfId="1051"/>
    <cellStyle name="Input 8" xfId="1052"/>
    <cellStyle name="Input 9" xfId="1053"/>
    <cellStyle name="Linked Cell 2" xfId="1054"/>
    <cellStyle name="Linked Cell 2 2" xfId="1055"/>
    <cellStyle name="Linked Cell 2 3" xfId="1056"/>
    <cellStyle name="Linked Cell 2 4" xfId="1057"/>
    <cellStyle name="Linked Cell 2 5" xfId="1058"/>
    <cellStyle name="Linked Cell 2 6" xfId="1059"/>
    <cellStyle name="Linked Cell 3" xfId="1060"/>
    <cellStyle name="Linked Cell 3 2" xfId="1061"/>
    <cellStyle name="Linked Cell 3 3" xfId="1062"/>
    <cellStyle name="Linked Cell 3 4" xfId="1063"/>
    <cellStyle name="Linked Cell 3 5" xfId="1064"/>
    <cellStyle name="Linked Cell 3 6" xfId="1065"/>
    <cellStyle name="Linked Cell 4" xfId="1066"/>
    <cellStyle name="Linked Cell 5" xfId="1067"/>
    <cellStyle name="Linked Cell 6" xfId="1068"/>
    <cellStyle name="Linked Cell 7" xfId="1069"/>
    <cellStyle name="Linked Cell 8" xfId="1070"/>
    <cellStyle name="Linked Cell 9" xfId="1071"/>
    <cellStyle name="Neutral 2" xfId="1072"/>
    <cellStyle name="Neutral 2 2" xfId="1073"/>
    <cellStyle name="Neutral 2 3" xfId="1074"/>
    <cellStyle name="Neutral 2 4" xfId="1075"/>
    <cellStyle name="Neutral 2 5" xfId="1076"/>
    <cellStyle name="Neutral 2 6" xfId="1077"/>
    <cellStyle name="Neutral 3" xfId="1078"/>
    <cellStyle name="Neutral 3 2" xfId="1079"/>
    <cellStyle name="Neutral 3 3" xfId="1080"/>
    <cellStyle name="Neutral 3 4" xfId="1081"/>
    <cellStyle name="Neutral 3 5" xfId="1082"/>
    <cellStyle name="Neutral 3 6" xfId="1083"/>
    <cellStyle name="Neutral 4" xfId="1084"/>
    <cellStyle name="Neutral 5" xfId="1085"/>
    <cellStyle name="Neutral 6" xfId="1086"/>
    <cellStyle name="Neutral 7" xfId="1087"/>
    <cellStyle name="Neutral 8" xfId="1088"/>
    <cellStyle name="Neutral 9" xfId="1089"/>
    <cellStyle name="Normal" xfId="0" builtinId="0"/>
    <cellStyle name="Normal 10" xfId="1090"/>
    <cellStyle name="Normal 10 2" xfId="1091"/>
    <cellStyle name="Normal 10 3" xfId="1092"/>
    <cellStyle name="Normal 10 4" xfId="1093"/>
    <cellStyle name="Normal 10 5" xfId="1094"/>
    <cellStyle name="Normal 10 6" xfId="1095"/>
    <cellStyle name="Normal 100" xfId="1096"/>
    <cellStyle name="Normal 100 2" xfId="1097"/>
    <cellStyle name="Normal 100 2 2" xfId="1098"/>
    <cellStyle name="Normal 100 3" xfId="1099"/>
    <cellStyle name="Normal 101" xfId="1100"/>
    <cellStyle name="Normal 101 2" xfId="1101"/>
    <cellStyle name="Normal 101 2 2" xfId="1102"/>
    <cellStyle name="Normal 101 3" xfId="1103"/>
    <cellStyle name="Normal 102" xfId="1104"/>
    <cellStyle name="Normal 102 2" xfId="1105"/>
    <cellStyle name="Normal 102 2 2" xfId="1106"/>
    <cellStyle name="Normal 102 3" xfId="1107"/>
    <cellStyle name="Normal 103" xfId="1108"/>
    <cellStyle name="Normal 103 2" xfId="1109"/>
    <cellStyle name="Normal 103 2 2" xfId="1110"/>
    <cellStyle name="Normal 103 3" xfId="1111"/>
    <cellStyle name="Normal 104" xfId="1112"/>
    <cellStyle name="Normal 104 2" xfId="1113"/>
    <cellStyle name="Normal 104 2 2" xfId="1114"/>
    <cellStyle name="Normal 104 3" xfId="1115"/>
    <cellStyle name="Normal 105" xfId="1116"/>
    <cellStyle name="Normal 105 2" xfId="1117"/>
    <cellStyle name="Normal 106" xfId="1118"/>
    <cellStyle name="Normal 106 2" xfId="1119"/>
    <cellStyle name="Normal 107" xfId="1120"/>
    <cellStyle name="Normal 107 2" xfId="1121"/>
    <cellStyle name="Normal 108" xfId="1122"/>
    <cellStyle name="Normal 108 2" xfId="1123"/>
    <cellStyle name="Normal 109" xfId="1124"/>
    <cellStyle name="Normal 109 2" xfId="1125"/>
    <cellStyle name="Normal 11" xfId="1126"/>
    <cellStyle name="Normal 11 2" xfId="1127"/>
    <cellStyle name="Normal 11 3" xfId="1128"/>
    <cellStyle name="Normal 11 4" xfId="1129"/>
    <cellStyle name="Normal 11 5" xfId="1130"/>
    <cellStyle name="Normal 11 6" xfId="1131"/>
    <cellStyle name="Normal 110" xfId="1132"/>
    <cellStyle name="Normal 110 2" xfId="1133"/>
    <cellStyle name="Normal 111" xfId="1134"/>
    <cellStyle name="Normal 112" xfId="1135"/>
    <cellStyle name="Normal 112 2" xfId="1136"/>
    <cellStyle name="Normal 112 2 2" xfId="1137"/>
    <cellStyle name="Normal 112 3" xfId="1138"/>
    <cellStyle name="Normal 113" xfId="1139"/>
    <cellStyle name="Normal 113 2" xfId="1140"/>
    <cellStyle name="Normal 113 2 2" xfId="1141"/>
    <cellStyle name="Normal 113 3" xfId="1142"/>
    <cellStyle name="Normal 114" xfId="1143"/>
    <cellStyle name="Normal 114 2" xfId="1144"/>
    <cellStyle name="Normal 114 2 2" xfId="1145"/>
    <cellStyle name="Normal 114 3" xfId="1146"/>
    <cellStyle name="Normal 115" xfId="1147"/>
    <cellStyle name="Normal 115 2" xfId="1148"/>
    <cellStyle name="Normal 115 2 2" xfId="1149"/>
    <cellStyle name="Normal 115 3" xfId="1150"/>
    <cellStyle name="Normal 116" xfId="1151"/>
    <cellStyle name="Normal 116 2" xfId="1152"/>
    <cellStyle name="Normal 116 2 2" xfId="1153"/>
    <cellStyle name="Normal 116 3" xfId="1154"/>
    <cellStyle name="Normal 117" xfId="1155"/>
    <cellStyle name="Normal 117 2" xfId="1156"/>
    <cellStyle name="Normal 117 2 2" xfId="1157"/>
    <cellStyle name="Normal 117 3" xfId="1158"/>
    <cellStyle name="Normal 118" xfId="1159"/>
    <cellStyle name="Normal 118 2" xfId="1160"/>
    <cellStyle name="Normal 118 2 2" xfId="1161"/>
    <cellStyle name="Normal 118 3" xfId="1162"/>
    <cellStyle name="Normal 119" xfId="1163"/>
    <cellStyle name="Normal 119 2" xfId="1164"/>
    <cellStyle name="Normal 119 2 2" xfId="1165"/>
    <cellStyle name="Normal 119 3" xfId="1166"/>
    <cellStyle name="Normal 12" xfId="1167"/>
    <cellStyle name="Normal 12 2" xfId="1168"/>
    <cellStyle name="Normal 12 3" xfId="1169"/>
    <cellStyle name="Normal 12 4" xfId="1170"/>
    <cellStyle name="Normal 12 5" xfId="1171"/>
    <cellStyle name="Normal 12 6" xfId="1172"/>
    <cellStyle name="Normal 120" xfId="1173"/>
    <cellStyle name="Normal 120 2" xfId="1174"/>
    <cellStyle name="Normal 120 2 2" xfId="1175"/>
    <cellStyle name="Normal 120 3" xfId="1176"/>
    <cellStyle name="Normal 121" xfId="1177"/>
    <cellStyle name="Normal 121 2" xfId="1178"/>
    <cellStyle name="Normal 121 2 2" xfId="1179"/>
    <cellStyle name="Normal 121 3" xfId="1180"/>
    <cellStyle name="Normal 122" xfId="1181"/>
    <cellStyle name="Normal 122 2" xfId="1182"/>
    <cellStyle name="Normal 122 2 2" xfId="1183"/>
    <cellStyle name="Normal 122 3" xfId="1184"/>
    <cellStyle name="Normal 123" xfId="1185"/>
    <cellStyle name="Normal 123 2" xfId="1186"/>
    <cellStyle name="Normal 123 2 2" xfId="1187"/>
    <cellStyle name="Normal 123 3" xfId="1188"/>
    <cellStyle name="Normal 124" xfId="1189"/>
    <cellStyle name="Normal 124 2" xfId="1190"/>
    <cellStyle name="Normal 124 2 2" xfId="1191"/>
    <cellStyle name="Normal 124 3" xfId="1192"/>
    <cellStyle name="Normal 125" xfId="1193"/>
    <cellStyle name="Normal 125 2" xfId="1194"/>
    <cellStyle name="Normal 125 2 2" xfId="1195"/>
    <cellStyle name="Normal 125 3" xfId="1196"/>
    <cellStyle name="Normal 126" xfId="1197"/>
    <cellStyle name="Normal 127" xfId="1198"/>
    <cellStyle name="Normal 128" xfId="1199"/>
    <cellStyle name="Normal 13" xfId="1200"/>
    <cellStyle name="Normal 13 2" xfId="1201"/>
    <cellStyle name="Normal 13 3" xfId="1202"/>
    <cellStyle name="Normal 13 4" xfId="1203"/>
    <cellStyle name="Normal 13 5" xfId="1204"/>
    <cellStyle name="Normal 13 6" xfId="1205"/>
    <cellStyle name="Normal 14" xfId="1206"/>
    <cellStyle name="Normal 15" xfId="1207"/>
    <cellStyle name="Normal 16" xfId="1208"/>
    <cellStyle name="Normal 17" xfId="1209"/>
    <cellStyle name="Normal 18" xfId="1210"/>
    <cellStyle name="Normal 18 2" xfId="1211"/>
    <cellStyle name="Normal 18 2 2" xfId="1212"/>
    <cellStyle name="Normal 18 2 2 2" xfId="1213"/>
    <cellStyle name="Normal 18 2 3" xfId="1214"/>
    <cellStyle name="Normal 18 2 3 2" xfId="1215"/>
    <cellStyle name="Normal 18 2 4" xfId="1216"/>
    <cellStyle name="Normal 18 2 4 2" xfId="1217"/>
    <cellStyle name="Normal 18 2 5" xfId="1218"/>
    <cellStyle name="Normal 18 3" xfId="1219"/>
    <cellStyle name="Normal 18 3 2" xfId="1220"/>
    <cellStyle name="Normal 18 3 2 2" xfId="1221"/>
    <cellStyle name="Normal 18 3 3" xfId="1222"/>
    <cellStyle name="Normal 18 3 3 2" xfId="1223"/>
    <cellStyle name="Normal 18 3 4" xfId="1224"/>
    <cellStyle name="Normal 18 3 4 2" xfId="1225"/>
    <cellStyle name="Normal 18 3 5" xfId="1226"/>
    <cellStyle name="Normal 18 4" xfId="1227"/>
    <cellStyle name="Normal 18 4 2" xfId="1228"/>
    <cellStyle name="Normal 18 5" xfId="1229"/>
    <cellStyle name="Normal 188" xfId="1230"/>
    <cellStyle name="Normal 19" xfId="1231"/>
    <cellStyle name="Normal 19 2" xfId="1232"/>
    <cellStyle name="Normal 19 2 2" xfId="1233"/>
    <cellStyle name="Normal 19 3" xfId="1234"/>
    <cellStyle name="Normal 2" xfId="1235"/>
    <cellStyle name="Normal 2 10" xfId="1236"/>
    <cellStyle name="Normal 2 11" xfId="1237"/>
    <cellStyle name="Normal 2 2" xfId="1238"/>
    <cellStyle name="Normal 2 2 2" xfId="1239"/>
    <cellStyle name="Normal 2 2 2 2" xfId="1240"/>
    <cellStyle name="Normal 2 2 2 2 2" xfId="1241"/>
    <cellStyle name="Normal 2 2 2 3" xfId="1242"/>
    <cellStyle name="Normal 2 2 2 4" xfId="1243"/>
    <cellStyle name="Normal 2 2 2 5" xfId="1244"/>
    <cellStyle name="Normal 2 2 2 6" xfId="1245"/>
    <cellStyle name="Normal 2 2 2 7" xfId="1246"/>
    <cellStyle name="Normal 2 2 2 8" xfId="1247"/>
    <cellStyle name="Normal 2 2 3" xfId="1248"/>
    <cellStyle name="Normal 2 2 3 2" xfId="1249"/>
    <cellStyle name="Normal 2 2 4" xfId="1250"/>
    <cellStyle name="Normal 2 3" xfId="1251"/>
    <cellStyle name="Normal 2 4" xfId="1252"/>
    <cellStyle name="Normal 2 4 2" xfId="1253"/>
    <cellStyle name="Normal 2 4 3" xfId="1254"/>
    <cellStyle name="Normal 2 4 4" xfId="1255"/>
    <cellStyle name="Normal 2 4 5" xfId="1256"/>
    <cellStyle name="Normal 2 4 6" xfId="1257"/>
    <cellStyle name="Normal 2 4 7" xfId="1258"/>
    <cellStyle name="Normal 2 4 8" xfId="1259"/>
    <cellStyle name="Normal 2 5" xfId="1260"/>
    <cellStyle name="Normal 2 5 2" xfId="1261"/>
    <cellStyle name="Normal 2 5 3" xfId="1262"/>
    <cellStyle name="Normal 2 5 4" xfId="1263"/>
    <cellStyle name="Normal 2 5 4 2" xfId="1264"/>
    <cellStyle name="Normal 2 5 5" xfId="1265"/>
    <cellStyle name="Normal 2 5 5 2" xfId="1266"/>
    <cellStyle name="Normal 2 5 6" xfId="1267"/>
    <cellStyle name="Normal 2 5 6 2" xfId="1268"/>
    <cellStyle name="Normal 2 5 7" xfId="1269"/>
    <cellStyle name="Normal 2 6" xfId="1270"/>
    <cellStyle name="Normal 2 6 2" xfId="1271"/>
    <cellStyle name="Normal 2 6 2 2" xfId="1272"/>
    <cellStyle name="Normal 2 6 3" xfId="1273"/>
    <cellStyle name="Normal 2 6 3 2" xfId="1274"/>
    <cellStyle name="Normal 2 6 4" xfId="1275"/>
    <cellStyle name="Normal 2 6 4 2" xfId="1276"/>
    <cellStyle name="Normal 2 6 5" xfId="1277"/>
    <cellStyle name="Normal 2 7" xfId="1278"/>
    <cellStyle name="Normal 2 7 2" xfId="1279"/>
    <cellStyle name="Normal 2 7 2 2" xfId="1280"/>
    <cellStyle name="Normal 2 7 3" xfId="1281"/>
    <cellStyle name="Normal 2 7 3 2" xfId="1282"/>
    <cellStyle name="Normal 2 7 4" xfId="1283"/>
    <cellStyle name="Normal 2 7 4 2" xfId="1284"/>
    <cellStyle name="Normal 2 8" xfId="1285"/>
    <cellStyle name="Normal 2 8 2" xfId="1286"/>
    <cellStyle name="Normal 2 8 2 2" xfId="1287"/>
    <cellStyle name="Normal 2 8 3" xfId="1288"/>
    <cellStyle name="Normal 2 8 3 2" xfId="1289"/>
    <cellStyle name="Normal 2 8 4" xfId="1290"/>
    <cellStyle name="Normal 2 8 4 2" xfId="1291"/>
    <cellStyle name="Normal 2 9" xfId="1292"/>
    <cellStyle name="Normal 2_09-04" xfId="1293"/>
    <cellStyle name="Normal 20" xfId="1294"/>
    <cellStyle name="Normal 20 2" xfId="1295"/>
    <cellStyle name="Normal 20 2 2" xfId="1296"/>
    <cellStyle name="Normal 20 3" xfId="1297"/>
    <cellStyle name="Normal 21" xfId="1298"/>
    <cellStyle name="Normal 21 2" xfId="1299"/>
    <cellStyle name="Normal 21 2 2" xfId="1300"/>
    <cellStyle name="Normal 21 3" xfId="1301"/>
    <cellStyle name="Normal 22" xfId="1302"/>
    <cellStyle name="Normal 22 2" xfId="1303"/>
    <cellStyle name="Normal 22 2 2" xfId="1304"/>
    <cellStyle name="Normal 22 3" xfId="1305"/>
    <cellStyle name="Normal 23" xfId="1306"/>
    <cellStyle name="Normal 23 2" xfId="1307"/>
    <cellStyle name="Normal 23 2 2" xfId="1308"/>
    <cellStyle name="Normal 23 3" xfId="1309"/>
    <cellStyle name="Normal 24" xfId="1310"/>
    <cellStyle name="Normal 24 2" xfId="1311"/>
    <cellStyle name="Normal 24 2 2" xfId="1312"/>
    <cellStyle name="Normal 24 2 2 2" xfId="1313"/>
    <cellStyle name="Normal 24 2 3" xfId="1314"/>
    <cellStyle name="Normal 24 3" xfId="1315"/>
    <cellStyle name="Normal 24 3 2" xfId="1316"/>
    <cellStyle name="Normal 24 3 2 2" xfId="1317"/>
    <cellStyle name="Normal 24 3 3" xfId="1318"/>
    <cellStyle name="Normal 24 4" xfId="1319"/>
    <cellStyle name="Normal 24 4 2" xfId="1320"/>
    <cellStyle name="Normal 24 4 2 2" xfId="1321"/>
    <cellStyle name="Normal 24 4 3" xfId="1322"/>
    <cellStyle name="Normal 24 5" xfId="1323"/>
    <cellStyle name="Normal 24 5 2" xfId="1324"/>
    <cellStyle name="Normal 24 6" xfId="1325"/>
    <cellStyle name="Normal 25" xfId="1326"/>
    <cellStyle name="Normal 25 2" xfId="1327"/>
    <cellStyle name="Normal 25 2 2" xfId="1328"/>
    <cellStyle name="Normal 25 2 2 2" xfId="1329"/>
    <cellStyle name="Normal 25 2 3" xfId="1330"/>
    <cellStyle name="Normal 25 3" xfId="1331"/>
    <cellStyle name="Normal 25 3 2" xfId="1332"/>
    <cellStyle name="Normal 25 3 2 2" xfId="1333"/>
    <cellStyle name="Normal 25 3 3" xfId="1334"/>
    <cellStyle name="Normal 25 4" xfId="1335"/>
    <cellStyle name="Normal 25 4 2" xfId="1336"/>
    <cellStyle name="Normal 25 4 2 2" xfId="1337"/>
    <cellStyle name="Normal 25 4 3" xfId="1338"/>
    <cellStyle name="Normal 25 5" xfId="1339"/>
    <cellStyle name="Normal 25 5 2" xfId="1340"/>
    <cellStyle name="Normal 25 6" xfId="1341"/>
    <cellStyle name="Normal 26" xfId="1342"/>
    <cellStyle name="Normal 26 2" xfId="1343"/>
    <cellStyle name="Normal 26 2 2" xfId="1344"/>
    <cellStyle name="Normal 26 3" xfId="1345"/>
    <cellStyle name="Normal 27" xfId="1346"/>
    <cellStyle name="Normal 27 2" xfId="1347"/>
    <cellStyle name="Normal 27 2 2" xfId="1348"/>
    <cellStyle name="Normal 27 2 2 2" xfId="1349"/>
    <cellStyle name="Normal 27 2 3" xfId="1350"/>
    <cellStyle name="Normal 27 3" xfId="1351"/>
    <cellStyle name="Normal 27 3 2" xfId="1352"/>
    <cellStyle name="Normal 27 3 2 2" xfId="1353"/>
    <cellStyle name="Normal 27 3 3" xfId="1354"/>
    <cellStyle name="Normal 27 4" xfId="1355"/>
    <cellStyle name="Normal 27 4 2" xfId="1356"/>
    <cellStyle name="Normal 27 4 2 2" xfId="1357"/>
    <cellStyle name="Normal 27 4 3" xfId="1358"/>
    <cellStyle name="Normal 27 5" xfId="1359"/>
    <cellStyle name="Normal 27 5 2" xfId="1360"/>
    <cellStyle name="Normal 27 6" xfId="1361"/>
    <cellStyle name="Normal 28" xfId="1362"/>
    <cellStyle name="Normal 28 2" xfId="1363"/>
    <cellStyle name="Normal 28 2 2" xfId="1364"/>
    <cellStyle name="Normal 28 2 2 2" xfId="1365"/>
    <cellStyle name="Normal 28 2 3" xfId="1366"/>
    <cellStyle name="Normal 28 3" xfId="1367"/>
    <cellStyle name="Normal 28 3 2" xfId="1368"/>
    <cellStyle name="Normal 28 3 2 2" xfId="1369"/>
    <cellStyle name="Normal 28 3 3" xfId="1370"/>
    <cellStyle name="Normal 28 4" xfId="1371"/>
    <cellStyle name="Normal 28 4 2" xfId="1372"/>
    <cellStyle name="Normal 28 4 2 2" xfId="1373"/>
    <cellStyle name="Normal 28 4 3" xfId="1374"/>
    <cellStyle name="Normal 28 5" xfId="1375"/>
    <cellStyle name="Normal 28 5 2" xfId="1376"/>
    <cellStyle name="Normal 28 6" xfId="1377"/>
    <cellStyle name="Normal 29" xfId="1378"/>
    <cellStyle name="Normal 29 2" xfId="1379"/>
    <cellStyle name="Normal 29 2 2" xfId="1380"/>
    <cellStyle name="Normal 29 2 2 2" xfId="1381"/>
    <cellStyle name="Normal 29 2 3" xfId="1382"/>
    <cellStyle name="Normal 29 3" xfId="1383"/>
    <cellStyle name="Normal 29 3 2" xfId="1384"/>
    <cellStyle name="Normal 29 3 2 2" xfId="1385"/>
    <cellStyle name="Normal 29 3 3" xfId="1386"/>
    <cellStyle name="Normal 29 4" xfId="1387"/>
    <cellStyle name="Normal 29 4 2" xfId="1388"/>
    <cellStyle name="Normal 29 5" xfId="1389"/>
    <cellStyle name="Normal 3" xfId="1390"/>
    <cellStyle name="Normal 3 2" xfId="1391"/>
    <cellStyle name="Normal 3 2 2" xfId="1392"/>
    <cellStyle name="Normal 3 2 3" xfId="1393"/>
    <cellStyle name="Normal 3 2 3 2" xfId="1394"/>
    <cellStyle name="Normal 3 2 4" xfId="1395"/>
    <cellStyle name="Normal 3 3" xfId="1396"/>
    <cellStyle name="Normal 3 3 2" xfId="1397"/>
    <cellStyle name="Normal 3 3 2 2" xfId="1398"/>
    <cellStyle name="Normal 3 3 3" xfId="1399"/>
    <cellStyle name="Normal 3 4" xfId="1400"/>
    <cellStyle name="Normal 3 5" xfId="1401"/>
    <cellStyle name="Normal 3 6" xfId="1402"/>
    <cellStyle name="Normal 3 7" xfId="1403"/>
    <cellStyle name="Normal 3 8" xfId="1404"/>
    <cellStyle name="Normal 3 9" xfId="1405"/>
    <cellStyle name="Normal 3 9 2" xfId="1406"/>
    <cellStyle name="Normal 3 9 2 2" xfId="1407"/>
    <cellStyle name="Normal 3 9 3" xfId="1408"/>
    <cellStyle name="Normal 3_Book4" xfId="1409"/>
    <cellStyle name="Normal 30" xfId="1410"/>
    <cellStyle name="Normal 30 2" xfId="1411"/>
    <cellStyle name="Normal 30 2 2" xfId="1412"/>
    <cellStyle name="Normal 30 3" xfId="1413"/>
    <cellStyle name="Normal 31" xfId="1414"/>
    <cellStyle name="Normal 31 2" xfId="1415"/>
    <cellStyle name="Normal 31 2 2" xfId="1416"/>
    <cellStyle name="Normal 31 2 2 2" xfId="1417"/>
    <cellStyle name="Normal 31 2 3" xfId="1418"/>
    <cellStyle name="Normal 31 3" xfId="1419"/>
    <cellStyle name="Normal 31 3 2" xfId="1420"/>
    <cellStyle name="Normal 31 3 2 2" xfId="1421"/>
    <cellStyle name="Normal 31 3 3" xfId="1422"/>
    <cellStyle name="Normal 31 4" xfId="1423"/>
    <cellStyle name="Normal 31 4 2" xfId="1424"/>
    <cellStyle name="Normal 31 5" xfId="1425"/>
    <cellStyle name="Normal 32" xfId="1426"/>
    <cellStyle name="Normal 32 2" xfId="1427"/>
    <cellStyle name="Normal 32 2 2" xfId="1428"/>
    <cellStyle name="Normal 32 2 2 2" xfId="1429"/>
    <cellStyle name="Normal 32 2 3" xfId="1430"/>
    <cellStyle name="Normal 32 3" xfId="1431"/>
    <cellStyle name="Normal 32 3 2" xfId="1432"/>
    <cellStyle name="Normal 32 3 2 2" xfId="1433"/>
    <cellStyle name="Normal 32 3 3" xfId="1434"/>
    <cellStyle name="Normal 32 4" xfId="1435"/>
    <cellStyle name="Normal 32 4 2" xfId="1436"/>
    <cellStyle name="Normal 32 5" xfId="1437"/>
    <cellStyle name="Normal 33" xfId="1438"/>
    <cellStyle name="Normal 33 2" xfId="1439"/>
    <cellStyle name="Normal 33 2 2" xfId="1440"/>
    <cellStyle name="Normal 33 2 2 2" xfId="1441"/>
    <cellStyle name="Normal 33 2 3" xfId="1442"/>
    <cellStyle name="Normal 33 3" xfId="1443"/>
    <cellStyle name="Normal 33 3 2" xfId="1444"/>
    <cellStyle name="Normal 33 3 2 2" xfId="1445"/>
    <cellStyle name="Normal 33 3 3" xfId="1446"/>
    <cellStyle name="Normal 33 4" xfId="1447"/>
    <cellStyle name="Normal 33 4 2" xfId="1448"/>
    <cellStyle name="Normal 33 5" xfId="1449"/>
    <cellStyle name="Normal 34" xfId="1450"/>
    <cellStyle name="Normal 34 2" xfId="1451"/>
    <cellStyle name="Normal 34 2 2" xfId="1452"/>
    <cellStyle name="Normal 34 2 2 2" xfId="1453"/>
    <cellStyle name="Normal 34 2 3" xfId="1454"/>
    <cellStyle name="Normal 34 3" xfId="1455"/>
    <cellStyle name="Normal 34 3 2" xfId="1456"/>
    <cellStyle name="Normal 34 3 2 2" xfId="1457"/>
    <cellStyle name="Normal 34 3 3" xfId="1458"/>
    <cellStyle name="Normal 34 4" xfId="1459"/>
    <cellStyle name="Normal 34 4 2" xfId="1460"/>
    <cellStyle name="Normal 34 5" xfId="1461"/>
    <cellStyle name="Normal 35" xfId="1462"/>
    <cellStyle name="Normal 35 2" xfId="1463"/>
    <cellStyle name="Normal 35 2 2" xfId="1464"/>
    <cellStyle name="Normal 35 2 2 2" xfId="1465"/>
    <cellStyle name="Normal 35 2 2 2 2" xfId="1466"/>
    <cellStyle name="Normal 35 2 2 3" xfId="1467"/>
    <cellStyle name="Normal 35 2 3" xfId="1468"/>
    <cellStyle name="Normal 35 2 3 2" xfId="1469"/>
    <cellStyle name="Normal 35 2 3 2 2" xfId="1470"/>
    <cellStyle name="Normal 35 2 3 3" xfId="1471"/>
    <cellStyle name="Normal 35 2 4" xfId="1472"/>
    <cellStyle name="Normal 35 2 4 2" xfId="1473"/>
    <cellStyle name="Normal 35 2 4 2 2" xfId="1474"/>
    <cellStyle name="Normal 35 2 4 3" xfId="1475"/>
    <cellStyle name="Normal 35 2 5" xfId="1476"/>
    <cellStyle name="Normal 35 2 5 2" xfId="1477"/>
    <cellStyle name="Normal 35 2 6" xfId="1478"/>
    <cellStyle name="Normal 35 3" xfId="1479"/>
    <cellStyle name="Normal 35 3 2" xfId="1480"/>
    <cellStyle name="Normal 35 3 2 2" xfId="1481"/>
    <cellStyle name="Normal 35 3 2 2 2" xfId="1482"/>
    <cellStyle name="Normal 35 3 2 3" xfId="1483"/>
    <cellStyle name="Normal 35 3 3" xfId="1484"/>
    <cellStyle name="Normal 35 3 3 2" xfId="1485"/>
    <cellStyle name="Normal 35 3 3 2 2" xfId="1486"/>
    <cellStyle name="Normal 35 3 3 3" xfId="1487"/>
    <cellStyle name="Normal 35 3 4" xfId="1488"/>
    <cellStyle name="Normal 35 3 4 2" xfId="1489"/>
    <cellStyle name="Normal 35 3 4 2 2" xfId="1490"/>
    <cellStyle name="Normal 35 3 4 3" xfId="1491"/>
    <cellStyle name="Normal 35 3 5" xfId="1492"/>
    <cellStyle name="Normal 35 3 5 2" xfId="1493"/>
    <cellStyle name="Normal 35 3 6" xfId="1494"/>
    <cellStyle name="Normal 35 4" xfId="1495"/>
    <cellStyle name="Normal 35 4 2" xfId="1496"/>
    <cellStyle name="Normal 35 4 2 2" xfId="1497"/>
    <cellStyle name="Normal 35 4 3" xfId="1498"/>
    <cellStyle name="Normal 35 5" xfId="1499"/>
    <cellStyle name="Normal 35 5 2" xfId="1500"/>
    <cellStyle name="Normal 35 5 2 2" xfId="1501"/>
    <cellStyle name="Normal 35 5 3" xfId="1502"/>
    <cellStyle name="Normal 35 6" xfId="1503"/>
    <cellStyle name="Normal 35 6 2" xfId="1504"/>
    <cellStyle name="Normal 35 7" xfId="1505"/>
    <cellStyle name="Normal 36" xfId="1506"/>
    <cellStyle name="Normal 36 2" xfId="1507"/>
    <cellStyle name="Normal 36 2 2" xfId="1508"/>
    <cellStyle name="Normal 36 2 2 2" xfId="1509"/>
    <cellStyle name="Normal 36 2 2 2 2" xfId="1510"/>
    <cellStyle name="Normal 36 2 2 3" xfId="1511"/>
    <cellStyle name="Normal 36 2 3" xfId="1512"/>
    <cellStyle name="Normal 36 2 3 2" xfId="1513"/>
    <cellStyle name="Normal 36 2 3 2 2" xfId="1514"/>
    <cellStyle name="Normal 36 2 3 3" xfId="1515"/>
    <cellStyle name="Normal 36 2 4" xfId="1516"/>
    <cellStyle name="Normal 36 2 4 2" xfId="1517"/>
    <cellStyle name="Normal 36 2 4 2 2" xfId="1518"/>
    <cellStyle name="Normal 36 2 4 3" xfId="1519"/>
    <cellStyle name="Normal 36 2 5" xfId="1520"/>
    <cellStyle name="Normal 36 2 5 2" xfId="1521"/>
    <cellStyle name="Normal 36 2 6" xfId="1522"/>
    <cellStyle name="Normal 36 3" xfId="1523"/>
    <cellStyle name="Normal 36 3 2" xfId="1524"/>
    <cellStyle name="Normal 36 3 2 2" xfId="1525"/>
    <cellStyle name="Normal 36 3 2 2 2" xfId="1526"/>
    <cellStyle name="Normal 36 3 2 3" xfId="1527"/>
    <cellStyle name="Normal 36 3 3" xfId="1528"/>
    <cellStyle name="Normal 36 3 3 2" xfId="1529"/>
    <cellStyle name="Normal 36 3 3 2 2" xfId="1530"/>
    <cellStyle name="Normal 36 3 3 3" xfId="1531"/>
    <cellStyle name="Normal 36 3 4" xfId="1532"/>
    <cellStyle name="Normal 36 3 4 2" xfId="1533"/>
    <cellStyle name="Normal 36 3 4 2 2" xfId="1534"/>
    <cellStyle name="Normal 36 3 4 3" xfId="1535"/>
    <cellStyle name="Normal 36 3 5" xfId="1536"/>
    <cellStyle name="Normal 36 3 5 2" xfId="1537"/>
    <cellStyle name="Normal 36 3 6" xfId="1538"/>
    <cellStyle name="Normal 36 4" xfId="1539"/>
    <cellStyle name="Normal 36 4 2" xfId="1540"/>
    <cellStyle name="Normal 36 4 2 2" xfId="1541"/>
    <cellStyle name="Normal 36 4 3" xfId="1542"/>
    <cellStyle name="Normal 36 5" xfId="1543"/>
    <cellStyle name="Normal 36 5 2" xfId="1544"/>
    <cellStyle name="Normal 36 5 2 2" xfId="1545"/>
    <cellStyle name="Normal 36 5 3" xfId="1546"/>
    <cellStyle name="Normal 36 6" xfId="1547"/>
    <cellStyle name="Normal 36 6 2" xfId="1548"/>
    <cellStyle name="Normal 36 7" xfId="1549"/>
    <cellStyle name="Normal 37" xfId="1550"/>
    <cellStyle name="Normal 37 2" xfId="1551"/>
    <cellStyle name="Normal 37 2 2" xfId="1552"/>
    <cellStyle name="Normal 37 2 2 2" xfId="1553"/>
    <cellStyle name="Normal 37 2 2 2 2" xfId="1554"/>
    <cellStyle name="Normal 37 2 2 3" xfId="1555"/>
    <cellStyle name="Normal 37 2 3" xfId="1556"/>
    <cellStyle name="Normal 37 2 3 2" xfId="1557"/>
    <cellStyle name="Normal 37 2 3 2 2" xfId="1558"/>
    <cellStyle name="Normal 37 2 3 3" xfId="1559"/>
    <cellStyle name="Normal 37 2 4" xfId="1560"/>
    <cellStyle name="Normal 37 2 4 2" xfId="1561"/>
    <cellStyle name="Normal 37 2 4 2 2" xfId="1562"/>
    <cellStyle name="Normal 37 2 4 3" xfId="1563"/>
    <cellStyle name="Normal 37 2 5" xfId="1564"/>
    <cellStyle name="Normal 37 2 5 2" xfId="1565"/>
    <cellStyle name="Normal 37 2 6" xfId="1566"/>
    <cellStyle name="Normal 37 3" xfId="1567"/>
    <cellStyle name="Normal 37 3 2" xfId="1568"/>
    <cellStyle name="Normal 37 3 2 2" xfId="1569"/>
    <cellStyle name="Normal 37 3 2 2 2" xfId="1570"/>
    <cellStyle name="Normal 37 3 2 3" xfId="1571"/>
    <cellStyle name="Normal 37 3 3" xfId="1572"/>
    <cellStyle name="Normal 37 3 3 2" xfId="1573"/>
    <cellStyle name="Normal 37 3 3 2 2" xfId="1574"/>
    <cellStyle name="Normal 37 3 3 3" xfId="1575"/>
    <cellStyle name="Normal 37 3 4" xfId="1576"/>
    <cellStyle name="Normal 37 3 4 2" xfId="1577"/>
    <cellStyle name="Normal 37 3 4 2 2" xfId="1578"/>
    <cellStyle name="Normal 37 3 4 3" xfId="1579"/>
    <cellStyle name="Normal 37 3 5" xfId="1580"/>
    <cellStyle name="Normal 37 3 5 2" xfId="1581"/>
    <cellStyle name="Normal 37 3 6" xfId="1582"/>
    <cellStyle name="Normal 37 4" xfId="1583"/>
    <cellStyle name="Normal 37 4 2" xfId="1584"/>
    <cellStyle name="Normal 37 4 2 2" xfId="1585"/>
    <cellStyle name="Normal 37 4 3" xfId="1586"/>
    <cellStyle name="Normal 37 5" xfId="1587"/>
    <cellStyle name="Normal 37 5 2" xfId="1588"/>
    <cellStyle name="Normal 37 5 2 2" xfId="1589"/>
    <cellStyle name="Normal 37 5 3" xfId="1590"/>
    <cellStyle name="Normal 37 6" xfId="1591"/>
    <cellStyle name="Normal 37 6 2" xfId="1592"/>
    <cellStyle name="Normal 37 7" xfId="1593"/>
    <cellStyle name="Normal 38" xfId="1594"/>
    <cellStyle name="Normal 38 2" xfId="1595"/>
    <cellStyle name="Normal 38 2 2" xfId="1596"/>
    <cellStyle name="Normal 38 2 2 2" xfId="1597"/>
    <cellStyle name="Normal 38 2 2 2 2" xfId="1598"/>
    <cellStyle name="Normal 38 2 2 3" xfId="1599"/>
    <cellStyle name="Normal 38 2 3" xfId="1600"/>
    <cellStyle name="Normal 38 2 3 2" xfId="1601"/>
    <cellStyle name="Normal 38 2 3 2 2" xfId="1602"/>
    <cellStyle name="Normal 38 2 3 3" xfId="1603"/>
    <cellStyle name="Normal 38 2 4" xfId="1604"/>
    <cellStyle name="Normal 38 2 4 2" xfId="1605"/>
    <cellStyle name="Normal 38 2 4 2 2" xfId="1606"/>
    <cellStyle name="Normal 38 2 4 3" xfId="1607"/>
    <cellStyle name="Normal 38 2 5" xfId="1608"/>
    <cellStyle name="Normal 38 2 5 2" xfId="1609"/>
    <cellStyle name="Normal 38 2 6" xfId="1610"/>
    <cellStyle name="Normal 38 3" xfId="1611"/>
    <cellStyle name="Normal 38 3 2" xfId="1612"/>
    <cellStyle name="Normal 38 3 2 2" xfId="1613"/>
    <cellStyle name="Normal 38 3 2 2 2" xfId="1614"/>
    <cellStyle name="Normal 38 3 2 3" xfId="1615"/>
    <cellStyle name="Normal 38 3 3" xfId="1616"/>
    <cellStyle name="Normal 38 3 3 2" xfId="1617"/>
    <cellStyle name="Normal 38 3 3 2 2" xfId="1618"/>
    <cellStyle name="Normal 38 3 3 3" xfId="1619"/>
    <cellStyle name="Normal 38 3 4" xfId="1620"/>
    <cellStyle name="Normal 38 3 4 2" xfId="1621"/>
    <cellStyle name="Normal 38 3 4 2 2" xfId="1622"/>
    <cellStyle name="Normal 38 3 4 3" xfId="1623"/>
    <cellStyle name="Normal 38 3 5" xfId="1624"/>
    <cellStyle name="Normal 38 3 5 2" xfId="1625"/>
    <cellStyle name="Normal 38 3 6" xfId="1626"/>
    <cellStyle name="Normal 38 4" xfId="1627"/>
    <cellStyle name="Normal 38 4 2" xfId="1628"/>
    <cellStyle name="Normal 38 4 2 2" xfId="1629"/>
    <cellStyle name="Normal 38 4 3" xfId="1630"/>
    <cellStyle name="Normal 38 5" xfId="1631"/>
    <cellStyle name="Normal 38 5 2" xfId="1632"/>
    <cellStyle name="Normal 38 5 2 2" xfId="1633"/>
    <cellStyle name="Normal 38 5 3" xfId="1634"/>
    <cellStyle name="Normal 38 6" xfId="1635"/>
    <cellStyle name="Normal 38 6 2" xfId="1636"/>
    <cellStyle name="Normal 38 6 2 2" xfId="1637"/>
    <cellStyle name="Normal 38 6 3" xfId="1638"/>
    <cellStyle name="Normal 38 7" xfId="1639"/>
    <cellStyle name="Normal 38 7 2" xfId="1640"/>
    <cellStyle name="Normal 38 8" xfId="1641"/>
    <cellStyle name="Normal 39" xfId="1642"/>
    <cellStyle name="Normal 39 2" xfId="1643"/>
    <cellStyle name="Normal 39 2 2" xfId="1644"/>
    <cellStyle name="Normal 39 2 2 2" xfId="1645"/>
    <cellStyle name="Normal 39 2 2 2 2" xfId="1646"/>
    <cellStyle name="Normal 39 2 2 3" xfId="1647"/>
    <cellStyle name="Normal 39 2 3" xfId="1648"/>
    <cellStyle name="Normal 39 2 3 2" xfId="1649"/>
    <cellStyle name="Normal 39 2 3 2 2" xfId="1650"/>
    <cellStyle name="Normal 39 2 3 3" xfId="1651"/>
    <cellStyle name="Normal 39 2 4" xfId="1652"/>
    <cellStyle name="Normal 39 2 4 2" xfId="1653"/>
    <cellStyle name="Normal 39 2 4 2 2" xfId="1654"/>
    <cellStyle name="Normal 39 2 4 3" xfId="1655"/>
    <cellStyle name="Normal 39 2 5" xfId="1656"/>
    <cellStyle name="Normal 39 2 5 2" xfId="1657"/>
    <cellStyle name="Normal 39 2 6" xfId="1658"/>
    <cellStyle name="Normal 39 3" xfId="1659"/>
    <cellStyle name="Normal 39 3 2" xfId="1660"/>
    <cellStyle name="Normal 39 3 2 2" xfId="1661"/>
    <cellStyle name="Normal 39 3 2 2 2" xfId="1662"/>
    <cellStyle name="Normal 39 3 2 3" xfId="1663"/>
    <cellStyle name="Normal 39 3 3" xfId="1664"/>
    <cellStyle name="Normal 39 3 3 2" xfId="1665"/>
    <cellStyle name="Normal 39 3 3 2 2" xfId="1666"/>
    <cellStyle name="Normal 39 3 3 3" xfId="1667"/>
    <cellStyle name="Normal 39 3 4" xfId="1668"/>
    <cellStyle name="Normal 39 3 4 2" xfId="1669"/>
    <cellStyle name="Normal 39 3 4 2 2" xfId="1670"/>
    <cellStyle name="Normal 39 3 4 3" xfId="1671"/>
    <cellStyle name="Normal 39 3 5" xfId="1672"/>
    <cellStyle name="Normal 39 3 5 2" xfId="1673"/>
    <cellStyle name="Normal 39 3 6" xfId="1674"/>
    <cellStyle name="Normal 39 4" xfId="1675"/>
    <cellStyle name="Normal 39 4 2" xfId="1676"/>
    <cellStyle name="Normal 39 4 2 2" xfId="1677"/>
    <cellStyle name="Normal 39 4 3" xfId="1678"/>
    <cellStyle name="Normal 39 5" xfId="1679"/>
    <cellStyle name="Normal 39 5 2" xfId="1680"/>
    <cellStyle name="Normal 39 5 2 2" xfId="1681"/>
    <cellStyle name="Normal 39 5 3" xfId="1682"/>
    <cellStyle name="Normal 39 6" xfId="1683"/>
    <cellStyle name="Normal 39 6 2" xfId="1684"/>
    <cellStyle name="Normal 39 6 2 2" xfId="1685"/>
    <cellStyle name="Normal 39 6 3" xfId="1686"/>
    <cellStyle name="Normal 39 7" xfId="1687"/>
    <cellStyle name="Normal 39 7 2" xfId="1688"/>
    <cellStyle name="Normal 39 8" xfId="1689"/>
    <cellStyle name="Normal 4" xfId="1690"/>
    <cellStyle name="Normal 4 2" xfId="1691"/>
    <cellStyle name="Normal 4 2 2" xfId="1692"/>
    <cellStyle name="Normal 4 2 2 2" xfId="1693"/>
    <cellStyle name="Normal 4 2 3" xfId="1694"/>
    <cellStyle name="Normal 4 3" xfId="1695"/>
    <cellStyle name="Normal 4 4" xfId="1696"/>
    <cellStyle name="Normal 4 5" xfId="1697"/>
    <cellStyle name="Normal 4 6" xfId="1698"/>
    <cellStyle name="Normal 4 7" xfId="1699"/>
    <cellStyle name="Normal 4 8" xfId="1700"/>
    <cellStyle name="Normal 40" xfId="1701"/>
    <cellStyle name="Normal 41" xfId="1702"/>
    <cellStyle name="Normal 41 2" xfId="1703"/>
    <cellStyle name="Normal 41 2 2" xfId="1704"/>
    <cellStyle name="Normal 41 2 2 2" xfId="1705"/>
    <cellStyle name="Normal 41 2 2 2 2" xfId="1706"/>
    <cellStyle name="Normal 41 2 2 3" xfId="1707"/>
    <cellStyle name="Normal 41 2 3" xfId="1708"/>
    <cellStyle name="Normal 41 2 3 2" xfId="1709"/>
    <cellStyle name="Normal 41 2 3 2 2" xfId="1710"/>
    <cellStyle name="Normal 41 2 3 3" xfId="1711"/>
    <cellStyle name="Normal 41 2 4" xfId="1712"/>
    <cellStyle name="Normal 41 2 4 2" xfId="1713"/>
    <cellStyle name="Normal 41 2 4 2 2" xfId="1714"/>
    <cellStyle name="Normal 41 2 4 3" xfId="1715"/>
    <cellStyle name="Normal 41 2 5" xfId="1716"/>
    <cellStyle name="Normal 41 2 5 2" xfId="1717"/>
    <cellStyle name="Normal 41 2 6" xfId="1718"/>
    <cellStyle name="Normal 41 3" xfId="1719"/>
    <cellStyle name="Normal 41 3 2" xfId="1720"/>
    <cellStyle name="Normal 41 3 2 2" xfId="1721"/>
    <cellStyle name="Normal 41 3 2 2 2" xfId="1722"/>
    <cellStyle name="Normal 41 3 2 3" xfId="1723"/>
    <cellStyle name="Normal 41 3 3" xfId="1724"/>
    <cellStyle name="Normal 41 3 3 2" xfId="1725"/>
    <cellStyle name="Normal 41 3 3 2 2" xfId="1726"/>
    <cellStyle name="Normal 41 3 3 3" xfId="1727"/>
    <cellStyle name="Normal 41 3 4" xfId="1728"/>
    <cellStyle name="Normal 41 3 4 2" xfId="1729"/>
    <cellStyle name="Normal 41 3 4 2 2" xfId="1730"/>
    <cellStyle name="Normal 41 3 4 3" xfId="1731"/>
    <cellStyle name="Normal 41 3 5" xfId="1732"/>
    <cellStyle name="Normal 41 3 5 2" xfId="1733"/>
    <cellStyle name="Normal 41 3 6" xfId="1734"/>
    <cellStyle name="Normal 41 4" xfId="1735"/>
    <cellStyle name="Normal 41 4 2" xfId="1736"/>
    <cellStyle name="Normal 41 4 2 2" xfId="1737"/>
    <cellStyle name="Normal 41 4 3" xfId="1738"/>
    <cellStyle name="Normal 41 5" xfId="1739"/>
    <cellStyle name="Normal 41 5 2" xfId="1740"/>
    <cellStyle name="Normal 41 5 2 2" xfId="1741"/>
    <cellStyle name="Normal 41 5 3" xfId="1742"/>
    <cellStyle name="Normal 41 6" xfId="1743"/>
    <cellStyle name="Normal 41 6 2" xfId="1744"/>
    <cellStyle name="Normal 41 6 2 2" xfId="1745"/>
    <cellStyle name="Normal 41 6 3" xfId="1746"/>
    <cellStyle name="Normal 41 7" xfId="1747"/>
    <cellStyle name="Normal 41 7 2" xfId="1748"/>
    <cellStyle name="Normal 41 8" xfId="1749"/>
    <cellStyle name="Normal 42" xfId="1750"/>
    <cellStyle name="Normal 42 2" xfId="1751"/>
    <cellStyle name="Normal 42 2 2" xfId="1752"/>
    <cellStyle name="Normal 42 2 2 2" xfId="1753"/>
    <cellStyle name="Normal 42 2 2 2 2" xfId="1754"/>
    <cellStyle name="Normal 42 2 2 3" xfId="1755"/>
    <cellStyle name="Normal 42 2 3" xfId="1756"/>
    <cellStyle name="Normal 42 2 3 2" xfId="1757"/>
    <cellStyle name="Normal 42 2 3 2 2" xfId="1758"/>
    <cellStyle name="Normal 42 2 3 3" xfId="1759"/>
    <cellStyle name="Normal 42 2 4" xfId="1760"/>
    <cellStyle name="Normal 42 2 4 2" xfId="1761"/>
    <cellStyle name="Normal 42 2 4 2 2" xfId="1762"/>
    <cellStyle name="Normal 42 2 4 3" xfId="1763"/>
    <cellStyle name="Normal 42 2 5" xfId="1764"/>
    <cellStyle name="Normal 42 2 5 2" xfId="1765"/>
    <cellStyle name="Normal 42 2 6" xfId="1766"/>
    <cellStyle name="Normal 42 3" xfId="1767"/>
    <cellStyle name="Normal 42 3 2" xfId="1768"/>
    <cellStyle name="Normal 42 3 2 2" xfId="1769"/>
    <cellStyle name="Normal 42 3 2 2 2" xfId="1770"/>
    <cellStyle name="Normal 42 3 2 3" xfId="1771"/>
    <cellStyle name="Normal 42 3 3" xfId="1772"/>
    <cellStyle name="Normal 42 3 3 2" xfId="1773"/>
    <cellStyle name="Normal 42 3 3 2 2" xfId="1774"/>
    <cellStyle name="Normal 42 3 3 3" xfId="1775"/>
    <cellStyle name="Normal 42 3 4" xfId="1776"/>
    <cellStyle name="Normal 42 3 4 2" xfId="1777"/>
    <cellStyle name="Normal 42 3 4 2 2" xfId="1778"/>
    <cellStyle name="Normal 42 3 4 3" xfId="1779"/>
    <cellStyle name="Normal 42 3 5" xfId="1780"/>
    <cellStyle name="Normal 42 3 5 2" xfId="1781"/>
    <cellStyle name="Normal 42 3 6" xfId="1782"/>
    <cellStyle name="Normal 42 4" xfId="1783"/>
    <cellStyle name="Normal 42 4 2" xfId="1784"/>
    <cellStyle name="Normal 42 4 2 2" xfId="1785"/>
    <cellStyle name="Normal 42 4 3" xfId="1786"/>
    <cellStyle name="Normal 42 5" xfId="1787"/>
    <cellStyle name="Normal 42 5 2" xfId="1788"/>
    <cellStyle name="Normal 42 5 2 2" xfId="1789"/>
    <cellStyle name="Normal 42 5 3" xfId="1790"/>
    <cellStyle name="Normal 42 6" xfId="1791"/>
    <cellStyle name="Normal 42 6 2" xfId="1792"/>
    <cellStyle name="Normal 42 6 2 2" xfId="1793"/>
    <cellStyle name="Normal 42 6 3" xfId="1794"/>
    <cellStyle name="Normal 42 7" xfId="1795"/>
    <cellStyle name="Normal 42 7 2" xfId="1796"/>
    <cellStyle name="Normal 42 8" xfId="1797"/>
    <cellStyle name="Normal 43" xfId="1798"/>
    <cellStyle name="Normal 43 2" xfId="1799"/>
    <cellStyle name="Normal 43 2 2" xfId="1800"/>
    <cellStyle name="Normal 43 2 2 2" xfId="1801"/>
    <cellStyle name="Normal 43 2 2 2 2" xfId="1802"/>
    <cellStyle name="Normal 43 2 2 3" xfId="1803"/>
    <cellStyle name="Normal 43 2 3" xfId="1804"/>
    <cellStyle name="Normal 43 2 3 2" xfId="1805"/>
    <cellStyle name="Normal 43 2 3 2 2" xfId="1806"/>
    <cellStyle name="Normal 43 2 3 3" xfId="1807"/>
    <cellStyle name="Normal 43 2 4" xfId="1808"/>
    <cellStyle name="Normal 43 2 4 2" xfId="1809"/>
    <cellStyle name="Normal 43 2 4 2 2" xfId="1810"/>
    <cellStyle name="Normal 43 2 4 3" xfId="1811"/>
    <cellStyle name="Normal 43 2 5" xfId="1812"/>
    <cellStyle name="Normal 43 2 5 2" xfId="1813"/>
    <cellStyle name="Normal 43 2 6" xfId="1814"/>
    <cellStyle name="Normal 43 3" xfId="1815"/>
    <cellStyle name="Normal 43 3 2" xfId="1816"/>
    <cellStyle name="Normal 43 3 2 2" xfId="1817"/>
    <cellStyle name="Normal 43 3 2 2 2" xfId="1818"/>
    <cellStyle name="Normal 43 3 2 3" xfId="1819"/>
    <cellStyle name="Normal 43 3 3" xfId="1820"/>
    <cellStyle name="Normal 43 3 3 2" xfId="1821"/>
    <cellStyle name="Normal 43 3 3 2 2" xfId="1822"/>
    <cellStyle name="Normal 43 3 3 3" xfId="1823"/>
    <cellStyle name="Normal 43 3 4" xfId="1824"/>
    <cellStyle name="Normal 43 3 4 2" xfId="1825"/>
    <cellStyle name="Normal 43 3 4 2 2" xfId="1826"/>
    <cellStyle name="Normal 43 3 4 3" xfId="1827"/>
    <cellStyle name="Normal 43 3 5" xfId="1828"/>
    <cellStyle name="Normal 43 3 5 2" xfId="1829"/>
    <cellStyle name="Normal 43 3 6" xfId="1830"/>
    <cellStyle name="Normal 43 4" xfId="1831"/>
    <cellStyle name="Normal 43 4 2" xfId="1832"/>
    <cellStyle name="Normal 43 4 2 2" xfId="1833"/>
    <cellStyle name="Normal 43 4 3" xfId="1834"/>
    <cellStyle name="Normal 43 5" xfId="1835"/>
    <cellStyle name="Normal 43 5 2" xfId="1836"/>
    <cellStyle name="Normal 43 5 2 2" xfId="1837"/>
    <cellStyle name="Normal 43 5 3" xfId="1838"/>
    <cellStyle name="Normal 43 6" xfId="1839"/>
    <cellStyle name="Normal 43 6 2" xfId="1840"/>
    <cellStyle name="Normal 43 6 2 2" xfId="1841"/>
    <cellStyle name="Normal 43 6 3" xfId="1842"/>
    <cellStyle name="Normal 43 7" xfId="1843"/>
    <cellStyle name="Normal 43 7 2" xfId="1844"/>
    <cellStyle name="Normal 43 8" xfId="1845"/>
    <cellStyle name="Normal 44" xfId="1846"/>
    <cellStyle name="Normal 44 2" xfId="1847"/>
    <cellStyle name="Normal 44 2 2" xfId="1848"/>
    <cellStyle name="Normal 44 2 2 2" xfId="1849"/>
    <cellStyle name="Normal 44 2 2 2 2" xfId="1850"/>
    <cellStyle name="Normal 44 2 2 3" xfId="1851"/>
    <cellStyle name="Normal 44 2 3" xfId="1852"/>
    <cellStyle name="Normal 44 2 3 2" xfId="1853"/>
    <cellStyle name="Normal 44 2 3 2 2" xfId="1854"/>
    <cellStyle name="Normal 44 2 3 3" xfId="1855"/>
    <cellStyle name="Normal 44 2 4" xfId="1856"/>
    <cellStyle name="Normal 44 2 4 2" xfId="1857"/>
    <cellStyle name="Normal 44 2 4 2 2" xfId="1858"/>
    <cellStyle name="Normal 44 2 4 3" xfId="1859"/>
    <cellStyle name="Normal 44 2 5" xfId="1860"/>
    <cellStyle name="Normal 44 2 5 2" xfId="1861"/>
    <cellStyle name="Normal 44 2 6" xfId="1862"/>
    <cellStyle name="Normal 44 3" xfId="1863"/>
    <cellStyle name="Normal 44 3 2" xfId="1864"/>
    <cellStyle name="Normal 44 3 2 2" xfId="1865"/>
    <cellStyle name="Normal 44 3 2 2 2" xfId="1866"/>
    <cellStyle name="Normal 44 3 2 3" xfId="1867"/>
    <cellStyle name="Normal 44 3 3" xfId="1868"/>
    <cellStyle name="Normal 44 3 3 2" xfId="1869"/>
    <cellStyle name="Normal 44 3 3 2 2" xfId="1870"/>
    <cellStyle name="Normal 44 3 3 3" xfId="1871"/>
    <cellStyle name="Normal 44 3 4" xfId="1872"/>
    <cellStyle name="Normal 44 3 4 2" xfId="1873"/>
    <cellStyle name="Normal 44 3 4 2 2" xfId="1874"/>
    <cellStyle name="Normal 44 3 4 3" xfId="1875"/>
    <cellStyle name="Normal 44 3 5" xfId="1876"/>
    <cellStyle name="Normal 44 3 5 2" xfId="1877"/>
    <cellStyle name="Normal 44 3 6" xfId="1878"/>
    <cellStyle name="Normal 44 4" xfId="1879"/>
    <cellStyle name="Normal 44 4 2" xfId="1880"/>
    <cellStyle name="Normal 44 5" xfId="1881"/>
    <cellStyle name="Normal 45" xfId="1882"/>
    <cellStyle name="Normal 45 2" xfId="1883"/>
    <cellStyle name="Normal 45 2 2" xfId="1884"/>
    <cellStyle name="Normal 45 2 2 2" xfId="1885"/>
    <cellStyle name="Normal 45 2 2 2 2" xfId="1886"/>
    <cellStyle name="Normal 45 2 2 3" xfId="1887"/>
    <cellStyle name="Normal 45 2 3" xfId="1888"/>
    <cellStyle name="Normal 45 2 3 2" xfId="1889"/>
    <cellStyle name="Normal 45 2 3 2 2" xfId="1890"/>
    <cellStyle name="Normal 45 2 3 3" xfId="1891"/>
    <cellStyle name="Normal 45 2 4" xfId="1892"/>
    <cellStyle name="Normal 45 2 4 2" xfId="1893"/>
    <cellStyle name="Normal 45 2 4 2 2" xfId="1894"/>
    <cellStyle name="Normal 45 2 4 3" xfId="1895"/>
    <cellStyle name="Normal 45 2 5" xfId="1896"/>
    <cellStyle name="Normal 45 2 5 2" xfId="1897"/>
    <cellStyle name="Normal 45 2 6" xfId="1898"/>
    <cellStyle name="Normal 45 3" xfId="1899"/>
    <cellStyle name="Normal 45 3 2" xfId="1900"/>
    <cellStyle name="Normal 45 3 2 2" xfId="1901"/>
    <cellStyle name="Normal 45 3 2 2 2" xfId="1902"/>
    <cellStyle name="Normal 45 3 2 3" xfId="1903"/>
    <cellStyle name="Normal 45 3 3" xfId="1904"/>
    <cellStyle name="Normal 45 3 3 2" xfId="1905"/>
    <cellStyle name="Normal 45 3 3 2 2" xfId="1906"/>
    <cellStyle name="Normal 45 3 3 3" xfId="1907"/>
    <cellStyle name="Normal 45 3 4" xfId="1908"/>
    <cellStyle name="Normal 45 3 4 2" xfId="1909"/>
    <cellStyle name="Normal 45 3 4 2 2" xfId="1910"/>
    <cellStyle name="Normal 45 3 4 3" xfId="1911"/>
    <cellStyle name="Normal 45 3 5" xfId="1912"/>
    <cellStyle name="Normal 45 3 5 2" xfId="1913"/>
    <cellStyle name="Normal 45 3 6" xfId="1914"/>
    <cellStyle name="Normal 45 4" xfId="1915"/>
    <cellStyle name="Normal 45 4 2" xfId="1916"/>
    <cellStyle name="Normal 45 5" xfId="1917"/>
    <cellStyle name="Normal 46" xfId="1918"/>
    <cellStyle name="Normal 46 2" xfId="1919"/>
    <cellStyle name="Normal 46 2 2" xfId="1920"/>
    <cellStyle name="Normal 46 2 2 2" xfId="1921"/>
    <cellStyle name="Normal 46 2 3" xfId="1922"/>
    <cellStyle name="Normal 46 3" xfId="1923"/>
    <cellStyle name="Normal 46 3 2" xfId="1924"/>
    <cellStyle name="Normal 46 3 2 2" xfId="1925"/>
    <cellStyle name="Normal 46 3 3" xfId="1926"/>
    <cellStyle name="Normal 46 4" xfId="1927"/>
    <cellStyle name="Normal 46 4 2" xfId="1928"/>
    <cellStyle name="Normal 46 4 2 2" xfId="1929"/>
    <cellStyle name="Normal 46 4 3" xfId="1930"/>
    <cellStyle name="Normal 46 5" xfId="1931"/>
    <cellStyle name="Normal 46 5 2" xfId="1932"/>
    <cellStyle name="Normal 46 5 2 2" xfId="1933"/>
    <cellStyle name="Normal 46 5 3" xfId="1934"/>
    <cellStyle name="Normal 46 6" xfId="1935"/>
    <cellStyle name="Normal 46 6 2" xfId="1936"/>
    <cellStyle name="Normal 46 7" xfId="1937"/>
    <cellStyle name="Normal 47" xfId="1938"/>
    <cellStyle name="Normal 47 2" xfId="1939"/>
    <cellStyle name="Normal 47 2 2" xfId="1940"/>
    <cellStyle name="Normal 47 3" xfId="1941"/>
    <cellStyle name="Normal 48" xfId="1942"/>
    <cellStyle name="Normal 48 2" xfId="1943"/>
    <cellStyle name="Normal 48 2 2" xfId="1944"/>
    <cellStyle name="Normal 48 3" xfId="1945"/>
    <cellStyle name="Normal 49" xfId="1946"/>
    <cellStyle name="Normal 49 2" xfId="1947"/>
    <cellStyle name="Normal 49 2 2" xfId="1948"/>
    <cellStyle name="Normal 49 3" xfId="1949"/>
    <cellStyle name="Normal 5" xfId="1950"/>
    <cellStyle name="Normal 5 2" xfId="1951"/>
    <cellStyle name="Normal 5 3" xfId="1952"/>
    <cellStyle name="Normal 5 4" xfId="1953"/>
    <cellStyle name="Normal 5 5" xfId="1954"/>
    <cellStyle name="Normal 5 6" xfId="1955"/>
    <cellStyle name="Normal 50" xfId="1956"/>
    <cellStyle name="Normal 50 2" xfId="1957"/>
    <cellStyle name="Normal 50 2 2" xfId="1958"/>
    <cellStyle name="Normal 50 3" xfId="1959"/>
    <cellStyle name="Normal 51" xfId="1960"/>
    <cellStyle name="Normal 51 2" xfId="1961"/>
    <cellStyle name="Normal 51 2 2" xfId="1962"/>
    <cellStyle name="Normal 51 3" xfId="1963"/>
    <cellStyle name="Normal 52" xfId="1964"/>
    <cellStyle name="Normal 52 2" xfId="1965"/>
    <cellStyle name="Normal 52 2 2" xfId="1966"/>
    <cellStyle name="Normal 52 2 2 2" xfId="1967"/>
    <cellStyle name="Normal 52 2 3" xfId="1968"/>
    <cellStyle name="Normal 52 3" xfId="1969"/>
    <cellStyle name="Normal 52 3 2" xfId="1970"/>
    <cellStyle name="Normal 52 3 2 2" xfId="1971"/>
    <cellStyle name="Normal 52 3 3" xfId="1972"/>
    <cellStyle name="Normal 52 4" xfId="1973"/>
    <cellStyle name="Normal 52 4 2" xfId="1974"/>
    <cellStyle name="Normal 52 4 2 2" xfId="1975"/>
    <cellStyle name="Normal 52 4 3" xfId="1976"/>
    <cellStyle name="Normal 52 5" xfId="1977"/>
    <cellStyle name="Normal 52 5 2" xfId="1978"/>
    <cellStyle name="Normal 52 5 2 2" xfId="1979"/>
    <cellStyle name="Normal 52 5 3" xfId="1980"/>
    <cellStyle name="Normal 52 6" xfId="1981"/>
    <cellStyle name="Normal 52 6 2" xfId="1982"/>
    <cellStyle name="Normal 52 7" xfId="1983"/>
    <cellStyle name="Normal 53" xfId="1984"/>
    <cellStyle name="Normal 53 2" xfId="1985"/>
    <cellStyle name="Normal 53 2 2" xfId="1986"/>
    <cellStyle name="Normal 53 2 2 2" xfId="1987"/>
    <cellStyle name="Normal 53 2 3" xfId="1988"/>
    <cellStyle name="Normal 53 3" xfId="1989"/>
    <cellStyle name="Normal 53 3 2" xfId="1990"/>
    <cellStyle name="Normal 53 3 2 2" xfId="1991"/>
    <cellStyle name="Normal 53 3 3" xfId="1992"/>
    <cellStyle name="Normal 53 4" xfId="1993"/>
    <cellStyle name="Normal 53 4 2" xfId="1994"/>
    <cellStyle name="Normal 53 4 2 2" xfId="1995"/>
    <cellStyle name="Normal 53 4 3" xfId="1996"/>
    <cellStyle name="Normal 53 5" xfId="1997"/>
    <cellStyle name="Normal 53 5 2" xfId="1998"/>
    <cellStyle name="Normal 53 5 2 2" xfId="1999"/>
    <cellStyle name="Normal 53 5 3" xfId="2000"/>
    <cellStyle name="Normal 53 6" xfId="2001"/>
    <cellStyle name="Normal 53 6 2" xfId="2002"/>
    <cellStyle name="Normal 53 7" xfId="2003"/>
    <cellStyle name="Normal 54" xfId="2004"/>
    <cellStyle name="Normal 54 2" xfId="2005"/>
    <cellStyle name="Normal 54 2 2" xfId="2006"/>
    <cellStyle name="Normal 54 2 2 2" xfId="2007"/>
    <cellStyle name="Normal 54 2 3" xfId="2008"/>
    <cellStyle name="Normal 54 3" xfId="2009"/>
    <cellStyle name="Normal 54 3 2" xfId="2010"/>
    <cellStyle name="Normal 54 3 2 2" xfId="2011"/>
    <cellStyle name="Normal 54 3 3" xfId="2012"/>
    <cellStyle name="Normal 54 4" xfId="2013"/>
    <cellStyle name="Normal 54 4 2" xfId="2014"/>
    <cellStyle name="Normal 54 4 2 2" xfId="2015"/>
    <cellStyle name="Normal 54 4 3" xfId="2016"/>
    <cellStyle name="Normal 54 5" xfId="2017"/>
    <cellStyle name="Normal 54 5 2" xfId="2018"/>
    <cellStyle name="Normal 54 5 2 2" xfId="2019"/>
    <cellStyle name="Normal 54 5 3" xfId="2020"/>
    <cellStyle name="Normal 54 6" xfId="2021"/>
    <cellStyle name="Normal 54 6 2" xfId="2022"/>
    <cellStyle name="Normal 54 7" xfId="2023"/>
    <cellStyle name="Normal 55" xfId="2024"/>
    <cellStyle name="Normal 55 2" xfId="2025"/>
    <cellStyle name="Normal 55 2 2" xfId="2026"/>
    <cellStyle name="Normal 55 2 2 2" xfId="2027"/>
    <cellStyle name="Normal 55 2 3" xfId="2028"/>
    <cellStyle name="Normal 55 3" xfId="2029"/>
    <cellStyle name="Normal 55 3 2" xfId="2030"/>
    <cellStyle name="Normal 55 3 2 2" xfId="2031"/>
    <cellStyle name="Normal 55 3 3" xfId="2032"/>
    <cellStyle name="Normal 55 4" xfId="2033"/>
    <cellStyle name="Normal 55 4 2" xfId="2034"/>
    <cellStyle name="Normal 55 4 2 2" xfId="2035"/>
    <cellStyle name="Normal 55 4 3" xfId="2036"/>
    <cellStyle name="Normal 55 5" xfId="2037"/>
    <cellStyle name="Normal 55 5 2" xfId="2038"/>
    <cellStyle name="Normal 55 5 2 2" xfId="2039"/>
    <cellStyle name="Normal 55 5 3" xfId="2040"/>
    <cellStyle name="Normal 55 6" xfId="2041"/>
    <cellStyle name="Normal 55 6 2" xfId="2042"/>
    <cellStyle name="Normal 55 7" xfId="2043"/>
    <cellStyle name="Normal 56" xfId="2044"/>
    <cellStyle name="Normal 56 2" xfId="2045"/>
    <cellStyle name="Normal 56 2 2" xfId="2046"/>
    <cellStyle name="Normal 56 2 2 2" xfId="2047"/>
    <cellStyle name="Normal 56 2 3" xfId="2048"/>
    <cellStyle name="Normal 56 3" xfId="2049"/>
    <cellStyle name="Normal 56 3 2" xfId="2050"/>
    <cellStyle name="Normal 56 3 2 2" xfId="2051"/>
    <cellStyle name="Normal 56 3 3" xfId="2052"/>
    <cellStyle name="Normal 56 4" xfId="2053"/>
    <cellStyle name="Normal 56 4 2" xfId="2054"/>
    <cellStyle name="Normal 56 4 2 2" xfId="2055"/>
    <cellStyle name="Normal 56 4 3" xfId="2056"/>
    <cellStyle name="Normal 56 5" xfId="2057"/>
    <cellStyle name="Normal 56 5 2" xfId="2058"/>
    <cellStyle name="Normal 56 5 2 2" xfId="2059"/>
    <cellStyle name="Normal 56 5 3" xfId="2060"/>
    <cellStyle name="Normal 56 6" xfId="2061"/>
    <cellStyle name="Normal 56 6 2" xfId="2062"/>
    <cellStyle name="Normal 56 7" xfId="2063"/>
    <cellStyle name="Normal 57" xfId="2064"/>
    <cellStyle name="Normal 57 2" xfId="2065"/>
    <cellStyle name="Normal 57 2 2" xfId="2066"/>
    <cellStyle name="Normal 57 2 2 2" xfId="2067"/>
    <cellStyle name="Normal 57 2 3" xfId="2068"/>
    <cellStyle name="Normal 57 3" xfId="2069"/>
    <cellStyle name="Normal 57 3 2" xfId="2070"/>
    <cellStyle name="Normal 57 3 2 2" xfId="2071"/>
    <cellStyle name="Normal 57 3 3" xfId="2072"/>
    <cellStyle name="Normal 57 4" xfId="2073"/>
    <cellStyle name="Normal 57 4 2" xfId="2074"/>
    <cellStyle name="Normal 57 4 2 2" xfId="2075"/>
    <cellStyle name="Normal 57 4 3" xfId="2076"/>
    <cellStyle name="Normal 57 5" xfId="2077"/>
    <cellStyle name="Normal 57 5 2" xfId="2078"/>
    <cellStyle name="Normal 57 5 2 2" xfId="2079"/>
    <cellStyle name="Normal 57 5 3" xfId="2080"/>
    <cellStyle name="Normal 57 6" xfId="2081"/>
    <cellStyle name="Normal 57 6 2" xfId="2082"/>
    <cellStyle name="Normal 57 7" xfId="2083"/>
    <cellStyle name="Normal 58" xfId="2084"/>
    <cellStyle name="Normal 58 2" xfId="2085"/>
    <cellStyle name="Normal 58 2 2" xfId="2086"/>
    <cellStyle name="Normal 58 2 2 2" xfId="2087"/>
    <cellStyle name="Normal 58 2 3" xfId="2088"/>
    <cellStyle name="Normal 58 3" xfId="2089"/>
    <cellStyle name="Normal 58 3 2" xfId="2090"/>
    <cellStyle name="Normal 58 3 2 2" xfId="2091"/>
    <cellStyle name="Normal 58 3 3" xfId="2092"/>
    <cellStyle name="Normal 58 4" xfId="2093"/>
    <cellStyle name="Normal 58 4 2" xfId="2094"/>
    <cellStyle name="Normal 58 5" xfId="2095"/>
    <cellStyle name="Normal 59" xfId="2096"/>
    <cellStyle name="Normal 59 2" xfId="2097"/>
    <cellStyle name="Normal 59 2 2" xfId="2098"/>
    <cellStyle name="Normal 59 2 2 2" xfId="2099"/>
    <cellStyle name="Normal 59 2 3" xfId="2100"/>
    <cellStyle name="Normal 59 3" xfId="2101"/>
    <cellStyle name="Normal 59 3 2" xfId="2102"/>
    <cellStyle name="Normal 59 3 2 2" xfId="2103"/>
    <cellStyle name="Normal 59 3 3" xfId="2104"/>
    <cellStyle name="Normal 59 4" xfId="2105"/>
    <cellStyle name="Normal 59 4 2" xfId="2106"/>
    <cellStyle name="Normal 59 5" xfId="2107"/>
    <cellStyle name="Normal 6" xfId="2108"/>
    <cellStyle name="Normal 6 2" xfId="2109"/>
    <cellStyle name="Normal 6 3" xfId="2110"/>
    <cellStyle name="Normal 6 4" xfId="2111"/>
    <cellStyle name="Normal 6 5" xfId="2112"/>
    <cellStyle name="Normal 6 6" xfId="2113"/>
    <cellStyle name="Normal 60" xfId="2114"/>
    <cellStyle name="Normal 60 2" xfId="2115"/>
    <cellStyle name="Normal 60 2 2" xfId="2116"/>
    <cellStyle name="Normal 60 2 2 2" xfId="2117"/>
    <cellStyle name="Normal 60 2 3" xfId="2118"/>
    <cellStyle name="Normal 60 3" xfId="2119"/>
    <cellStyle name="Normal 60 3 2" xfId="2120"/>
    <cellStyle name="Normal 60 3 2 2" xfId="2121"/>
    <cellStyle name="Normal 60 3 3" xfId="2122"/>
    <cellStyle name="Normal 60 4" xfId="2123"/>
    <cellStyle name="Normal 60 4 2" xfId="2124"/>
    <cellStyle name="Normal 60 5" xfId="2125"/>
    <cellStyle name="Normal 61" xfId="2126"/>
    <cellStyle name="Normal 61 2" xfId="2127"/>
    <cellStyle name="Normal 61 2 2" xfId="2128"/>
    <cellStyle name="Normal 61 2 2 2" xfId="2129"/>
    <cellStyle name="Normal 61 2 3" xfId="2130"/>
    <cellStyle name="Normal 61 3" xfId="2131"/>
    <cellStyle name="Normal 61 3 2" xfId="2132"/>
    <cellStyle name="Normal 61 3 2 2" xfId="2133"/>
    <cellStyle name="Normal 61 3 3" xfId="2134"/>
    <cellStyle name="Normal 61 4" xfId="2135"/>
    <cellStyle name="Normal 61 4 2" xfId="2136"/>
    <cellStyle name="Normal 61 5" xfId="2137"/>
    <cellStyle name="Normal 62" xfId="2138"/>
    <cellStyle name="Normal 62 2" xfId="2139"/>
    <cellStyle name="Normal 62 2 2" xfId="2140"/>
    <cellStyle name="Normal 62 2 2 2" xfId="2141"/>
    <cellStyle name="Normal 62 2 3" xfId="2142"/>
    <cellStyle name="Normal 62 3" xfId="2143"/>
    <cellStyle name="Normal 62 3 2" xfId="2144"/>
    <cellStyle name="Normal 62 3 2 2" xfId="2145"/>
    <cellStyle name="Normal 62 3 3" xfId="2146"/>
    <cellStyle name="Normal 62 4" xfId="2147"/>
    <cellStyle name="Normal 62 4 2" xfId="2148"/>
    <cellStyle name="Normal 62 4 2 2" xfId="2149"/>
    <cellStyle name="Normal 62 4 3" xfId="2150"/>
    <cellStyle name="Normal 62 5" xfId="2151"/>
    <cellStyle name="Normal 62 5 2" xfId="2152"/>
    <cellStyle name="Normal 62 6" xfId="2153"/>
    <cellStyle name="Normal 63" xfId="2154"/>
    <cellStyle name="Normal 63 2" xfId="2155"/>
    <cellStyle name="Normal 63 2 2" xfId="2156"/>
    <cellStyle name="Normal 63 2 2 2" xfId="2157"/>
    <cellStyle name="Normal 63 2 3" xfId="2158"/>
    <cellStyle name="Normal 63 3" xfId="2159"/>
    <cellStyle name="Normal 63 3 2" xfId="2160"/>
    <cellStyle name="Normal 63 3 2 2" xfId="2161"/>
    <cellStyle name="Normal 63 3 3" xfId="2162"/>
    <cellStyle name="Normal 63 4" xfId="2163"/>
    <cellStyle name="Normal 63 4 2" xfId="2164"/>
    <cellStyle name="Normal 63 5" xfId="2165"/>
    <cellStyle name="Normal 64" xfId="2166"/>
    <cellStyle name="Normal 64 2" xfId="2167"/>
    <cellStyle name="Normal 64 2 2" xfId="2168"/>
    <cellStyle name="Normal 64 2 2 2" xfId="2169"/>
    <cellStyle name="Normal 64 2 3" xfId="2170"/>
    <cellStyle name="Normal 64 3" xfId="2171"/>
    <cellStyle name="Normal 64 3 2" xfId="2172"/>
    <cellStyle name="Normal 64 3 2 2" xfId="2173"/>
    <cellStyle name="Normal 64 3 3" xfId="2174"/>
    <cellStyle name="Normal 64 4" xfId="2175"/>
    <cellStyle name="Normal 64 4 2" xfId="2176"/>
    <cellStyle name="Normal 64 4 2 2" xfId="2177"/>
    <cellStyle name="Normal 64 4 3" xfId="2178"/>
    <cellStyle name="Normal 64 5" xfId="2179"/>
    <cellStyle name="Normal 64 5 2" xfId="2180"/>
    <cellStyle name="Normal 64 6" xfId="2181"/>
    <cellStyle name="Normal 65" xfId="2182"/>
    <cellStyle name="Normal 65 2" xfId="2183"/>
    <cellStyle name="Normal 65 2 2" xfId="2184"/>
    <cellStyle name="Normal 65 2 2 2" xfId="2185"/>
    <cellStyle name="Normal 65 2 3" xfId="2186"/>
    <cellStyle name="Normal 65 3" xfId="2187"/>
    <cellStyle name="Normal 65 3 2" xfId="2188"/>
    <cellStyle name="Normal 65 3 2 2" xfId="2189"/>
    <cellStyle name="Normal 65 3 3" xfId="2190"/>
    <cellStyle name="Normal 65 4" xfId="2191"/>
    <cellStyle name="Normal 65 4 2" xfId="2192"/>
    <cellStyle name="Normal 65 4 2 2" xfId="2193"/>
    <cellStyle name="Normal 65 4 3" xfId="2194"/>
    <cellStyle name="Normal 65 5" xfId="2195"/>
    <cellStyle name="Normal 65 5 2" xfId="2196"/>
    <cellStyle name="Normal 65 6" xfId="2197"/>
    <cellStyle name="Normal 66" xfId="2198"/>
    <cellStyle name="Normal 66 2" xfId="2199"/>
    <cellStyle name="Normal 66 2 2" xfId="2200"/>
    <cellStyle name="Normal 66 2 2 2" xfId="2201"/>
    <cellStyle name="Normal 66 2 3" xfId="2202"/>
    <cellStyle name="Normal 66 3" xfId="2203"/>
    <cellStyle name="Normal 66 3 2" xfId="2204"/>
    <cellStyle name="Normal 66 3 2 2" xfId="2205"/>
    <cellStyle name="Normal 66 3 3" xfId="2206"/>
    <cellStyle name="Normal 66 4" xfId="2207"/>
    <cellStyle name="Normal 66 4 2" xfId="2208"/>
    <cellStyle name="Normal 66 5" xfId="2209"/>
    <cellStyle name="Normal 67" xfId="2210"/>
    <cellStyle name="Normal 67 2" xfId="2211"/>
    <cellStyle name="Normal 67 2 2" xfId="2212"/>
    <cellStyle name="Normal 67 2 2 2" xfId="2213"/>
    <cellStyle name="Normal 67 2 3" xfId="2214"/>
    <cellStyle name="Normal 67 3" xfId="2215"/>
    <cellStyle name="Normal 67 3 2" xfId="2216"/>
    <cellStyle name="Normal 67 3 2 2" xfId="2217"/>
    <cellStyle name="Normal 67 3 3" xfId="2218"/>
    <cellStyle name="Normal 67 4" xfId="2219"/>
    <cellStyle name="Normal 67 4 2" xfId="2220"/>
    <cellStyle name="Normal 67 5" xfId="2221"/>
    <cellStyle name="Normal 68" xfId="2222"/>
    <cellStyle name="Normal 68 2" xfId="2223"/>
    <cellStyle name="Normal 68 2 2" xfId="2224"/>
    <cellStyle name="Normal 68 2 2 2" xfId="2225"/>
    <cellStyle name="Normal 68 2 3" xfId="2226"/>
    <cellStyle name="Normal 68 3" xfId="2227"/>
    <cellStyle name="Normal 68 3 2" xfId="2228"/>
    <cellStyle name="Normal 68 3 2 2" xfId="2229"/>
    <cellStyle name="Normal 68 3 3" xfId="2230"/>
    <cellStyle name="Normal 68 4" xfId="2231"/>
    <cellStyle name="Normal 68 4 2" xfId="2232"/>
    <cellStyle name="Normal 68 5" xfId="2233"/>
    <cellStyle name="Normal 69" xfId="2234"/>
    <cellStyle name="Normal 69 2" xfId="2235"/>
    <cellStyle name="Normal 69 2 2" xfId="2236"/>
    <cellStyle name="Normal 69 2 2 2" xfId="2237"/>
    <cellStyle name="Normal 69 2 3" xfId="2238"/>
    <cellStyle name="Normal 69 3" xfId="2239"/>
    <cellStyle name="Normal 69 3 2" xfId="2240"/>
    <cellStyle name="Normal 69 3 2 2" xfId="2241"/>
    <cellStyle name="Normal 69 3 3" xfId="2242"/>
    <cellStyle name="Normal 69 4" xfId="2243"/>
    <cellStyle name="Normal 69 4 2" xfId="2244"/>
    <cellStyle name="Normal 69 5" xfId="2245"/>
    <cellStyle name="Normal 7" xfId="2246"/>
    <cellStyle name="Normal 7 2" xfId="2247"/>
    <cellStyle name="Normal 7 3" xfId="2248"/>
    <cellStyle name="Normal 7 4" xfId="2249"/>
    <cellStyle name="Normal 7 5" xfId="2250"/>
    <cellStyle name="Normal 7 6" xfId="2251"/>
    <cellStyle name="Normal 70" xfId="2252"/>
    <cellStyle name="Normal 70 2" xfId="2253"/>
    <cellStyle name="Normal 70 2 2" xfId="2254"/>
    <cellStyle name="Normal 70 2 2 2" xfId="2255"/>
    <cellStyle name="Normal 70 2 3" xfId="2256"/>
    <cellStyle name="Normal 70 3" xfId="2257"/>
    <cellStyle name="Normal 70 3 2" xfId="2258"/>
    <cellStyle name="Normal 70 3 2 2" xfId="2259"/>
    <cellStyle name="Normal 70 3 3" xfId="2260"/>
    <cellStyle name="Normal 70 4" xfId="2261"/>
    <cellStyle name="Normal 70 4 2" xfId="2262"/>
    <cellStyle name="Normal 70 5" xfId="2263"/>
    <cellStyle name="Normal 71" xfId="2264"/>
    <cellStyle name="Normal 71 2" xfId="2265"/>
    <cellStyle name="Normal 71 2 2" xfId="2266"/>
    <cellStyle name="Normal 71 2 2 2" xfId="2267"/>
    <cellStyle name="Normal 71 2 3" xfId="2268"/>
    <cellStyle name="Normal 71 3" xfId="2269"/>
    <cellStyle name="Normal 71 3 2" xfId="2270"/>
    <cellStyle name="Normal 71 3 2 2" xfId="2271"/>
    <cellStyle name="Normal 71 3 3" xfId="2272"/>
    <cellStyle name="Normal 71 4" xfId="2273"/>
    <cellStyle name="Normal 71 4 2" xfId="2274"/>
    <cellStyle name="Normal 71 5" xfId="2275"/>
    <cellStyle name="Normal 72" xfId="2276"/>
    <cellStyle name="Normal 72 2" xfId="2277"/>
    <cellStyle name="Normal 72 2 2" xfId="2278"/>
    <cellStyle name="Normal 72 2 2 2" xfId="2279"/>
    <cellStyle name="Normal 72 2 3" xfId="2280"/>
    <cellStyle name="Normal 72 3" xfId="2281"/>
    <cellStyle name="Normal 72 3 2" xfId="2282"/>
    <cellStyle name="Normal 72 3 2 2" xfId="2283"/>
    <cellStyle name="Normal 72 3 3" xfId="2284"/>
    <cellStyle name="Normal 72 4" xfId="2285"/>
    <cellStyle name="Normal 72 4 2" xfId="2286"/>
    <cellStyle name="Normal 72 5" xfId="2287"/>
    <cellStyle name="Normal 73" xfId="2288"/>
    <cellStyle name="Normal 73 2" xfId="2289"/>
    <cellStyle name="Normal 73 2 2" xfId="2290"/>
    <cellStyle name="Normal 73 2 2 2" xfId="2291"/>
    <cellStyle name="Normal 73 2 3" xfId="2292"/>
    <cellStyle name="Normal 73 3" xfId="2293"/>
    <cellStyle name="Normal 73 3 2" xfId="2294"/>
    <cellStyle name="Normal 73 3 2 2" xfId="2295"/>
    <cellStyle name="Normal 73 3 3" xfId="2296"/>
    <cellStyle name="Normal 73 4" xfId="2297"/>
    <cellStyle name="Normal 73 4 2" xfId="2298"/>
    <cellStyle name="Normal 73 5" xfId="2299"/>
    <cellStyle name="Normal 74" xfId="2300"/>
    <cellStyle name="Normal 74 2" xfId="2301"/>
    <cellStyle name="Normal 74 2 2" xfId="2302"/>
    <cellStyle name="Normal 74 2 2 2" xfId="2303"/>
    <cellStyle name="Normal 74 2 3" xfId="2304"/>
    <cellStyle name="Normal 74 3" xfId="2305"/>
    <cellStyle name="Normal 74 3 2" xfId="2306"/>
    <cellStyle name="Normal 74 3 2 2" xfId="2307"/>
    <cellStyle name="Normal 74 3 3" xfId="2308"/>
    <cellStyle name="Normal 74 4" xfId="2309"/>
    <cellStyle name="Normal 74 4 2" xfId="2310"/>
    <cellStyle name="Normal 74 5" xfId="2311"/>
    <cellStyle name="Normal 75" xfId="2312"/>
    <cellStyle name="Normal 75 2" xfId="2313"/>
    <cellStyle name="Normal 75 2 2" xfId="2314"/>
    <cellStyle name="Normal 75 2 2 2" xfId="2315"/>
    <cellStyle name="Normal 75 2 3" xfId="2316"/>
    <cellStyle name="Normal 75 3" xfId="2317"/>
    <cellStyle name="Normal 75 3 2" xfId="2318"/>
    <cellStyle name="Normal 75 3 2 2" xfId="2319"/>
    <cellStyle name="Normal 75 3 3" xfId="2320"/>
    <cellStyle name="Normal 75 4" xfId="2321"/>
    <cellStyle name="Normal 75 4 2" xfId="2322"/>
    <cellStyle name="Normal 75 5" xfId="2323"/>
    <cellStyle name="Normal 76" xfId="2324"/>
    <cellStyle name="Normal 76 2" xfId="2325"/>
    <cellStyle name="Normal 76 2 2" xfId="2326"/>
    <cellStyle name="Normal 76 3" xfId="2327"/>
    <cellStyle name="Normal 77" xfId="2328"/>
    <cellStyle name="Normal 77 2" xfId="2329"/>
    <cellStyle name="Normal 77 2 2" xfId="2330"/>
    <cellStyle name="Normal 77 3" xfId="2331"/>
    <cellStyle name="Normal 78" xfId="2332"/>
    <cellStyle name="Normal 78 2" xfId="2333"/>
    <cellStyle name="Normal 78 2 2" xfId="2334"/>
    <cellStyle name="Normal 78 3" xfId="2335"/>
    <cellStyle name="Normal 79" xfId="2336"/>
    <cellStyle name="Normal 79 2" xfId="2337"/>
    <cellStyle name="Normal 79 2 2" xfId="2338"/>
    <cellStyle name="Normal 79 3" xfId="2339"/>
    <cellStyle name="Normal 8" xfId="2340"/>
    <cellStyle name="Normal 8 2" xfId="2341"/>
    <cellStyle name="Normal 8 3" xfId="2342"/>
    <cellStyle name="Normal 8 4" xfId="2343"/>
    <cellStyle name="Normal 8 5" xfId="2344"/>
    <cellStyle name="Normal 8 6" xfId="2345"/>
    <cellStyle name="Normal 8 7" xfId="2346"/>
    <cellStyle name="Normal 80" xfId="2347"/>
    <cellStyle name="Normal 80 2" xfId="2348"/>
    <cellStyle name="Normal 80 2 2" xfId="2349"/>
    <cellStyle name="Normal 80 3" xfId="2350"/>
    <cellStyle name="Normal 81" xfId="2351"/>
    <cellStyle name="Normal 81 2" xfId="2352"/>
    <cellStyle name="Normal 81 2 2" xfId="2353"/>
    <cellStyle name="Normal 81 3" xfId="2354"/>
    <cellStyle name="Normal 82" xfId="2355"/>
    <cellStyle name="Normal 82 2" xfId="2356"/>
    <cellStyle name="Normal 82 2 2" xfId="2357"/>
    <cellStyle name="Normal 82 3" xfId="2358"/>
    <cellStyle name="Normal 83" xfId="2359"/>
    <cellStyle name="Normal 83 2" xfId="2360"/>
    <cellStyle name="Normal 83 2 2" xfId="2361"/>
    <cellStyle name="Normal 83 3" xfId="2362"/>
    <cellStyle name="Normal 84" xfId="2363"/>
    <cellStyle name="Normal 84 2" xfId="2364"/>
    <cellStyle name="Normal 84 2 2" xfId="2365"/>
    <cellStyle name="Normal 84 3" xfId="2366"/>
    <cellStyle name="Normal 85" xfId="2367"/>
    <cellStyle name="Normal 85 2" xfId="2368"/>
    <cellStyle name="Normal 85 2 2" xfId="2369"/>
    <cellStyle name="Normal 85 3" xfId="2370"/>
    <cellStyle name="Normal 86" xfId="2371"/>
    <cellStyle name="Normal 86 2" xfId="2372"/>
    <cellStyle name="Normal 86 2 2" xfId="2373"/>
    <cellStyle name="Normal 86 3" xfId="2374"/>
    <cellStyle name="Normal 87" xfId="2375"/>
    <cellStyle name="Normal 87 2" xfId="2376"/>
    <cellStyle name="Normal 87 2 2" xfId="2377"/>
    <cellStyle name="Normal 87 3" xfId="2378"/>
    <cellStyle name="Normal 88" xfId="2379"/>
    <cellStyle name="Normal 88 2" xfId="2380"/>
    <cellStyle name="Normal 88 2 2" xfId="2381"/>
    <cellStyle name="Normal 88 3" xfId="2382"/>
    <cellStyle name="Normal 89" xfId="2383"/>
    <cellStyle name="Normal 89 2" xfId="2384"/>
    <cellStyle name="Normal 89 2 2" xfId="2385"/>
    <cellStyle name="Normal 89 3" xfId="2386"/>
    <cellStyle name="Normal 9" xfId="2387"/>
    <cellStyle name="Normal 9 2" xfId="2388"/>
    <cellStyle name="Normal 9 3" xfId="2389"/>
    <cellStyle name="Normal 9 4" xfId="2390"/>
    <cellStyle name="Normal 9 5" xfId="2391"/>
    <cellStyle name="Normal 9 6" xfId="2392"/>
    <cellStyle name="Normal 9 7" xfId="2393"/>
    <cellStyle name="Normal 90" xfId="2394"/>
    <cellStyle name="Normal 90 2" xfId="2395"/>
    <cellStyle name="Normal 90 2 2" xfId="2396"/>
    <cellStyle name="Normal 90 3" xfId="2397"/>
    <cellStyle name="Normal 91" xfId="2398"/>
    <cellStyle name="Normal 91 2" xfId="2399"/>
    <cellStyle name="Normal 91 2 2" xfId="2400"/>
    <cellStyle name="Normal 91 3" xfId="2401"/>
    <cellStyle name="Normal 92" xfId="2402"/>
    <cellStyle name="Normal 92 2" xfId="2403"/>
    <cellStyle name="Normal 92 2 2" xfId="2404"/>
    <cellStyle name="Normal 92 3" xfId="2405"/>
    <cellStyle name="Normal 93" xfId="2406"/>
    <cellStyle name="Normal 93 2" xfId="2407"/>
    <cellStyle name="Normal 93 2 2" xfId="2408"/>
    <cellStyle name="Normal 93 3" xfId="2409"/>
    <cellStyle name="Normal 94" xfId="2410"/>
    <cellStyle name="Normal 94 2" xfId="2411"/>
    <cellStyle name="Normal 94 2 2" xfId="2412"/>
    <cellStyle name="Normal 94 3" xfId="2413"/>
    <cellStyle name="Normal 95" xfId="2414"/>
    <cellStyle name="Normal 95 2" xfId="2415"/>
    <cellStyle name="Normal 95 2 2" xfId="2416"/>
    <cellStyle name="Normal 95 3" xfId="2417"/>
    <cellStyle name="Normal 96" xfId="2418"/>
    <cellStyle name="Normal 96 2" xfId="2419"/>
    <cellStyle name="Normal 96 2 2" xfId="2420"/>
    <cellStyle name="Normal 96 3" xfId="2421"/>
    <cellStyle name="Normal 97" xfId="2422"/>
    <cellStyle name="Normal 97 2" xfId="2423"/>
    <cellStyle name="Normal 97 2 2" xfId="2424"/>
    <cellStyle name="Normal 97 3" xfId="2425"/>
    <cellStyle name="Normal 98" xfId="2426"/>
    <cellStyle name="Normal 98 2" xfId="2427"/>
    <cellStyle name="Normal 98 2 2" xfId="2428"/>
    <cellStyle name="Normal 98 3" xfId="2429"/>
    <cellStyle name="Normal 99" xfId="2430"/>
    <cellStyle name="Normal 99 2" xfId="2431"/>
    <cellStyle name="Normal 99 2 2" xfId="2432"/>
    <cellStyle name="Normal 99 3" xfId="2433"/>
    <cellStyle name="Note 10" xfId="2434"/>
    <cellStyle name="Note 10 2" xfId="2435"/>
    <cellStyle name="Note 11" xfId="2436"/>
    <cellStyle name="Note 12" xfId="2437"/>
    <cellStyle name="Note 12 2" xfId="2438"/>
    <cellStyle name="Note 12 2 2" xfId="2439"/>
    <cellStyle name="Note 12 3" xfId="2440"/>
    <cellStyle name="Note 13" xfId="2441"/>
    <cellStyle name="Note 13 2" xfId="2442"/>
    <cellStyle name="Note 13 2 2" xfId="2443"/>
    <cellStyle name="Note 13 3" xfId="2444"/>
    <cellStyle name="Note 14" xfId="2445"/>
    <cellStyle name="Note 14 2" xfId="2446"/>
    <cellStyle name="Note 15" xfId="2447"/>
    <cellStyle name="Note 15 2" xfId="2448"/>
    <cellStyle name="Note 16" xfId="2449"/>
    <cellStyle name="Note 16 2" xfId="2450"/>
    <cellStyle name="Note 17" xfId="2451"/>
    <cellStyle name="Note 17 2" xfId="2452"/>
    <cellStyle name="Note 18" xfId="2453"/>
    <cellStyle name="Note 18 2" xfId="2454"/>
    <cellStyle name="Note 19" xfId="2455"/>
    <cellStyle name="Note 19 2" xfId="2456"/>
    <cellStyle name="Note 2" xfId="2457"/>
    <cellStyle name="Note 2 2" xfId="2458"/>
    <cellStyle name="Note 2 2 2" xfId="2459"/>
    <cellStyle name="Note 2 2 2 2" xfId="2460"/>
    <cellStyle name="Note 2 2 3" xfId="2461"/>
    <cellStyle name="Note 2 2 3 2" xfId="2462"/>
    <cellStyle name="Note 2 2 4" xfId="2463"/>
    <cellStyle name="Note 2 2 4 2" xfId="2464"/>
    <cellStyle name="Note 2 2 5" xfId="2465"/>
    <cellStyle name="Note 2 3" xfId="2466"/>
    <cellStyle name="Note 2 3 2" xfId="2467"/>
    <cellStyle name="Note 2 3 2 2" xfId="2468"/>
    <cellStyle name="Note 2 3 3" xfId="2469"/>
    <cellStyle name="Note 2 3 3 2" xfId="2470"/>
    <cellStyle name="Note 2 3 4" xfId="2471"/>
    <cellStyle name="Note 2 3 4 2" xfId="2472"/>
    <cellStyle name="Note 2 3 5" xfId="2473"/>
    <cellStyle name="Note 2 4" xfId="2474"/>
    <cellStyle name="Note 2 4 2" xfId="2475"/>
    <cellStyle name="Note 2 5" xfId="2476"/>
    <cellStyle name="Note 2 5 2" xfId="2477"/>
    <cellStyle name="Note 2 6" xfId="2478"/>
    <cellStyle name="Note 2 6 2" xfId="2479"/>
    <cellStyle name="Note 2 7" xfId="2480"/>
    <cellStyle name="Note 2 7 2" xfId="2481"/>
    <cellStyle name="Note 2 8" xfId="2482"/>
    <cellStyle name="Note 2 8 2" xfId="2483"/>
    <cellStyle name="Note 2 9" xfId="2484"/>
    <cellStyle name="Note 2 9 2" xfId="2485"/>
    <cellStyle name="Note 20" xfId="2486"/>
    <cellStyle name="Note 21" xfId="2487"/>
    <cellStyle name="Note 3" xfId="2488"/>
    <cellStyle name="Note 3 2" xfId="2489"/>
    <cellStyle name="Note 3 2 2" xfId="2490"/>
    <cellStyle name="Note 3 3" xfId="2491"/>
    <cellStyle name="Note 3 3 2" xfId="2492"/>
    <cellStyle name="Note 3 4" xfId="2493"/>
    <cellStyle name="Note 3 4 2" xfId="2494"/>
    <cellStyle name="Note 3 5" xfId="2495"/>
    <cellStyle name="Note 3 5 2" xfId="2496"/>
    <cellStyle name="Note 3 6" xfId="2497"/>
    <cellStyle name="Note 3 6 2" xfId="2498"/>
    <cellStyle name="Note 3 7" xfId="2499"/>
    <cellStyle name="Note 3 7 2" xfId="2500"/>
    <cellStyle name="Note 4" xfId="2501"/>
    <cellStyle name="Note 4 2" xfId="2502"/>
    <cellStyle name="Note 4 2 2" xfId="2503"/>
    <cellStyle name="Note 4 3" xfId="2504"/>
    <cellStyle name="Note 4 3 2" xfId="2505"/>
    <cellStyle name="Note 4 4" xfId="2506"/>
    <cellStyle name="Note 4 4 2" xfId="2507"/>
    <cellStyle name="Note 4 5" xfId="2508"/>
    <cellStyle name="Note 5" xfId="2509"/>
    <cellStyle name="Note 5 2" xfId="2510"/>
    <cellStyle name="Note 6" xfId="2511"/>
    <cellStyle name="Note 6 2" xfId="2512"/>
    <cellStyle name="Note 7" xfId="2513"/>
    <cellStyle name="Note 7 2" xfId="2514"/>
    <cellStyle name="Note 7 2 2" xfId="2515"/>
    <cellStyle name="Note 7 3" xfId="2516"/>
    <cellStyle name="Note 7 3 2" xfId="2517"/>
    <cellStyle name="Note 7 4" xfId="2518"/>
    <cellStyle name="Note 8" xfId="2519"/>
    <cellStyle name="Note 8 2" xfId="2520"/>
    <cellStyle name="Note 9" xfId="2521"/>
    <cellStyle name="Note 9 2" xfId="2522"/>
    <cellStyle name="Output 2" xfId="2523"/>
    <cellStyle name="Output 2 2" xfId="2524"/>
    <cellStyle name="Output 2 3" xfId="2525"/>
    <cellStyle name="Output 2 4" xfId="2526"/>
    <cellStyle name="Output 2 5" xfId="2527"/>
    <cellStyle name="Output 2 6" xfId="2528"/>
    <cellStyle name="Output 3" xfId="2529"/>
    <cellStyle name="Output 3 2" xfId="2530"/>
    <cellStyle name="Output 3 3" xfId="2531"/>
    <cellStyle name="Output 3 4" xfId="2532"/>
    <cellStyle name="Output 3 5" xfId="2533"/>
    <cellStyle name="Output 3 6" xfId="2534"/>
    <cellStyle name="Output 4" xfId="2535"/>
    <cellStyle name="Output 5" xfId="2536"/>
    <cellStyle name="Output 6" xfId="2537"/>
    <cellStyle name="Output 7" xfId="2538"/>
    <cellStyle name="Output 8" xfId="2539"/>
    <cellStyle name="Output 9" xfId="2540"/>
    <cellStyle name="Percent 2" xfId="2541"/>
    <cellStyle name="Percent 3" xfId="2542"/>
    <cellStyle name="Percent 3 2" xfId="2543"/>
    <cellStyle name="Percent 3 2 2" xfId="2544"/>
    <cellStyle name="Percent 3 3" xfId="2545"/>
    <cellStyle name="Result 1" xfId="2546"/>
    <cellStyle name="Result 2" xfId="2547"/>
    <cellStyle name="Result 3" xfId="2548"/>
    <cellStyle name="SAPBEXstdItem" xfId="2549"/>
    <cellStyle name="Style 1" xfId="2550"/>
    <cellStyle name="Style 1 2" xfId="2551"/>
    <cellStyle name="Title 2" xfId="2552"/>
    <cellStyle name="Title 2 2" xfId="2553"/>
    <cellStyle name="Title 3" xfId="2554"/>
    <cellStyle name="Title 4" xfId="2555"/>
    <cellStyle name="Title 5" xfId="2556"/>
    <cellStyle name="Title 6" xfId="2557"/>
    <cellStyle name="Title 7" xfId="2558"/>
    <cellStyle name="Title 8" xfId="2559"/>
    <cellStyle name="Title 9" xfId="2560"/>
    <cellStyle name="Total 2" xfId="2561"/>
    <cellStyle name="Total 2 2" xfId="2562"/>
    <cellStyle name="Total 2 3" xfId="2563"/>
    <cellStyle name="Total 2 4" xfId="2564"/>
    <cellStyle name="Total 2 5" xfId="2565"/>
    <cellStyle name="Total 2 6" xfId="2566"/>
    <cellStyle name="Total 3" xfId="2567"/>
    <cellStyle name="Total 3 2" xfId="2568"/>
    <cellStyle name="Total 3 3" xfId="2569"/>
    <cellStyle name="Total 3 4" xfId="2570"/>
    <cellStyle name="Total 3 5" xfId="2571"/>
    <cellStyle name="Total 3 6" xfId="2572"/>
    <cellStyle name="Total 4" xfId="2573"/>
    <cellStyle name="Total 5" xfId="2574"/>
    <cellStyle name="Total 6" xfId="2575"/>
    <cellStyle name="Total 7" xfId="2576"/>
    <cellStyle name="Total 8" xfId="2577"/>
    <cellStyle name="Total 9" xfId="2578"/>
    <cellStyle name="Warning Text 2" xfId="2579"/>
    <cellStyle name="Warning Text 2 2" xfId="2580"/>
    <cellStyle name="Warning Text 2 3" xfId="2581"/>
    <cellStyle name="Warning Text 2 4" xfId="2582"/>
    <cellStyle name="Warning Text 2 5" xfId="2583"/>
    <cellStyle name="Warning Text 2 6" xfId="2584"/>
    <cellStyle name="Warning Text 3" xfId="2585"/>
    <cellStyle name="Warning Text 3 2" xfId="2586"/>
    <cellStyle name="Warning Text 3 3" xfId="2587"/>
    <cellStyle name="Warning Text 3 4" xfId="2588"/>
    <cellStyle name="Warning Text 3 5" xfId="2589"/>
    <cellStyle name="Warning Text 3 6" xfId="2590"/>
    <cellStyle name="Warning Text 4" xfId="2591"/>
    <cellStyle name="Warning Text 5" xfId="2592"/>
    <cellStyle name="Warning Text 6" xfId="2593"/>
    <cellStyle name="Warning Text 7" xfId="2594"/>
    <cellStyle name="Warning Text 8" xfId="2595"/>
    <cellStyle name="Warning Text 9" xfId="2596"/>
    <cellStyle name="YELLOW" xfId="2597"/>
    <cellStyle name="YELLOW 2" xfId="2598"/>
    <cellStyle name="YELLOW 2 2" xfId="2599"/>
    <cellStyle name="YELLOW 3" xfId="2600"/>
    <cellStyle name="YELLOW 3 2" xfId="2601"/>
    <cellStyle name="YELLOW 4" xfId="2602"/>
    <cellStyle name="YELLOW 4 2" xfId="2603"/>
    <cellStyle name="YELLOW 5" xfId="2604"/>
    <cellStyle name="쉼표_demand-Summary_011002" xfId="2605"/>
    <cellStyle name="표준_demand-Summary_011002" xfId="2606"/>
    <cellStyle name="표준_outstanding_9-03_OOR06-08 2" xfId="2"/>
    <cellStyle name="一般_11-01 RPM SIT_1012'051" xfId="2607"/>
  </cellStyles>
  <dxfs count="0"/>
  <tableStyles count="0" defaultTableStyle="TableStyleMedium9" defaultPivotStyle="PivotStyleLight16"/>
  <colors>
    <mruColors>
      <color rgb="FFCC66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6"/>
  <sheetViews>
    <sheetView tabSelected="1" workbookViewId="0">
      <pane ySplit="1" topLeftCell="A2" activePane="bottomLeft" state="frozen"/>
      <selection pane="bottomLeft" activeCell="J24" sqref="J24"/>
    </sheetView>
  </sheetViews>
  <sheetFormatPr defaultRowHeight="14.25"/>
  <cols>
    <col min="1" max="1" width="18.59765625" customWidth="1"/>
    <col min="2" max="2" width="17.1328125" customWidth="1"/>
    <col min="3" max="3" width="12.86328125" bestFit="1" customWidth="1"/>
    <col min="4" max="4" width="12.265625" customWidth="1"/>
    <col min="5" max="5" width="18.86328125" customWidth="1"/>
    <col min="6" max="7" width="12.265625" customWidth="1"/>
    <col min="8" max="8" width="10.73046875" bestFit="1" customWidth="1"/>
    <col min="9" max="9" width="10.73046875" customWidth="1"/>
    <col min="10" max="10" width="11.265625" bestFit="1" customWidth="1"/>
    <col min="11" max="11" width="4" bestFit="1" customWidth="1"/>
    <col min="12" max="12" width="2" bestFit="1" customWidth="1"/>
    <col min="13" max="13" width="4" bestFit="1" customWidth="1"/>
    <col min="14" max="14" width="5" bestFit="1" customWidth="1"/>
    <col min="15" max="20" width="6" bestFit="1" customWidth="1"/>
    <col min="21" max="25" width="5" bestFit="1" customWidth="1"/>
    <col min="26" max="26" width="4" bestFit="1" customWidth="1"/>
    <col min="27" max="27" width="5" bestFit="1" customWidth="1"/>
    <col min="28" max="28" width="3" bestFit="1" customWidth="1"/>
    <col min="29" max="29" width="5" bestFit="1" customWidth="1"/>
    <col min="30" max="32" width="3" bestFit="1" customWidth="1"/>
    <col min="33" max="40" width="3.1328125" bestFit="1" customWidth="1"/>
    <col min="41" max="41" width="4.1328125" bestFit="1" customWidth="1"/>
    <col min="42" max="42" width="5.73046875" bestFit="1" customWidth="1"/>
    <col min="43" max="43" width="4.1328125" bestFit="1" customWidth="1"/>
    <col min="44" max="44" width="5.73046875" bestFit="1" customWidth="1"/>
    <col min="45" max="45" width="4.1328125" bestFit="1" customWidth="1"/>
    <col min="46" max="46" width="5.73046875" bestFit="1" customWidth="1"/>
    <col min="47" max="47" width="4.1328125" bestFit="1" customWidth="1"/>
    <col min="48" max="48" width="5.73046875" bestFit="1" customWidth="1"/>
    <col min="49" max="49" width="4" bestFit="1" customWidth="1"/>
    <col min="50" max="50" width="4.73046875" bestFit="1" customWidth="1"/>
    <col min="51" max="51" width="4" bestFit="1" customWidth="1"/>
    <col min="52" max="52" width="4.73046875" bestFit="1" customWidth="1"/>
    <col min="53" max="53" width="4" bestFit="1" customWidth="1"/>
    <col min="54" max="54" width="4.73046875" bestFit="1" customWidth="1"/>
    <col min="55" max="55" width="3.1328125" bestFit="1" customWidth="1"/>
    <col min="56" max="56" width="4.73046875" bestFit="1" customWidth="1"/>
    <col min="57" max="57" width="3.1328125" bestFit="1" customWidth="1"/>
    <col min="58" max="58" width="4.73046875" bestFit="1" customWidth="1"/>
    <col min="59" max="59" width="3.1328125" bestFit="1" customWidth="1"/>
    <col min="60" max="60" width="4.73046875" bestFit="1" customWidth="1"/>
    <col min="61" max="61" width="3.1328125" bestFit="1" customWidth="1"/>
  </cols>
  <sheetData>
    <row r="1" spans="1:61" ht="39" customHeight="1">
      <c r="A1" s="36" t="s">
        <v>158</v>
      </c>
      <c r="B1" s="37" t="s">
        <v>159</v>
      </c>
      <c r="C1" s="36" t="s">
        <v>160</v>
      </c>
      <c r="D1" s="36" t="s">
        <v>161</v>
      </c>
      <c r="E1" s="36" t="s">
        <v>157</v>
      </c>
      <c r="F1" s="36" t="s">
        <v>162</v>
      </c>
      <c r="G1" s="36" t="s">
        <v>163</v>
      </c>
      <c r="H1" s="38" t="s">
        <v>164</v>
      </c>
      <c r="I1" s="38" t="s">
        <v>165</v>
      </c>
      <c r="J1" s="36" t="s">
        <v>166</v>
      </c>
      <c r="K1" s="41">
        <v>3.5</v>
      </c>
      <c r="L1" s="41">
        <v>4</v>
      </c>
      <c r="M1" s="41">
        <v>4.5</v>
      </c>
      <c r="N1" s="41">
        <v>5</v>
      </c>
      <c r="O1" s="41">
        <v>5.5</v>
      </c>
      <c r="P1" s="41">
        <v>6</v>
      </c>
      <c r="Q1" s="41">
        <v>6.5</v>
      </c>
      <c r="R1" s="41">
        <v>7</v>
      </c>
      <c r="S1" s="41">
        <v>7.5</v>
      </c>
      <c r="T1" s="41">
        <v>8</v>
      </c>
      <c r="U1" s="41">
        <v>8.5</v>
      </c>
      <c r="V1" s="41">
        <v>9</v>
      </c>
      <c r="W1" s="41">
        <v>9.5</v>
      </c>
      <c r="X1" s="41">
        <v>10</v>
      </c>
      <c r="Y1" s="41">
        <v>10.5</v>
      </c>
      <c r="Z1" s="41">
        <v>11</v>
      </c>
      <c r="AA1" s="41">
        <v>11.5</v>
      </c>
      <c r="AB1" s="41">
        <v>12</v>
      </c>
      <c r="AC1" s="41">
        <v>12.5</v>
      </c>
      <c r="AD1" s="41">
        <v>13</v>
      </c>
      <c r="AE1" s="41">
        <v>14</v>
      </c>
      <c r="AF1" s="41">
        <v>15</v>
      </c>
      <c r="AG1" s="41" t="s">
        <v>128</v>
      </c>
      <c r="AH1" s="41" t="s">
        <v>129</v>
      </c>
      <c r="AI1" s="41" t="s">
        <v>130</v>
      </c>
      <c r="AJ1" s="41" t="s">
        <v>131</v>
      </c>
      <c r="AK1" s="41" t="s">
        <v>132</v>
      </c>
      <c r="AL1" s="41" t="s">
        <v>133</v>
      </c>
      <c r="AM1" s="41" t="s">
        <v>134</v>
      </c>
      <c r="AN1" s="41" t="s">
        <v>135</v>
      </c>
      <c r="AO1" s="41" t="s">
        <v>136</v>
      </c>
      <c r="AP1" s="41" t="s">
        <v>137</v>
      </c>
      <c r="AQ1" s="41" t="s">
        <v>138</v>
      </c>
      <c r="AR1" s="41" t="s">
        <v>139</v>
      </c>
      <c r="AS1" s="41" t="s">
        <v>140</v>
      </c>
      <c r="AT1" s="41" t="s">
        <v>141</v>
      </c>
      <c r="AU1" s="41" t="s">
        <v>142</v>
      </c>
      <c r="AV1" s="41" t="s">
        <v>143</v>
      </c>
      <c r="AW1" s="41" t="s">
        <v>144</v>
      </c>
      <c r="AX1" s="41" t="s">
        <v>145</v>
      </c>
      <c r="AY1" s="41" t="s">
        <v>146</v>
      </c>
      <c r="AZ1" s="41" t="s">
        <v>147</v>
      </c>
      <c r="BA1" s="41" t="s">
        <v>148</v>
      </c>
      <c r="BB1" s="41" t="s">
        <v>149</v>
      </c>
      <c r="BC1" s="41" t="s">
        <v>150</v>
      </c>
      <c r="BD1" s="41" t="s">
        <v>151</v>
      </c>
      <c r="BE1" s="41" t="s">
        <v>152</v>
      </c>
      <c r="BF1" s="41" t="s">
        <v>153</v>
      </c>
      <c r="BG1" s="41" t="s">
        <v>154</v>
      </c>
      <c r="BH1" s="41" t="s">
        <v>155</v>
      </c>
      <c r="BI1" s="41" t="s">
        <v>156</v>
      </c>
    </row>
    <row r="2" spans="1:61">
      <c r="A2" s="30">
        <v>6000281291</v>
      </c>
      <c r="B2" s="30" t="s">
        <v>167</v>
      </c>
      <c r="C2" s="30" t="s">
        <v>71</v>
      </c>
      <c r="D2" s="30">
        <v>100</v>
      </c>
      <c r="E2" s="30" t="s">
        <v>56</v>
      </c>
      <c r="F2" s="30" t="s">
        <v>55</v>
      </c>
      <c r="G2" s="30">
        <v>2023</v>
      </c>
      <c r="H2" s="39">
        <v>44961</v>
      </c>
      <c r="I2" s="42">
        <v>44907</v>
      </c>
      <c r="J2" s="30">
        <v>240</v>
      </c>
      <c r="K2" s="30"/>
      <c r="L2" s="30"/>
      <c r="M2" s="30"/>
      <c r="N2" s="30"/>
      <c r="O2" s="30"/>
      <c r="P2" s="30"/>
      <c r="Q2" s="30">
        <v>9</v>
      </c>
      <c r="R2" s="30">
        <v>21</v>
      </c>
      <c r="S2" s="30">
        <v>21</v>
      </c>
      <c r="T2" s="30">
        <v>43</v>
      </c>
      <c r="U2" s="30">
        <v>46</v>
      </c>
      <c r="V2" s="30">
        <v>31</v>
      </c>
      <c r="W2" s="30">
        <v>37</v>
      </c>
      <c r="X2" s="30">
        <v>20</v>
      </c>
      <c r="Y2" s="30">
        <v>7</v>
      </c>
      <c r="Z2" s="30">
        <v>4</v>
      </c>
      <c r="AA2" s="30"/>
      <c r="AB2" s="30">
        <v>1</v>
      </c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</row>
    <row r="3" spans="1:61">
      <c r="A3" s="23">
        <v>6000281297</v>
      </c>
      <c r="B3" s="30" t="s">
        <v>167</v>
      </c>
      <c r="C3" s="23" t="s">
        <v>71</v>
      </c>
      <c r="D3" s="23">
        <v>100</v>
      </c>
      <c r="E3" s="23" t="s">
        <v>56</v>
      </c>
      <c r="F3" s="23" t="s">
        <v>55</v>
      </c>
      <c r="G3" s="23">
        <v>2023</v>
      </c>
      <c r="H3" s="40">
        <v>44975</v>
      </c>
      <c r="I3" s="42">
        <v>44907</v>
      </c>
      <c r="J3" s="23">
        <v>4828</v>
      </c>
      <c r="K3" s="23"/>
      <c r="L3" s="23"/>
      <c r="M3" s="23"/>
      <c r="N3" s="23"/>
      <c r="O3" s="23"/>
      <c r="P3" s="23"/>
      <c r="Q3" s="23">
        <v>193</v>
      </c>
      <c r="R3" s="23">
        <v>375</v>
      </c>
      <c r="S3" s="23">
        <v>393</v>
      </c>
      <c r="T3" s="23">
        <v>869</v>
      </c>
      <c r="U3" s="23">
        <v>871</v>
      </c>
      <c r="V3" s="23">
        <v>629</v>
      </c>
      <c r="W3" s="23">
        <v>724</v>
      </c>
      <c r="X3" s="23">
        <v>384</v>
      </c>
      <c r="Y3" s="23">
        <v>245</v>
      </c>
      <c r="Z3" s="23">
        <v>145</v>
      </c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</row>
    <row r="4" spans="1:61">
      <c r="A4" s="30">
        <v>6000281291</v>
      </c>
      <c r="B4" s="30" t="s">
        <v>167</v>
      </c>
      <c r="C4" s="30" t="s">
        <v>79</v>
      </c>
      <c r="D4" s="30">
        <v>200</v>
      </c>
      <c r="E4" s="30" t="s">
        <v>56</v>
      </c>
      <c r="F4" s="30" t="s">
        <v>55</v>
      </c>
      <c r="G4" s="30">
        <v>2023</v>
      </c>
      <c r="H4" s="39">
        <v>44975</v>
      </c>
      <c r="I4" s="42">
        <v>44907</v>
      </c>
      <c r="J4" s="30">
        <v>2886</v>
      </c>
      <c r="K4" s="30"/>
      <c r="L4" s="30"/>
      <c r="M4" s="30"/>
      <c r="N4" s="30"/>
      <c r="O4" s="30"/>
      <c r="P4" s="30"/>
      <c r="Q4" s="30">
        <v>96</v>
      </c>
      <c r="R4" s="30">
        <v>264</v>
      </c>
      <c r="S4" s="30">
        <v>252</v>
      </c>
      <c r="T4" s="30">
        <v>546</v>
      </c>
      <c r="U4" s="30">
        <v>552</v>
      </c>
      <c r="V4" s="30">
        <v>390</v>
      </c>
      <c r="W4" s="30">
        <v>420</v>
      </c>
      <c r="X4" s="30">
        <v>216</v>
      </c>
      <c r="Y4" s="30">
        <v>84</v>
      </c>
      <c r="Z4" s="30">
        <v>54</v>
      </c>
      <c r="AA4" s="30"/>
      <c r="AB4" s="30">
        <v>12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</row>
    <row r="5" spans="1:61">
      <c r="A5" s="30">
        <v>6000281291</v>
      </c>
      <c r="B5" s="30" t="s">
        <v>167</v>
      </c>
      <c r="C5" s="30" t="s">
        <v>79</v>
      </c>
      <c r="D5" s="30">
        <v>300</v>
      </c>
      <c r="E5" s="30" t="s">
        <v>56</v>
      </c>
      <c r="F5" s="30" t="s">
        <v>55</v>
      </c>
      <c r="G5" s="30">
        <v>2023</v>
      </c>
      <c r="H5" s="39">
        <v>45010</v>
      </c>
      <c r="I5" s="42">
        <v>44907</v>
      </c>
      <c r="J5" s="30">
        <v>2478</v>
      </c>
      <c r="K5" s="30"/>
      <c r="L5" s="30"/>
      <c r="M5" s="30"/>
      <c r="N5" s="30"/>
      <c r="O5" s="30"/>
      <c r="P5" s="30"/>
      <c r="Q5" s="30">
        <v>84</v>
      </c>
      <c r="R5" s="30">
        <v>228</v>
      </c>
      <c r="S5" s="30">
        <v>222</v>
      </c>
      <c r="T5" s="30">
        <v>462</v>
      </c>
      <c r="U5" s="30">
        <v>474</v>
      </c>
      <c r="V5" s="30">
        <v>336</v>
      </c>
      <c r="W5" s="30">
        <v>360</v>
      </c>
      <c r="X5" s="30">
        <v>186</v>
      </c>
      <c r="Y5" s="30">
        <v>72</v>
      </c>
      <c r="Z5" s="30">
        <v>42</v>
      </c>
      <c r="AA5" s="30"/>
      <c r="AB5" s="30">
        <v>12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</row>
    <row r="6" spans="1:61">
      <c r="A6" s="30">
        <v>6000281299</v>
      </c>
      <c r="B6" s="30" t="s">
        <v>167</v>
      </c>
      <c r="C6" s="30" t="s">
        <v>98</v>
      </c>
      <c r="D6" s="30">
        <v>100</v>
      </c>
      <c r="E6" s="30" t="s">
        <v>56</v>
      </c>
      <c r="F6" s="30" t="s">
        <v>55</v>
      </c>
      <c r="G6" s="30">
        <v>2023</v>
      </c>
      <c r="H6" s="39">
        <v>44954</v>
      </c>
      <c r="I6" s="42">
        <v>44907</v>
      </c>
      <c r="J6" s="30">
        <v>4055</v>
      </c>
      <c r="K6" s="30"/>
      <c r="L6" s="30"/>
      <c r="M6" s="30"/>
      <c r="N6" s="30"/>
      <c r="O6" s="30"/>
      <c r="P6" s="30">
        <v>40</v>
      </c>
      <c r="Q6" s="30">
        <v>121</v>
      </c>
      <c r="R6" s="30">
        <v>162</v>
      </c>
      <c r="S6" s="30">
        <v>162</v>
      </c>
      <c r="T6" s="30">
        <v>487</v>
      </c>
      <c r="U6" s="30">
        <v>690</v>
      </c>
      <c r="V6" s="30">
        <v>609</v>
      </c>
      <c r="W6" s="30">
        <v>649</v>
      </c>
      <c r="X6" s="30">
        <v>487</v>
      </c>
      <c r="Y6" s="30">
        <v>324</v>
      </c>
      <c r="Z6" s="30">
        <v>284</v>
      </c>
      <c r="AA6" s="30"/>
      <c r="AB6" s="30">
        <v>40</v>
      </c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</row>
    <row r="7" spans="1:61">
      <c r="A7" s="23">
        <v>6000281293</v>
      </c>
      <c r="B7" s="30" t="s">
        <v>167</v>
      </c>
      <c r="C7" s="23" t="s">
        <v>109</v>
      </c>
      <c r="D7" s="23">
        <v>100</v>
      </c>
      <c r="E7" s="23" t="s">
        <v>56</v>
      </c>
      <c r="F7" s="23" t="s">
        <v>55</v>
      </c>
      <c r="G7" s="23">
        <v>2023</v>
      </c>
      <c r="H7" s="40">
        <v>44954</v>
      </c>
      <c r="I7" s="42">
        <v>44907</v>
      </c>
      <c r="J7" s="23">
        <v>454</v>
      </c>
      <c r="K7" s="23"/>
      <c r="L7" s="23"/>
      <c r="M7" s="23"/>
      <c r="N7" s="23"/>
      <c r="O7" s="23"/>
      <c r="P7" s="23"/>
      <c r="Q7" s="23">
        <v>10</v>
      </c>
      <c r="R7" s="23">
        <v>57</v>
      </c>
      <c r="S7" s="23">
        <v>38</v>
      </c>
      <c r="T7" s="23">
        <v>94</v>
      </c>
      <c r="U7" s="23">
        <v>95</v>
      </c>
      <c r="V7" s="23">
        <v>62</v>
      </c>
      <c r="W7" s="23">
        <v>65</v>
      </c>
      <c r="X7" s="23">
        <v>31</v>
      </c>
      <c r="Y7" s="23">
        <v>1</v>
      </c>
      <c r="Z7" s="23">
        <v>1</v>
      </c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</row>
    <row r="8" spans="1:61">
      <c r="A8" s="30">
        <v>6000281293</v>
      </c>
      <c r="B8" s="30" t="s">
        <v>167</v>
      </c>
      <c r="C8" s="30" t="s">
        <v>112</v>
      </c>
      <c r="D8" s="30">
        <v>200</v>
      </c>
      <c r="E8" s="30" t="s">
        <v>56</v>
      </c>
      <c r="F8" s="30" t="s">
        <v>55</v>
      </c>
      <c r="G8" s="30">
        <v>2023</v>
      </c>
      <c r="H8" s="39">
        <v>44961</v>
      </c>
      <c r="I8" s="42">
        <v>44907</v>
      </c>
      <c r="J8" s="30">
        <v>348</v>
      </c>
      <c r="K8" s="30"/>
      <c r="L8" s="30"/>
      <c r="M8" s="30"/>
      <c r="N8" s="30"/>
      <c r="O8" s="30"/>
      <c r="P8" s="30"/>
      <c r="Q8" s="30">
        <v>27</v>
      </c>
      <c r="R8" s="30">
        <v>56</v>
      </c>
      <c r="S8" s="30">
        <v>28</v>
      </c>
      <c r="T8" s="30">
        <v>63</v>
      </c>
      <c r="U8" s="30">
        <v>63</v>
      </c>
      <c r="V8" s="30">
        <v>27</v>
      </c>
      <c r="W8" s="30">
        <v>43</v>
      </c>
      <c r="X8" s="30">
        <v>22</v>
      </c>
      <c r="Y8" s="30">
        <v>13</v>
      </c>
      <c r="Z8" s="30">
        <v>6</v>
      </c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</row>
    <row r="9" spans="1:61">
      <c r="A9" s="30">
        <v>6000281296</v>
      </c>
      <c r="B9" s="30" t="s">
        <v>167</v>
      </c>
      <c r="C9" s="30" t="s">
        <v>59</v>
      </c>
      <c r="D9" s="30">
        <v>100</v>
      </c>
      <c r="E9" s="30" t="s">
        <v>61</v>
      </c>
      <c r="F9" s="30" t="s">
        <v>64</v>
      </c>
      <c r="G9" s="30">
        <v>2023</v>
      </c>
      <c r="H9" s="39">
        <v>44961</v>
      </c>
      <c r="I9" s="43">
        <v>44900</v>
      </c>
      <c r="J9" s="30">
        <v>26967</v>
      </c>
      <c r="K9" s="30"/>
      <c r="L9" s="30"/>
      <c r="M9" s="30"/>
      <c r="N9" s="30">
        <v>1946</v>
      </c>
      <c r="O9" s="30">
        <v>3192</v>
      </c>
      <c r="P9" s="30">
        <v>4195</v>
      </c>
      <c r="Q9" s="30">
        <v>5896</v>
      </c>
      <c r="R9" s="30">
        <v>4283</v>
      </c>
      <c r="S9" s="30">
        <v>2415</v>
      </c>
      <c r="T9" s="30">
        <v>2493</v>
      </c>
      <c r="U9" s="30">
        <v>1075</v>
      </c>
      <c r="V9" s="30">
        <v>587</v>
      </c>
      <c r="W9" s="30">
        <v>489</v>
      </c>
      <c r="X9" s="30">
        <v>396</v>
      </c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</row>
    <row r="10" spans="1:61">
      <c r="A10" s="30">
        <v>6000281502</v>
      </c>
      <c r="B10" s="30" t="s">
        <v>167</v>
      </c>
      <c r="C10" s="30" t="s">
        <v>91</v>
      </c>
      <c r="D10" s="30">
        <v>100</v>
      </c>
      <c r="E10" s="30" t="s">
        <v>61</v>
      </c>
      <c r="F10" s="30" t="s">
        <v>55</v>
      </c>
      <c r="G10" s="30">
        <v>2023</v>
      </c>
      <c r="H10" s="39">
        <v>44982</v>
      </c>
      <c r="I10" s="42">
        <v>44907</v>
      </c>
      <c r="J10" s="30">
        <v>570</v>
      </c>
      <c r="K10" s="30"/>
      <c r="L10" s="30"/>
      <c r="M10" s="30"/>
      <c r="N10" s="30">
        <v>83</v>
      </c>
      <c r="O10" s="30">
        <v>85</v>
      </c>
      <c r="P10" s="30">
        <v>91</v>
      </c>
      <c r="Q10" s="30">
        <v>115</v>
      </c>
      <c r="R10" s="30">
        <v>73</v>
      </c>
      <c r="S10" s="30">
        <v>42</v>
      </c>
      <c r="T10" s="30">
        <v>44</v>
      </c>
      <c r="U10" s="30">
        <v>21</v>
      </c>
      <c r="V10" s="30">
        <v>8</v>
      </c>
      <c r="W10" s="30">
        <v>5</v>
      </c>
      <c r="X10" s="30">
        <v>3</v>
      </c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</row>
    <row r="11" spans="1:61">
      <c r="A11" s="23">
        <v>6000281292</v>
      </c>
      <c r="B11" s="30" t="s">
        <v>167</v>
      </c>
      <c r="C11" s="23" t="s">
        <v>99</v>
      </c>
      <c r="D11" s="23">
        <v>100</v>
      </c>
      <c r="E11" s="23" t="s">
        <v>61</v>
      </c>
      <c r="F11" s="23" t="s">
        <v>55</v>
      </c>
      <c r="G11" s="23">
        <v>2023</v>
      </c>
      <c r="H11" s="40">
        <v>44954</v>
      </c>
      <c r="I11" s="42">
        <v>44907</v>
      </c>
      <c r="J11" s="23">
        <v>4002</v>
      </c>
      <c r="K11" s="23"/>
      <c r="L11" s="23"/>
      <c r="M11" s="23"/>
      <c r="N11" s="23">
        <v>282</v>
      </c>
      <c r="O11" s="23">
        <v>401</v>
      </c>
      <c r="P11" s="23">
        <v>373</v>
      </c>
      <c r="Q11" s="23">
        <v>770</v>
      </c>
      <c r="R11" s="23">
        <v>724</v>
      </c>
      <c r="S11" s="23">
        <v>591</v>
      </c>
      <c r="T11" s="23">
        <v>511</v>
      </c>
      <c r="U11" s="23">
        <v>346</v>
      </c>
      <c r="V11" s="23">
        <v>4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</row>
    <row r="12" spans="1:61">
      <c r="A12" s="30">
        <v>6000281500</v>
      </c>
      <c r="B12" s="30" t="s">
        <v>167</v>
      </c>
      <c r="C12" s="30" t="s">
        <v>99</v>
      </c>
      <c r="D12" s="30">
        <v>100</v>
      </c>
      <c r="E12" s="30" t="s">
        <v>61</v>
      </c>
      <c r="F12" s="30" t="s">
        <v>55</v>
      </c>
      <c r="G12" s="30">
        <v>2023</v>
      </c>
      <c r="H12" s="39">
        <v>44954</v>
      </c>
      <c r="I12" s="42">
        <v>44907</v>
      </c>
      <c r="J12" s="30">
        <v>11714</v>
      </c>
      <c r="K12" s="30"/>
      <c r="L12" s="30"/>
      <c r="M12" s="30"/>
      <c r="N12" s="30">
        <v>768</v>
      </c>
      <c r="O12" s="30">
        <v>1256</v>
      </c>
      <c r="P12" s="30">
        <v>1646</v>
      </c>
      <c r="Q12" s="30">
        <v>2458</v>
      </c>
      <c r="R12" s="30">
        <v>2002</v>
      </c>
      <c r="S12" s="30">
        <v>1018</v>
      </c>
      <c r="T12" s="30">
        <v>1166</v>
      </c>
      <c r="U12" s="30">
        <v>620</v>
      </c>
      <c r="V12" s="30">
        <v>280</v>
      </c>
      <c r="W12" s="30">
        <v>286</v>
      </c>
      <c r="X12" s="30">
        <v>214</v>
      </c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</row>
    <row r="13" spans="1:61">
      <c r="A13" s="30">
        <v>6000281292</v>
      </c>
      <c r="B13" s="30" t="s">
        <v>167</v>
      </c>
      <c r="C13" s="30" t="s">
        <v>104</v>
      </c>
      <c r="D13" s="30">
        <v>300</v>
      </c>
      <c r="E13" s="30" t="s">
        <v>61</v>
      </c>
      <c r="F13" s="30" t="s">
        <v>55</v>
      </c>
      <c r="G13" s="30">
        <v>2023</v>
      </c>
      <c r="H13" s="39">
        <v>44961</v>
      </c>
      <c r="I13" s="42">
        <v>44907</v>
      </c>
      <c r="J13" s="30">
        <v>643</v>
      </c>
      <c r="K13" s="30"/>
      <c r="L13" s="30"/>
      <c r="M13" s="30"/>
      <c r="N13" s="30">
        <v>104</v>
      </c>
      <c r="O13" s="30">
        <v>222</v>
      </c>
      <c r="P13" s="30">
        <v>180</v>
      </c>
      <c r="Q13" s="30">
        <v>134</v>
      </c>
      <c r="R13" s="30"/>
      <c r="S13" s="30"/>
      <c r="T13" s="30"/>
      <c r="U13" s="30"/>
      <c r="V13" s="30"/>
      <c r="W13" s="30"/>
      <c r="X13" s="30">
        <v>1</v>
      </c>
      <c r="Y13" s="30">
        <v>1</v>
      </c>
      <c r="Z13" s="30">
        <v>1</v>
      </c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</row>
    <row r="14" spans="1:61">
      <c r="A14" s="30">
        <v>6000281298</v>
      </c>
      <c r="B14" s="30" t="s">
        <v>167</v>
      </c>
      <c r="C14" s="30" t="s">
        <v>82</v>
      </c>
      <c r="D14" s="30">
        <v>100</v>
      </c>
      <c r="E14" s="30" t="s">
        <v>84</v>
      </c>
      <c r="F14" s="30" t="s">
        <v>55</v>
      </c>
      <c r="G14" s="30">
        <v>2023</v>
      </c>
      <c r="H14" s="39">
        <v>44954</v>
      </c>
      <c r="I14" s="42">
        <v>44907</v>
      </c>
      <c r="J14" s="30">
        <v>2431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>
        <v>386</v>
      </c>
      <c r="AR14" s="30"/>
      <c r="AS14" s="30">
        <v>391</v>
      </c>
      <c r="AT14" s="30"/>
      <c r="AU14" s="30">
        <v>356</v>
      </c>
      <c r="AV14" s="30"/>
      <c r="AW14" s="30">
        <v>356</v>
      </c>
      <c r="AX14" s="30"/>
      <c r="AY14" s="30">
        <v>421</v>
      </c>
      <c r="AZ14" s="30"/>
      <c r="BA14" s="30">
        <v>521</v>
      </c>
      <c r="BB14" s="30"/>
      <c r="BC14" s="30"/>
      <c r="BD14" s="30"/>
      <c r="BE14" s="30"/>
      <c r="BF14" s="30"/>
      <c r="BG14" s="30"/>
      <c r="BH14" s="30"/>
      <c r="BI14" s="30"/>
    </row>
    <row r="15" spans="1:61">
      <c r="A15" s="30">
        <v>6000281298</v>
      </c>
      <c r="B15" s="30" t="s">
        <v>167</v>
      </c>
      <c r="C15" s="30" t="s">
        <v>82</v>
      </c>
      <c r="D15" s="30">
        <v>200</v>
      </c>
      <c r="E15" s="30" t="s">
        <v>84</v>
      </c>
      <c r="F15" s="30" t="s">
        <v>55</v>
      </c>
      <c r="G15" s="30">
        <v>2023</v>
      </c>
      <c r="H15" s="39">
        <v>44961</v>
      </c>
      <c r="I15" s="42">
        <v>44907</v>
      </c>
      <c r="J15" s="30">
        <v>569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>
        <v>92</v>
      </c>
      <c r="AR15" s="30"/>
      <c r="AS15" s="30">
        <v>92</v>
      </c>
      <c r="AT15" s="30"/>
      <c r="AU15" s="30">
        <v>82</v>
      </c>
      <c r="AV15" s="30"/>
      <c r="AW15" s="30">
        <v>82</v>
      </c>
      <c r="AX15" s="30"/>
      <c r="AY15" s="30">
        <v>100</v>
      </c>
      <c r="AZ15" s="30"/>
      <c r="BA15" s="30">
        <v>121</v>
      </c>
      <c r="BB15" s="30"/>
      <c r="BC15" s="30"/>
      <c r="BD15" s="30"/>
      <c r="BE15" s="30"/>
      <c r="BF15" s="30"/>
      <c r="BG15" s="30"/>
      <c r="BH15" s="30"/>
      <c r="BI15" s="30"/>
    </row>
    <row r="16" spans="1:61">
      <c r="B16" s="7"/>
      <c r="J16" s="7">
        <f>SUM(J2:J15)</f>
        <v>62185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0"/>
  <sheetViews>
    <sheetView topLeftCell="AO1" workbookViewId="0">
      <selection activeCell="A4" sqref="A4:XFD4"/>
    </sheetView>
  </sheetViews>
  <sheetFormatPr defaultRowHeight="14.25"/>
  <cols>
    <col min="1" max="1" width="26.73046875" bestFit="1" customWidth="1"/>
    <col min="2" max="2" width="26" bestFit="1" customWidth="1"/>
    <col min="3" max="3" width="4.86328125" bestFit="1" customWidth="1"/>
    <col min="4" max="4" width="6.1328125" bestFit="1" customWidth="1"/>
    <col min="5" max="5" width="8.3984375" bestFit="1" customWidth="1"/>
    <col min="6" max="6" width="7" bestFit="1" customWidth="1"/>
    <col min="7" max="7" width="9" bestFit="1" customWidth="1"/>
    <col min="8" max="8" width="8.265625" bestFit="1" customWidth="1"/>
    <col min="9" max="9" width="6" bestFit="1" customWidth="1"/>
    <col min="10" max="10" width="6.3984375" bestFit="1" customWidth="1"/>
    <col min="11" max="11" width="7" bestFit="1" customWidth="1"/>
    <col min="12" max="12" width="6.265625" bestFit="1" customWidth="1"/>
    <col min="13" max="13" width="5.59765625" bestFit="1" customWidth="1"/>
    <col min="14" max="14" width="7.1328125" bestFit="1" customWidth="1"/>
    <col min="15" max="15" width="6.265625" bestFit="1" customWidth="1"/>
    <col min="16" max="16" width="9" bestFit="1" customWidth="1"/>
    <col min="17" max="17" width="4.1328125" bestFit="1" customWidth="1"/>
    <col min="18" max="18" width="8.265625" bestFit="1" customWidth="1"/>
    <col min="19" max="19" width="5.265625" bestFit="1" customWidth="1"/>
    <col min="20" max="20" width="4.3984375" bestFit="1" customWidth="1"/>
    <col min="21" max="23" width="7.86328125" bestFit="1" customWidth="1"/>
    <col min="24" max="24" width="16.265625" bestFit="1" customWidth="1"/>
    <col min="25" max="25" width="7.1328125" bestFit="1" customWidth="1"/>
    <col min="26" max="26" width="8.73046875" bestFit="1" customWidth="1"/>
    <col min="27" max="27" width="7.59765625" bestFit="1" customWidth="1"/>
    <col min="28" max="28" width="5.265625" bestFit="1" customWidth="1"/>
    <col min="30" max="30" width="6.73046875" bestFit="1" customWidth="1"/>
    <col min="31" max="31" width="7.86328125" bestFit="1" customWidth="1"/>
    <col min="32" max="32" width="6.86328125" bestFit="1" customWidth="1"/>
    <col min="33" max="34" width="11" bestFit="1" customWidth="1"/>
    <col min="35" max="35" width="7.86328125" bestFit="1" customWidth="1"/>
    <col min="36" max="36" width="17" bestFit="1" customWidth="1"/>
    <col min="39" max="39" width="13.265625" bestFit="1" customWidth="1"/>
    <col min="40" max="40" width="25.73046875" bestFit="1" customWidth="1"/>
    <col min="41" max="41" width="6.73046875" bestFit="1" customWidth="1"/>
    <col min="42" max="42" width="8" bestFit="1" customWidth="1"/>
    <col min="43" max="43" width="34.73046875" bestFit="1" customWidth="1"/>
    <col min="44" max="44" width="11.1328125" bestFit="1" customWidth="1"/>
    <col min="45" max="45" width="11.3984375" bestFit="1" customWidth="1"/>
    <col min="46" max="46" width="7.3984375" bestFit="1" customWidth="1"/>
    <col min="47" max="47" width="6.265625" bestFit="1" customWidth="1"/>
    <col min="48" max="48" width="24" bestFit="1" customWidth="1"/>
    <col min="49" max="49" width="14.1328125" bestFit="1" customWidth="1"/>
    <col min="50" max="50" width="8.59765625" bestFit="1" customWidth="1"/>
    <col min="51" max="51" width="7.86328125" bestFit="1" customWidth="1"/>
    <col min="52" max="52" width="27.59765625" bestFit="1" customWidth="1"/>
    <col min="53" max="53" width="4.86328125" bestFit="1" customWidth="1"/>
  </cols>
  <sheetData>
    <row r="1" spans="1:53">
      <c r="A1" s="1" t="s">
        <v>0</v>
      </c>
      <c r="B1" s="2"/>
      <c r="C1" s="3"/>
      <c r="D1" s="4"/>
      <c r="E1" s="5"/>
      <c r="F1" s="4"/>
      <c r="G1" s="4"/>
      <c r="H1" s="4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8"/>
      <c r="Z1" s="7"/>
      <c r="AA1" s="7"/>
      <c r="AB1" s="7"/>
      <c r="AC1" s="9"/>
      <c r="AD1" s="4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1"/>
      <c r="AX1" s="10"/>
      <c r="AY1" s="10"/>
      <c r="AZ1" s="10"/>
      <c r="BA1" s="10"/>
    </row>
    <row r="2" spans="1:53">
      <c r="A2" s="12" t="s">
        <v>1</v>
      </c>
      <c r="B2" s="2"/>
      <c r="C2" s="3"/>
      <c r="D2" s="4"/>
      <c r="E2" s="5"/>
      <c r="F2" s="4"/>
      <c r="G2" s="4"/>
      <c r="H2" s="4"/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8"/>
      <c r="Z2" s="7"/>
      <c r="AA2" s="7"/>
      <c r="AB2" s="7"/>
      <c r="AC2" s="9"/>
      <c r="AD2" s="4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1"/>
      <c r="AX2" s="10"/>
      <c r="AY2" s="10"/>
      <c r="AZ2" s="10"/>
      <c r="BA2" s="10"/>
    </row>
    <row r="3" spans="1:53">
      <c r="A3" s="13">
        <v>44895</v>
      </c>
      <c r="B3" s="10"/>
      <c r="C3" s="4"/>
      <c r="D3" s="4"/>
      <c r="E3" s="5"/>
      <c r="F3" s="4"/>
      <c r="G3" s="4"/>
      <c r="H3" s="4"/>
      <c r="I3" s="4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  <c r="AA3" s="6"/>
      <c r="AB3" s="10"/>
      <c r="AC3" s="9"/>
      <c r="AD3" s="4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10"/>
      <c r="AY3" s="10"/>
      <c r="AZ3" s="10"/>
      <c r="BA3" s="10"/>
    </row>
    <row r="4" spans="1:53" ht="39.4">
      <c r="A4" s="14" t="s">
        <v>2</v>
      </c>
      <c r="B4" s="14" t="s">
        <v>3</v>
      </c>
      <c r="C4" s="15" t="s">
        <v>4</v>
      </c>
      <c r="D4" s="15" t="s">
        <v>5</v>
      </c>
      <c r="E4" s="16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20</v>
      </c>
      <c r="T4" s="18" t="s">
        <v>21</v>
      </c>
      <c r="U4" s="18" t="s">
        <v>22</v>
      </c>
      <c r="V4" s="18" t="s">
        <v>23</v>
      </c>
      <c r="W4" s="18" t="s">
        <v>24</v>
      </c>
      <c r="X4" s="19" t="s">
        <v>25</v>
      </c>
      <c r="Y4" s="18" t="s">
        <v>26</v>
      </c>
      <c r="Z4" s="18" t="s">
        <v>27</v>
      </c>
      <c r="AA4" s="18" t="s">
        <v>28</v>
      </c>
      <c r="AB4" s="14" t="s">
        <v>29</v>
      </c>
      <c r="AC4" s="14" t="s">
        <v>30</v>
      </c>
      <c r="AD4" s="15" t="s">
        <v>31</v>
      </c>
      <c r="AE4" s="14" t="s">
        <v>32</v>
      </c>
      <c r="AF4" s="14" t="s">
        <v>33</v>
      </c>
      <c r="AG4" s="20" t="s">
        <v>34</v>
      </c>
      <c r="AH4" s="20" t="s">
        <v>35</v>
      </c>
      <c r="AI4" s="14" t="s">
        <v>36</v>
      </c>
      <c r="AJ4" s="14" t="s">
        <v>37</v>
      </c>
      <c r="AK4" s="14" t="s">
        <v>38</v>
      </c>
      <c r="AL4" s="14" t="s">
        <v>39</v>
      </c>
      <c r="AM4" s="14" t="s">
        <v>40</v>
      </c>
      <c r="AN4" s="14" t="s">
        <v>41</v>
      </c>
      <c r="AO4" s="14" t="s">
        <v>42</v>
      </c>
      <c r="AP4" s="14" t="s">
        <v>43</v>
      </c>
      <c r="AQ4" s="14" t="s">
        <v>44</v>
      </c>
      <c r="AR4" s="14" t="s">
        <v>45</v>
      </c>
      <c r="AS4" s="14" t="s">
        <v>46</v>
      </c>
      <c r="AT4" s="14" t="s">
        <v>47</v>
      </c>
      <c r="AU4" s="14" t="s">
        <v>48</v>
      </c>
      <c r="AV4" s="14" t="s">
        <v>49</v>
      </c>
      <c r="AW4" s="21" t="s">
        <v>50</v>
      </c>
      <c r="AX4" s="14" t="s">
        <v>51</v>
      </c>
      <c r="AY4" s="14" t="s">
        <v>52</v>
      </c>
      <c r="AZ4" s="22" t="s">
        <v>53</v>
      </c>
      <c r="BA4" s="22" t="s">
        <v>54</v>
      </c>
    </row>
    <row r="5" spans="1:53">
      <c r="A5" s="29" t="s">
        <v>59</v>
      </c>
      <c r="B5" s="29" t="s">
        <v>60</v>
      </c>
      <c r="C5" s="30"/>
      <c r="D5" s="30">
        <v>1039</v>
      </c>
      <c r="E5" s="30">
        <v>26967</v>
      </c>
      <c r="F5" s="30"/>
      <c r="G5" s="24">
        <v>26967</v>
      </c>
      <c r="H5" s="30"/>
      <c r="I5" s="24">
        <v>26967</v>
      </c>
      <c r="J5" s="30" t="s">
        <v>64</v>
      </c>
      <c r="K5" s="30"/>
      <c r="L5" s="25">
        <v>44906</v>
      </c>
      <c r="M5" s="31">
        <v>44961</v>
      </c>
      <c r="N5" s="31">
        <v>44874</v>
      </c>
      <c r="O5" s="31"/>
      <c r="P5" s="31"/>
      <c r="Q5" s="31"/>
      <c r="R5" s="31"/>
      <c r="S5" s="26">
        <v>44960</v>
      </c>
      <c r="T5" s="30"/>
      <c r="U5" s="30"/>
      <c r="V5" s="30"/>
      <c r="W5" s="30"/>
      <c r="X5" s="30"/>
      <c r="Y5" s="31"/>
      <c r="Z5" s="30"/>
      <c r="AA5" s="30"/>
      <c r="AB5" s="30"/>
      <c r="AC5" s="30"/>
      <c r="AD5" s="30"/>
      <c r="AE5" s="30"/>
      <c r="AF5" s="30"/>
      <c r="AG5" s="30">
        <v>6000281296</v>
      </c>
      <c r="AH5" s="30">
        <v>2500036447</v>
      </c>
      <c r="AI5" s="30">
        <v>100</v>
      </c>
      <c r="AJ5" s="30" t="s">
        <v>61</v>
      </c>
      <c r="AK5" s="30"/>
      <c r="AL5" s="30" t="s">
        <v>65</v>
      </c>
      <c r="AM5" s="30" t="s">
        <v>66</v>
      </c>
      <c r="AN5" s="30" t="s">
        <v>67</v>
      </c>
      <c r="AO5" s="30"/>
      <c r="AP5" s="30"/>
      <c r="AQ5" s="30" t="s">
        <v>62</v>
      </c>
      <c r="AR5" s="30">
        <v>11754</v>
      </c>
      <c r="AS5" s="30" t="s">
        <v>63</v>
      </c>
      <c r="AT5" s="30"/>
      <c r="AU5" s="30"/>
      <c r="AV5" s="30" t="s">
        <v>57</v>
      </c>
      <c r="AW5" s="27" t="s">
        <v>114</v>
      </c>
      <c r="AX5" s="30"/>
      <c r="AY5" s="30"/>
      <c r="AZ5" s="27" t="s">
        <v>68</v>
      </c>
      <c r="BA5" s="28" t="s">
        <v>69</v>
      </c>
    </row>
    <row r="6" spans="1:53">
      <c r="A6" s="29" t="s">
        <v>71</v>
      </c>
      <c r="B6" s="29" t="s">
        <v>72</v>
      </c>
      <c r="C6" s="30"/>
      <c r="D6" s="30">
        <v>1025</v>
      </c>
      <c r="E6" s="30">
        <v>240</v>
      </c>
      <c r="F6" s="30"/>
      <c r="G6" s="24">
        <v>240</v>
      </c>
      <c r="H6" s="30"/>
      <c r="I6" s="24">
        <v>240</v>
      </c>
      <c r="J6" s="30" t="s">
        <v>55</v>
      </c>
      <c r="K6" s="30"/>
      <c r="L6" s="25">
        <v>44941</v>
      </c>
      <c r="M6" s="31">
        <v>44961</v>
      </c>
      <c r="N6" s="31">
        <v>44874</v>
      </c>
      <c r="O6" s="31"/>
      <c r="P6" s="31"/>
      <c r="Q6" s="31"/>
      <c r="R6" s="31"/>
      <c r="S6" s="26">
        <v>44960</v>
      </c>
      <c r="T6" s="30"/>
      <c r="U6" s="30"/>
      <c r="V6" s="30"/>
      <c r="W6" s="30"/>
      <c r="X6" s="30"/>
      <c r="Y6" s="31"/>
      <c r="Z6" s="30"/>
      <c r="AA6" s="30"/>
      <c r="AB6" s="30"/>
      <c r="AC6" s="30"/>
      <c r="AD6" s="30"/>
      <c r="AE6" s="30"/>
      <c r="AF6" s="30"/>
      <c r="AG6" s="30">
        <v>6000281291</v>
      </c>
      <c r="AH6" s="30">
        <v>2500037219</v>
      </c>
      <c r="AI6" s="30">
        <v>100</v>
      </c>
      <c r="AJ6" s="30" t="s">
        <v>56</v>
      </c>
      <c r="AK6" s="30"/>
      <c r="AL6" s="30" t="s">
        <v>65</v>
      </c>
      <c r="AM6" s="30" t="s">
        <v>66</v>
      </c>
      <c r="AN6" s="30" t="s">
        <v>77</v>
      </c>
      <c r="AO6" s="30"/>
      <c r="AP6" s="30"/>
      <c r="AQ6" s="30" t="s">
        <v>73</v>
      </c>
      <c r="AR6" s="30" t="s">
        <v>74</v>
      </c>
      <c r="AS6" s="30" t="s">
        <v>75</v>
      </c>
      <c r="AT6" s="30"/>
      <c r="AU6" s="30"/>
      <c r="AV6" s="30" t="s">
        <v>76</v>
      </c>
      <c r="AW6" s="27" t="s">
        <v>115</v>
      </c>
      <c r="AX6" s="30"/>
      <c r="AY6" s="30"/>
      <c r="AZ6" s="27" t="s">
        <v>68</v>
      </c>
      <c r="BA6" s="28" t="s">
        <v>69</v>
      </c>
    </row>
    <row r="7" spans="1:53">
      <c r="A7" s="32" t="s">
        <v>71</v>
      </c>
      <c r="B7" s="32" t="s">
        <v>72</v>
      </c>
      <c r="C7" s="23"/>
      <c r="D7" s="23">
        <v>1039</v>
      </c>
      <c r="E7" s="23">
        <v>4828</v>
      </c>
      <c r="F7" s="23"/>
      <c r="G7" s="24">
        <v>4828</v>
      </c>
      <c r="H7" s="23"/>
      <c r="I7" s="24">
        <v>4828</v>
      </c>
      <c r="J7" s="23" t="s">
        <v>55</v>
      </c>
      <c r="K7" s="23"/>
      <c r="L7" s="25">
        <v>44941</v>
      </c>
      <c r="M7" s="26">
        <v>44975</v>
      </c>
      <c r="N7" s="26">
        <v>44874</v>
      </c>
      <c r="O7" s="26"/>
      <c r="P7" s="26"/>
      <c r="Q7" s="26"/>
      <c r="R7" s="26"/>
      <c r="S7" s="26">
        <v>44975</v>
      </c>
      <c r="T7" s="23"/>
      <c r="U7" s="23"/>
      <c r="V7" s="23"/>
      <c r="W7" s="23"/>
      <c r="X7" s="23" t="s">
        <v>78</v>
      </c>
      <c r="Y7" s="26">
        <v>44879</v>
      </c>
      <c r="Z7" s="23"/>
      <c r="AA7" s="23"/>
      <c r="AB7" s="23"/>
      <c r="AC7" s="23"/>
      <c r="AD7" s="23"/>
      <c r="AE7" s="23"/>
      <c r="AF7" s="23"/>
      <c r="AG7" s="23">
        <v>6000281297</v>
      </c>
      <c r="AH7" s="23"/>
      <c r="AI7" s="23">
        <v>100</v>
      </c>
      <c r="AJ7" s="23" t="s">
        <v>56</v>
      </c>
      <c r="AK7" s="23"/>
      <c r="AL7" s="23" t="s">
        <v>65</v>
      </c>
      <c r="AM7" s="23" t="s">
        <v>66</v>
      </c>
      <c r="AN7" s="23" t="s">
        <v>67</v>
      </c>
      <c r="AO7" s="23"/>
      <c r="AP7" s="23"/>
      <c r="AQ7" s="23" t="s">
        <v>73</v>
      </c>
      <c r="AR7" s="23" t="s">
        <v>74</v>
      </c>
      <c r="AS7" s="23" t="s">
        <v>75</v>
      </c>
      <c r="AT7" s="23"/>
      <c r="AU7" s="23"/>
      <c r="AV7" s="23" t="s">
        <v>76</v>
      </c>
      <c r="AW7" s="27" t="s">
        <v>116</v>
      </c>
      <c r="AX7" s="23"/>
      <c r="AY7" s="23"/>
      <c r="AZ7" s="27" t="s">
        <v>68</v>
      </c>
      <c r="BA7" s="28" t="s">
        <v>69</v>
      </c>
    </row>
    <row r="8" spans="1:53">
      <c r="A8" s="29" t="s">
        <v>79</v>
      </c>
      <c r="B8" s="29" t="s">
        <v>72</v>
      </c>
      <c r="C8" s="30"/>
      <c r="D8" s="30">
        <v>1025</v>
      </c>
      <c r="E8" s="30">
        <v>2886</v>
      </c>
      <c r="F8" s="30"/>
      <c r="G8" s="24">
        <v>2886</v>
      </c>
      <c r="H8" s="30"/>
      <c r="I8" s="24">
        <v>2886</v>
      </c>
      <c r="J8" s="30" t="s">
        <v>55</v>
      </c>
      <c r="K8" s="30"/>
      <c r="L8" s="25">
        <v>44948</v>
      </c>
      <c r="M8" s="31">
        <v>44975</v>
      </c>
      <c r="N8" s="31">
        <v>44874</v>
      </c>
      <c r="O8" s="31"/>
      <c r="P8" s="31"/>
      <c r="Q8" s="31"/>
      <c r="R8" s="31"/>
      <c r="S8" s="26">
        <v>44975</v>
      </c>
      <c r="T8" s="30"/>
      <c r="U8" s="30"/>
      <c r="V8" s="30"/>
      <c r="W8" s="30"/>
      <c r="X8" s="30"/>
      <c r="Y8" s="31"/>
      <c r="Z8" s="30"/>
      <c r="AA8" s="30"/>
      <c r="AB8" s="30"/>
      <c r="AC8" s="30"/>
      <c r="AD8" s="30"/>
      <c r="AE8" s="30"/>
      <c r="AF8" s="30"/>
      <c r="AG8" s="30">
        <v>6000281291</v>
      </c>
      <c r="AH8" s="30">
        <v>2500037219</v>
      </c>
      <c r="AI8" s="30">
        <v>200</v>
      </c>
      <c r="AJ8" s="30" t="s">
        <v>56</v>
      </c>
      <c r="AK8" s="30"/>
      <c r="AL8" s="30" t="s">
        <v>65</v>
      </c>
      <c r="AM8" s="30" t="s">
        <v>66</v>
      </c>
      <c r="AN8" s="30" t="s">
        <v>77</v>
      </c>
      <c r="AO8" s="30"/>
      <c r="AP8" s="30"/>
      <c r="AQ8" s="30" t="s">
        <v>80</v>
      </c>
      <c r="AR8" s="30" t="s">
        <v>74</v>
      </c>
      <c r="AS8" s="30" t="s">
        <v>75</v>
      </c>
      <c r="AT8" s="30"/>
      <c r="AU8" s="30"/>
      <c r="AV8" s="30" t="s">
        <v>76</v>
      </c>
      <c r="AW8" s="27" t="s">
        <v>117</v>
      </c>
      <c r="AX8" s="30"/>
      <c r="AY8" s="30"/>
      <c r="AZ8" s="27" t="s">
        <v>68</v>
      </c>
      <c r="BA8" s="28" t="s">
        <v>69</v>
      </c>
    </row>
    <row r="9" spans="1:53">
      <c r="A9" s="29" t="s">
        <v>79</v>
      </c>
      <c r="B9" s="29" t="s">
        <v>72</v>
      </c>
      <c r="C9" s="30"/>
      <c r="D9" s="30">
        <v>1025</v>
      </c>
      <c r="E9" s="30">
        <v>2478</v>
      </c>
      <c r="F9" s="30"/>
      <c r="G9" s="24">
        <v>2478</v>
      </c>
      <c r="H9" s="30"/>
      <c r="I9" s="24">
        <v>2478</v>
      </c>
      <c r="J9" s="30" t="s">
        <v>55</v>
      </c>
      <c r="K9" s="30"/>
      <c r="L9" s="25">
        <v>44955</v>
      </c>
      <c r="M9" s="31">
        <v>45010</v>
      </c>
      <c r="N9" s="31">
        <v>44874</v>
      </c>
      <c r="O9" s="31"/>
      <c r="P9" s="31"/>
      <c r="Q9" s="31"/>
      <c r="R9" s="31"/>
      <c r="S9" s="31">
        <v>45010</v>
      </c>
      <c r="T9" s="30"/>
      <c r="U9" s="30"/>
      <c r="V9" s="30"/>
      <c r="W9" s="30"/>
      <c r="X9" s="30"/>
      <c r="Y9" s="31"/>
      <c r="Z9" s="30"/>
      <c r="AA9" s="30"/>
      <c r="AB9" s="30"/>
      <c r="AC9" s="30"/>
      <c r="AD9" s="30"/>
      <c r="AE9" s="30"/>
      <c r="AF9" s="30"/>
      <c r="AG9" s="30">
        <v>6000281291</v>
      </c>
      <c r="AH9" s="30">
        <v>2500037219</v>
      </c>
      <c r="AI9" s="30">
        <v>300</v>
      </c>
      <c r="AJ9" s="30" t="s">
        <v>56</v>
      </c>
      <c r="AK9" s="30"/>
      <c r="AL9" s="30" t="s">
        <v>65</v>
      </c>
      <c r="AM9" s="30" t="s">
        <v>66</v>
      </c>
      <c r="AN9" s="30" t="s">
        <v>77</v>
      </c>
      <c r="AO9" s="30"/>
      <c r="AP9" s="30"/>
      <c r="AQ9" s="30" t="s">
        <v>80</v>
      </c>
      <c r="AR9" s="30" t="s">
        <v>74</v>
      </c>
      <c r="AS9" s="30" t="s">
        <v>75</v>
      </c>
      <c r="AT9" s="30"/>
      <c r="AU9" s="30"/>
      <c r="AV9" s="30" t="s">
        <v>76</v>
      </c>
      <c r="AW9" s="27" t="s">
        <v>118</v>
      </c>
      <c r="AX9" s="30"/>
      <c r="AY9" s="30"/>
      <c r="AZ9" s="27" t="s">
        <v>68</v>
      </c>
      <c r="BA9" s="28" t="s">
        <v>69</v>
      </c>
    </row>
    <row r="10" spans="1:53">
      <c r="A10" s="29" t="s">
        <v>91</v>
      </c>
      <c r="B10" s="29" t="s">
        <v>92</v>
      </c>
      <c r="C10" s="30"/>
      <c r="D10" s="30">
        <v>1039</v>
      </c>
      <c r="E10" s="30">
        <v>570</v>
      </c>
      <c r="F10" s="30"/>
      <c r="G10" s="24">
        <v>570</v>
      </c>
      <c r="H10" s="30"/>
      <c r="I10" s="24">
        <v>570</v>
      </c>
      <c r="J10" s="30" t="s">
        <v>55</v>
      </c>
      <c r="K10" s="30"/>
      <c r="L10" s="25">
        <v>44941</v>
      </c>
      <c r="M10" s="31">
        <v>44982</v>
      </c>
      <c r="N10" s="31">
        <v>44874</v>
      </c>
      <c r="O10" s="31"/>
      <c r="P10" s="31"/>
      <c r="Q10" s="31"/>
      <c r="R10" s="31"/>
      <c r="S10" s="31">
        <v>44982</v>
      </c>
      <c r="T10" s="30"/>
      <c r="U10" s="30"/>
      <c r="V10" s="30"/>
      <c r="W10" s="30"/>
      <c r="X10" s="30"/>
      <c r="Y10" s="31"/>
      <c r="Z10" s="30"/>
      <c r="AA10" s="30"/>
      <c r="AB10" s="30"/>
      <c r="AC10" s="30"/>
      <c r="AD10" s="30"/>
      <c r="AE10" s="30"/>
      <c r="AF10" s="30"/>
      <c r="AG10" s="30">
        <v>6000281502</v>
      </c>
      <c r="AH10" s="30">
        <v>2500036056</v>
      </c>
      <c r="AI10" s="30">
        <v>100</v>
      </c>
      <c r="AJ10" s="30" t="s">
        <v>61</v>
      </c>
      <c r="AK10" s="30"/>
      <c r="AL10" s="30" t="s">
        <v>65</v>
      </c>
      <c r="AM10" s="30" t="s">
        <v>66</v>
      </c>
      <c r="AN10" s="30" t="s">
        <v>67</v>
      </c>
      <c r="AO10" s="30"/>
      <c r="AP10" s="30"/>
      <c r="AQ10" s="30" t="s">
        <v>93</v>
      </c>
      <c r="AR10" s="30" t="s">
        <v>89</v>
      </c>
      <c r="AS10" s="30" t="s">
        <v>90</v>
      </c>
      <c r="AT10" s="30"/>
      <c r="AU10" s="30"/>
      <c r="AV10" s="30" t="s">
        <v>57</v>
      </c>
      <c r="AW10" s="27" t="s">
        <v>121</v>
      </c>
      <c r="AX10" s="30"/>
      <c r="AY10" s="30"/>
      <c r="AZ10" s="27" t="s">
        <v>68</v>
      </c>
      <c r="BA10" s="28" t="s">
        <v>69</v>
      </c>
    </row>
    <row r="11" spans="1:53">
      <c r="A11" s="29" t="s">
        <v>98</v>
      </c>
      <c r="B11" s="29" t="s">
        <v>94</v>
      </c>
      <c r="C11" s="30"/>
      <c r="D11" s="30">
        <v>1039</v>
      </c>
      <c r="E11" s="30">
        <v>4055</v>
      </c>
      <c r="F11" s="30"/>
      <c r="G11" s="24">
        <v>4055</v>
      </c>
      <c r="H11" s="30"/>
      <c r="I11" s="24">
        <v>4055</v>
      </c>
      <c r="J11" s="30" t="s">
        <v>55</v>
      </c>
      <c r="K11" s="30"/>
      <c r="L11" s="25">
        <v>44927</v>
      </c>
      <c r="M11" s="31">
        <v>44954</v>
      </c>
      <c r="N11" s="31">
        <v>44874</v>
      </c>
      <c r="O11" s="31"/>
      <c r="P11" s="31"/>
      <c r="Q11" s="31"/>
      <c r="R11" s="31"/>
      <c r="S11" s="26">
        <v>44953</v>
      </c>
      <c r="T11" s="30"/>
      <c r="U11" s="30"/>
      <c r="V11" s="30"/>
      <c r="W11" s="30"/>
      <c r="X11" s="30"/>
      <c r="Y11" s="31"/>
      <c r="Z11" s="30"/>
      <c r="AA11" s="30"/>
      <c r="AB11" s="30"/>
      <c r="AC11" s="30"/>
      <c r="AD11" s="30"/>
      <c r="AE11" s="30"/>
      <c r="AF11" s="30"/>
      <c r="AG11" s="30">
        <v>6000281299</v>
      </c>
      <c r="AH11" s="30">
        <v>2500037116</v>
      </c>
      <c r="AI11" s="30">
        <v>100</v>
      </c>
      <c r="AJ11" s="30" t="s">
        <v>56</v>
      </c>
      <c r="AK11" s="30"/>
      <c r="AL11" s="30" t="s">
        <v>65</v>
      </c>
      <c r="AM11" s="30" t="s">
        <v>66</v>
      </c>
      <c r="AN11" s="30" t="s">
        <v>67</v>
      </c>
      <c r="AO11" s="30"/>
      <c r="AP11" s="30"/>
      <c r="AQ11" s="30" t="s">
        <v>70</v>
      </c>
      <c r="AR11" s="30" t="s">
        <v>95</v>
      </c>
      <c r="AS11" s="30" t="s">
        <v>96</v>
      </c>
      <c r="AT11" s="30"/>
      <c r="AU11" s="30"/>
      <c r="AV11" s="30" t="s">
        <v>97</v>
      </c>
      <c r="AW11" s="27" t="s">
        <v>122</v>
      </c>
      <c r="AX11" s="30"/>
      <c r="AY11" s="30"/>
      <c r="AZ11" s="27" t="s">
        <v>68</v>
      </c>
      <c r="BA11" s="28" t="s">
        <v>58</v>
      </c>
    </row>
    <row r="12" spans="1:53">
      <c r="A12" s="32" t="s">
        <v>99</v>
      </c>
      <c r="B12" s="32" t="s">
        <v>100</v>
      </c>
      <c r="C12" s="23"/>
      <c r="D12" s="23">
        <v>1025</v>
      </c>
      <c r="E12" s="23">
        <v>4002</v>
      </c>
      <c r="F12" s="23"/>
      <c r="G12" s="24">
        <v>4002</v>
      </c>
      <c r="H12" s="23"/>
      <c r="I12" s="24">
        <v>4002</v>
      </c>
      <c r="J12" s="23" t="s">
        <v>55</v>
      </c>
      <c r="K12" s="23"/>
      <c r="L12" s="25">
        <v>44934</v>
      </c>
      <c r="M12" s="26">
        <v>44954</v>
      </c>
      <c r="N12" s="26">
        <v>44874</v>
      </c>
      <c r="O12" s="26"/>
      <c r="P12" s="26"/>
      <c r="Q12" s="26"/>
      <c r="R12" s="26"/>
      <c r="S12" s="26">
        <v>44953</v>
      </c>
      <c r="T12" s="23"/>
      <c r="U12" s="23"/>
      <c r="V12" s="23"/>
      <c r="W12" s="23"/>
      <c r="X12" s="23" t="s">
        <v>103</v>
      </c>
      <c r="Y12" s="26">
        <v>44879</v>
      </c>
      <c r="Z12" s="23"/>
      <c r="AA12" s="23"/>
      <c r="AB12" s="23"/>
      <c r="AC12" s="23"/>
      <c r="AD12" s="23"/>
      <c r="AE12" s="23"/>
      <c r="AF12" s="23"/>
      <c r="AG12" s="23">
        <v>6000281292</v>
      </c>
      <c r="AH12" s="23">
        <v>2500036547</v>
      </c>
      <c r="AI12" s="23">
        <v>100</v>
      </c>
      <c r="AJ12" s="23" t="s">
        <v>61</v>
      </c>
      <c r="AK12" s="23"/>
      <c r="AL12" s="23" t="s">
        <v>65</v>
      </c>
      <c r="AM12" s="23" t="s">
        <v>66</v>
      </c>
      <c r="AN12" s="23" t="s">
        <v>77</v>
      </c>
      <c r="AO12" s="23"/>
      <c r="AP12" s="23"/>
      <c r="AQ12" s="23" t="s">
        <v>101</v>
      </c>
      <c r="AR12" s="23" t="s">
        <v>95</v>
      </c>
      <c r="AS12" s="23" t="s">
        <v>96</v>
      </c>
      <c r="AT12" s="23"/>
      <c r="AU12" s="23"/>
      <c r="AV12" s="23" t="s">
        <v>102</v>
      </c>
      <c r="AW12" s="27" t="s">
        <v>123</v>
      </c>
      <c r="AX12" s="23"/>
      <c r="AY12" s="23"/>
      <c r="AZ12" s="27" t="s">
        <v>68</v>
      </c>
      <c r="BA12" s="28" t="s">
        <v>58</v>
      </c>
    </row>
    <row r="13" spans="1:53">
      <c r="A13" s="29" t="s">
        <v>99</v>
      </c>
      <c r="B13" s="29" t="s">
        <v>100</v>
      </c>
      <c r="C13" s="30"/>
      <c r="D13" s="30">
        <v>1039</v>
      </c>
      <c r="E13" s="30">
        <v>11714</v>
      </c>
      <c r="F13" s="30"/>
      <c r="G13" s="24">
        <v>11714</v>
      </c>
      <c r="H13" s="30"/>
      <c r="I13" s="24">
        <v>11714</v>
      </c>
      <c r="J13" s="30" t="s">
        <v>55</v>
      </c>
      <c r="K13" s="30"/>
      <c r="L13" s="25">
        <v>44934</v>
      </c>
      <c r="M13" s="31">
        <v>44954</v>
      </c>
      <c r="N13" s="31">
        <v>44874</v>
      </c>
      <c r="O13" s="31"/>
      <c r="P13" s="31"/>
      <c r="Q13" s="31"/>
      <c r="R13" s="31"/>
      <c r="S13" s="31">
        <v>44954</v>
      </c>
      <c r="T13" s="30"/>
      <c r="U13" s="30"/>
      <c r="V13" s="30"/>
      <c r="W13" s="30"/>
      <c r="X13" s="30"/>
      <c r="Y13" s="31"/>
      <c r="Z13" s="30"/>
      <c r="AA13" s="30"/>
      <c r="AB13" s="30"/>
      <c r="AC13" s="30"/>
      <c r="AD13" s="30"/>
      <c r="AE13" s="30"/>
      <c r="AF13" s="30"/>
      <c r="AG13" s="30">
        <v>6000281500</v>
      </c>
      <c r="AH13" s="30">
        <v>2500037423</v>
      </c>
      <c r="AI13" s="30">
        <v>100</v>
      </c>
      <c r="AJ13" s="30" t="s">
        <v>61</v>
      </c>
      <c r="AK13" s="30"/>
      <c r="AL13" s="30" t="s">
        <v>65</v>
      </c>
      <c r="AM13" s="30" t="s">
        <v>66</v>
      </c>
      <c r="AN13" s="30" t="s">
        <v>67</v>
      </c>
      <c r="AO13" s="30"/>
      <c r="AP13" s="30"/>
      <c r="AQ13" s="30" t="s">
        <v>101</v>
      </c>
      <c r="AR13" s="30" t="s">
        <v>95</v>
      </c>
      <c r="AS13" s="30" t="s">
        <v>96</v>
      </c>
      <c r="AT13" s="30"/>
      <c r="AU13" s="30"/>
      <c r="AV13" s="30" t="s">
        <v>102</v>
      </c>
      <c r="AW13" s="27" t="s">
        <v>124</v>
      </c>
      <c r="AX13" s="30"/>
      <c r="AY13" s="30"/>
      <c r="AZ13" s="27" t="s">
        <v>68</v>
      </c>
      <c r="BA13" s="28" t="s">
        <v>58</v>
      </c>
    </row>
    <row r="14" spans="1:53">
      <c r="A14" s="29" t="s">
        <v>104</v>
      </c>
      <c r="B14" s="29" t="s">
        <v>100</v>
      </c>
      <c r="C14" s="30"/>
      <c r="D14" s="30">
        <v>1025</v>
      </c>
      <c r="E14" s="30">
        <v>643</v>
      </c>
      <c r="F14" s="30"/>
      <c r="G14" s="24">
        <v>643</v>
      </c>
      <c r="H14" s="30"/>
      <c r="I14" s="24">
        <v>643</v>
      </c>
      <c r="J14" s="30" t="s">
        <v>55</v>
      </c>
      <c r="K14" s="30"/>
      <c r="L14" s="25">
        <v>44920</v>
      </c>
      <c r="M14" s="31">
        <v>44961</v>
      </c>
      <c r="N14" s="31">
        <v>44874</v>
      </c>
      <c r="O14" s="31"/>
      <c r="P14" s="31"/>
      <c r="Q14" s="31"/>
      <c r="R14" s="31"/>
      <c r="S14" s="26">
        <v>44958</v>
      </c>
      <c r="T14" s="30"/>
      <c r="U14" s="30"/>
      <c r="V14" s="30"/>
      <c r="W14" s="30"/>
      <c r="X14" s="30"/>
      <c r="Y14" s="31"/>
      <c r="Z14" s="30"/>
      <c r="AA14" s="30"/>
      <c r="AB14" s="30"/>
      <c r="AC14" s="30"/>
      <c r="AD14" s="30"/>
      <c r="AE14" s="30"/>
      <c r="AF14" s="30"/>
      <c r="AG14" s="30">
        <v>6000281292</v>
      </c>
      <c r="AH14" s="30">
        <v>2500036547</v>
      </c>
      <c r="AI14" s="30">
        <v>300</v>
      </c>
      <c r="AJ14" s="30" t="s">
        <v>61</v>
      </c>
      <c r="AK14" s="30"/>
      <c r="AL14" s="30" t="s">
        <v>65</v>
      </c>
      <c r="AM14" s="30" t="s">
        <v>66</v>
      </c>
      <c r="AN14" s="30" t="s">
        <v>77</v>
      </c>
      <c r="AO14" s="30"/>
      <c r="AP14" s="30"/>
      <c r="AQ14" s="30" t="s">
        <v>105</v>
      </c>
      <c r="AR14" s="30" t="s">
        <v>95</v>
      </c>
      <c r="AS14" s="30" t="s">
        <v>96</v>
      </c>
      <c r="AT14" s="30"/>
      <c r="AU14" s="30"/>
      <c r="AV14" s="30" t="s">
        <v>102</v>
      </c>
      <c r="AW14" s="27" t="s">
        <v>125</v>
      </c>
      <c r="AX14" s="30"/>
      <c r="AY14" s="30"/>
      <c r="AZ14" s="27" t="s">
        <v>68</v>
      </c>
      <c r="BA14" s="28" t="s">
        <v>58</v>
      </c>
    </row>
    <row r="15" spans="1:53">
      <c r="A15" s="29" t="s">
        <v>82</v>
      </c>
      <c r="B15" s="29" t="s">
        <v>83</v>
      </c>
      <c r="C15" s="30"/>
      <c r="D15" s="30">
        <v>1039</v>
      </c>
      <c r="E15" s="30">
        <v>2431</v>
      </c>
      <c r="F15" s="30"/>
      <c r="G15" s="24">
        <v>2431</v>
      </c>
      <c r="H15" s="30"/>
      <c r="I15" s="24">
        <v>2431</v>
      </c>
      <c r="J15" s="30" t="s">
        <v>55</v>
      </c>
      <c r="K15" s="30"/>
      <c r="L15" s="25">
        <v>44941</v>
      </c>
      <c r="M15" s="31">
        <v>44954</v>
      </c>
      <c r="N15" s="31">
        <v>44874</v>
      </c>
      <c r="O15" s="31"/>
      <c r="P15" s="31"/>
      <c r="Q15" s="31"/>
      <c r="R15" s="31"/>
      <c r="S15" s="31">
        <v>44954</v>
      </c>
      <c r="T15" s="30"/>
      <c r="U15" s="30"/>
      <c r="V15" s="30"/>
      <c r="W15" s="30"/>
      <c r="X15" s="30"/>
      <c r="Y15" s="31"/>
      <c r="Z15" s="30"/>
      <c r="AA15" s="30"/>
      <c r="AB15" s="30"/>
      <c r="AC15" s="30"/>
      <c r="AD15" s="30"/>
      <c r="AE15" s="30"/>
      <c r="AF15" s="30"/>
      <c r="AG15" s="30">
        <v>6000281298</v>
      </c>
      <c r="AH15" s="30">
        <v>2500037218</v>
      </c>
      <c r="AI15" s="30">
        <v>100</v>
      </c>
      <c r="AJ15" s="30" t="s">
        <v>84</v>
      </c>
      <c r="AK15" s="30"/>
      <c r="AL15" s="30" t="s">
        <v>65</v>
      </c>
      <c r="AM15" s="30" t="s">
        <v>66</v>
      </c>
      <c r="AN15" s="30" t="s">
        <v>67</v>
      </c>
      <c r="AO15" s="30"/>
      <c r="AP15" s="30"/>
      <c r="AQ15" s="30" t="s">
        <v>85</v>
      </c>
      <c r="AR15" s="30" t="s">
        <v>86</v>
      </c>
      <c r="AS15" s="30" t="s">
        <v>87</v>
      </c>
      <c r="AT15" s="30"/>
      <c r="AU15" s="30"/>
      <c r="AV15" s="30" t="s">
        <v>81</v>
      </c>
      <c r="AW15" s="27" t="s">
        <v>119</v>
      </c>
      <c r="AX15" s="30"/>
      <c r="AY15" s="30"/>
      <c r="AZ15" s="27" t="s">
        <v>68</v>
      </c>
      <c r="BA15" s="28" t="s">
        <v>88</v>
      </c>
    </row>
    <row r="16" spans="1:53">
      <c r="A16" s="29" t="s">
        <v>82</v>
      </c>
      <c r="B16" s="29" t="s">
        <v>83</v>
      </c>
      <c r="C16" s="30"/>
      <c r="D16" s="30">
        <v>1039</v>
      </c>
      <c r="E16" s="30">
        <v>569</v>
      </c>
      <c r="F16" s="30"/>
      <c r="G16" s="24">
        <v>569</v>
      </c>
      <c r="H16" s="30"/>
      <c r="I16" s="24">
        <v>569</v>
      </c>
      <c r="J16" s="30" t="s">
        <v>55</v>
      </c>
      <c r="K16" s="30"/>
      <c r="L16" s="25">
        <v>44941</v>
      </c>
      <c r="M16" s="31">
        <v>44961</v>
      </c>
      <c r="N16" s="31">
        <v>44874</v>
      </c>
      <c r="O16" s="31"/>
      <c r="P16" s="31"/>
      <c r="Q16" s="31"/>
      <c r="R16" s="31"/>
      <c r="S16" s="31">
        <v>44961</v>
      </c>
      <c r="T16" s="30"/>
      <c r="U16" s="30"/>
      <c r="V16" s="30"/>
      <c r="W16" s="30"/>
      <c r="X16" s="30"/>
      <c r="Y16" s="31"/>
      <c r="Z16" s="30"/>
      <c r="AA16" s="30"/>
      <c r="AB16" s="30"/>
      <c r="AC16" s="30"/>
      <c r="AD16" s="30"/>
      <c r="AE16" s="30"/>
      <c r="AF16" s="30"/>
      <c r="AG16" s="30">
        <v>6000281298</v>
      </c>
      <c r="AH16" s="30">
        <v>2500037218</v>
      </c>
      <c r="AI16" s="30">
        <v>200</v>
      </c>
      <c r="AJ16" s="30" t="s">
        <v>84</v>
      </c>
      <c r="AK16" s="30"/>
      <c r="AL16" s="30" t="s">
        <v>65</v>
      </c>
      <c r="AM16" s="30" t="s">
        <v>66</v>
      </c>
      <c r="AN16" s="30" t="s">
        <v>67</v>
      </c>
      <c r="AO16" s="30"/>
      <c r="AP16" s="30"/>
      <c r="AQ16" s="30" t="s">
        <v>85</v>
      </c>
      <c r="AR16" s="30" t="s">
        <v>86</v>
      </c>
      <c r="AS16" s="30" t="s">
        <v>87</v>
      </c>
      <c r="AT16" s="30"/>
      <c r="AU16" s="30"/>
      <c r="AV16" s="30" t="s">
        <v>81</v>
      </c>
      <c r="AW16" s="27" t="s">
        <v>120</v>
      </c>
      <c r="AX16" s="30"/>
      <c r="AY16" s="30"/>
      <c r="AZ16" s="27" t="s">
        <v>68</v>
      </c>
      <c r="BA16" s="28" t="s">
        <v>88</v>
      </c>
    </row>
    <row r="17" spans="1:53">
      <c r="A17" s="32" t="s">
        <v>109</v>
      </c>
      <c r="B17" s="32" t="s">
        <v>106</v>
      </c>
      <c r="C17" s="23"/>
      <c r="D17" s="23">
        <v>1025</v>
      </c>
      <c r="E17" s="23">
        <v>454</v>
      </c>
      <c r="F17" s="23"/>
      <c r="G17" s="24">
        <v>454</v>
      </c>
      <c r="H17" s="23"/>
      <c r="I17" s="24">
        <v>454</v>
      </c>
      <c r="J17" s="23" t="s">
        <v>55</v>
      </c>
      <c r="K17" s="23"/>
      <c r="L17" s="25">
        <v>44941</v>
      </c>
      <c r="M17" s="26">
        <v>44954</v>
      </c>
      <c r="N17" s="26">
        <v>44874</v>
      </c>
      <c r="O17" s="26"/>
      <c r="P17" s="26"/>
      <c r="Q17" s="26"/>
      <c r="R17" s="26"/>
      <c r="S17" s="26">
        <v>44954</v>
      </c>
      <c r="T17" s="23"/>
      <c r="U17" s="23"/>
      <c r="V17" s="23"/>
      <c r="W17" s="23"/>
      <c r="X17" s="23" t="s">
        <v>111</v>
      </c>
      <c r="Y17" s="26">
        <v>44880</v>
      </c>
      <c r="Z17" s="23"/>
      <c r="AA17" s="23"/>
      <c r="AB17" s="23"/>
      <c r="AC17" s="23"/>
      <c r="AD17" s="23"/>
      <c r="AE17" s="23"/>
      <c r="AF17" s="23"/>
      <c r="AG17" s="23">
        <v>6000281293</v>
      </c>
      <c r="AH17" s="23">
        <v>2500036545</v>
      </c>
      <c r="AI17" s="23">
        <v>100</v>
      </c>
      <c r="AJ17" s="23" t="s">
        <v>56</v>
      </c>
      <c r="AK17" s="23"/>
      <c r="AL17" s="23" t="s">
        <v>65</v>
      </c>
      <c r="AM17" s="23" t="s">
        <v>66</v>
      </c>
      <c r="AN17" s="23" t="s">
        <v>77</v>
      </c>
      <c r="AO17" s="23"/>
      <c r="AP17" s="23"/>
      <c r="AQ17" s="23" t="s">
        <v>110</v>
      </c>
      <c r="AR17" s="23" t="s">
        <v>107</v>
      </c>
      <c r="AS17" s="23" t="s">
        <v>108</v>
      </c>
      <c r="AT17" s="23"/>
      <c r="AU17" s="23"/>
      <c r="AV17" s="23" t="s">
        <v>76</v>
      </c>
      <c r="AW17" s="27" t="s">
        <v>126</v>
      </c>
      <c r="AX17" s="23"/>
      <c r="AY17" s="23"/>
      <c r="AZ17" s="27" t="s">
        <v>68</v>
      </c>
      <c r="BA17" s="28" t="s">
        <v>69</v>
      </c>
    </row>
    <row r="18" spans="1:53">
      <c r="A18" s="29" t="s">
        <v>112</v>
      </c>
      <c r="B18" s="29" t="s">
        <v>106</v>
      </c>
      <c r="C18" s="30"/>
      <c r="D18" s="30">
        <v>1025</v>
      </c>
      <c r="E18" s="30">
        <v>348</v>
      </c>
      <c r="F18" s="30"/>
      <c r="G18" s="24">
        <v>348</v>
      </c>
      <c r="H18" s="30"/>
      <c r="I18" s="24">
        <v>348</v>
      </c>
      <c r="J18" s="30" t="s">
        <v>55</v>
      </c>
      <c r="K18" s="30"/>
      <c r="L18" s="25">
        <v>44927</v>
      </c>
      <c r="M18" s="31">
        <v>44961</v>
      </c>
      <c r="N18" s="31">
        <v>44874</v>
      </c>
      <c r="O18" s="31"/>
      <c r="P18" s="31"/>
      <c r="Q18" s="31"/>
      <c r="R18" s="31"/>
      <c r="S18" s="26">
        <v>44960</v>
      </c>
      <c r="T18" s="30"/>
      <c r="U18" s="30"/>
      <c r="V18" s="30"/>
      <c r="W18" s="30"/>
      <c r="X18" s="30"/>
      <c r="Y18" s="31"/>
      <c r="Z18" s="30"/>
      <c r="AA18" s="30"/>
      <c r="AB18" s="30"/>
      <c r="AC18" s="30"/>
      <c r="AD18" s="30"/>
      <c r="AE18" s="30"/>
      <c r="AF18" s="30"/>
      <c r="AG18" s="30">
        <v>6000281293</v>
      </c>
      <c r="AH18" s="30">
        <v>2500036545</v>
      </c>
      <c r="AI18" s="30">
        <v>200</v>
      </c>
      <c r="AJ18" s="30" t="s">
        <v>56</v>
      </c>
      <c r="AK18" s="30"/>
      <c r="AL18" s="30" t="s">
        <v>65</v>
      </c>
      <c r="AM18" s="30" t="s">
        <v>66</v>
      </c>
      <c r="AN18" s="30" t="s">
        <v>77</v>
      </c>
      <c r="AO18" s="30"/>
      <c r="AP18" s="30"/>
      <c r="AQ18" s="30" t="s">
        <v>113</v>
      </c>
      <c r="AR18" s="30" t="s">
        <v>107</v>
      </c>
      <c r="AS18" s="30" t="s">
        <v>108</v>
      </c>
      <c r="AT18" s="30"/>
      <c r="AU18" s="30"/>
      <c r="AV18" s="30" t="s">
        <v>76</v>
      </c>
      <c r="AW18" s="27" t="s">
        <v>127</v>
      </c>
      <c r="AX18" s="30"/>
      <c r="AY18" s="30"/>
      <c r="AZ18" s="27" t="s">
        <v>68</v>
      </c>
      <c r="BA18" s="28" t="s">
        <v>69</v>
      </c>
    </row>
    <row r="19" spans="1:53">
      <c r="A19" s="34"/>
      <c r="B19" s="34"/>
      <c r="C19" s="33"/>
      <c r="D19" s="33"/>
      <c r="E19" s="33">
        <f>SUM(E5:E18)</f>
        <v>62185</v>
      </c>
      <c r="F19" s="33"/>
      <c r="G19" s="33"/>
      <c r="H19" s="33"/>
      <c r="I19" s="33"/>
      <c r="J19" s="33"/>
      <c r="K19" s="33"/>
      <c r="L19" s="33"/>
      <c r="M19" s="35"/>
      <c r="N19" s="35"/>
      <c r="O19" s="35"/>
      <c r="P19" s="35"/>
      <c r="Q19" s="35"/>
      <c r="R19" s="35"/>
      <c r="S19" s="35"/>
      <c r="T19" s="33"/>
      <c r="U19" s="33"/>
      <c r="V19" s="33"/>
      <c r="W19" s="33"/>
      <c r="X19" s="33"/>
      <c r="Y19" s="35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>
      <c r="E20">
        <f>+E19*2</f>
        <v>124370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sz chn</vt:lpstr>
      <vt:lpstr>chn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Quyen</cp:lastModifiedBy>
  <dcterms:created xsi:type="dcterms:W3CDTF">2022-11-30T01:01:41Z</dcterms:created>
  <dcterms:modified xsi:type="dcterms:W3CDTF">2022-12-23T03:31:41Z</dcterms:modified>
</cp:coreProperties>
</file>