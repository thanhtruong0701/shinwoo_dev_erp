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help_label\Taiwan-indo\china-japan\PO CHINA NOVEMBER 2022_NEW_221223\IWW\#B228635-639#\"/>
    </mc:Choice>
  </mc:AlternateContent>
  <bookViews>
    <workbookView xWindow="-120" yWindow="-120" windowWidth="21840" windowHeight="13140" tabRatio="875"/>
  </bookViews>
  <sheets>
    <sheet name="LBL PROC CN BD 1026" sheetId="1" r:id="rId1"/>
    <sheet name="NTN" sheetId="2" r:id="rId2"/>
    <sheet name="PT" sheetId="20" r:id="rId3"/>
    <sheet name="I3A6602" sheetId="3" r:id="rId4"/>
    <sheet name="I3A6705" sheetId="4" r:id="rId5"/>
    <sheet name="I3A7305" sheetId="5" r:id="rId6"/>
    <sheet name="I3A7701" sheetId="6" r:id="rId7"/>
    <sheet name="I3A7801" sheetId="7" r:id="rId8"/>
    <sheet name="I3A9402" sheetId="8" r:id="rId9"/>
    <sheet name="I3A9404" sheetId="9" r:id="rId10"/>
    <sheet name="I3A9501" sheetId="10" r:id="rId11"/>
    <sheet name="I3A6807" sheetId="11" r:id="rId12"/>
    <sheet name="I3A6902" sheetId="12" r:id="rId13"/>
    <sheet name="I3A6905" sheetId="13" r:id="rId14"/>
    <sheet name="I3A7101" sheetId="15" r:id="rId15"/>
    <sheet name="I3A7102" sheetId="16" r:id="rId16"/>
    <sheet name="I3A8101" sheetId="17" r:id="rId17"/>
    <sheet name="I3A8201" sheetId="18" r:id="rId18"/>
    <sheet name="I3A8802" sheetId="19" r:id="rId19"/>
  </sheets>
  <definedNames>
    <definedName name="_xlnm._FilterDatabase" localSheetId="0" hidden="1">'LBL PROC CN BD 1026'!$A$1:$BK$19</definedName>
  </definedNames>
  <calcPr calcId="152511"/>
  <pivotCaches>
    <pivotCache cacheId="1"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8" i="1" l="1"/>
  <c r="F42" i="19" l="1"/>
  <c r="F42" i="18"/>
  <c r="F42" i="17"/>
  <c r="F42" i="16"/>
  <c r="F42" i="15"/>
  <c r="F45" i="13"/>
  <c r="F45" i="12"/>
  <c r="F45" i="11"/>
  <c r="F42" i="10"/>
  <c r="F42" i="9"/>
  <c r="F42" i="8"/>
  <c r="F42" i="7"/>
  <c r="F42" i="6"/>
  <c r="F42" i="5"/>
  <c r="F44" i="4"/>
  <c r="F44" i="3" l="1"/>
</calcChain>
</file>

<file path=xl/sharedStrings.xml><?xml version="1.0" encoding="utf-8"?>
<sst xmlns="http://schemas.openxmlformats.org/spreadsheetml/2006/main" count="1643" uniqueCount="242">
  <si>
    <t>LINE PROD</t>
  </si>
  <si>
    <t>PO_NO</t>
  </si>
  <si>
    <t>PO_ITEM</t>
  </si>
  <si>
    <t>STYLE</t>
  </si>
  <si>
    <t>MODEL_NAME</t>
  </si>
  <si>
    <t>LOT_NO</t>
  </si>
  <si>
    <t>SHIP_TO</t>
  </si>
  <si>
    <t>SLIP_NO</t>
  </si>
  <si>
    <t>RTA</t>
  </si>
  <si>
    <t>COUNTRY</t>
  </si>
  <si>
    <t>LABEL_NAME</t>
  </si>
  <si>
    <t>MTL NO</t>
  </si>
  <si>
    <t>OGAC</t>
  </si>
  <si>
    <t>ORD_QTY</t>
  </si>
  <si>
    <t>PLANT</t>
  </si>
  <si>
    <t>PS_DATE</t>
  </si>
  <si>
    <t>REMARK</t>
  </si>
  <si>
    <t>RGAC</t>
  </si>
  <si>
    <t>UPPER</t>
  </si>
  <si>
    <t>AQ4225-100</t>
  </si>
  <si>
    <t>TEAM HUSTLE D 9 (PS)</t>
  </si>
  <si>
    <t>I3A7102</t>
  </si>
  <si>
    <t>GL2211002</t>
  </si>
  <si>
    <t>CHINA</t>
  </si>
  <si>
    <t>CHINA QUALITY QR CODE CERTIFICATE LABEL(SH)</t>
  </si>
  <si>
    <t>W2DW7</t>
  </si>
  <si>
    <t>STICKER INNERSHOE</t>
  </si>
  <si>
    <t>CJ4092-100</t>
  </si>
  <si>
    <t>AIR FORCE 1 LV8 3 (GS)</t>
  </si>
  <si>
    <t>I3A7701</t>
  </si>
  <si>
    <t>STICKER INNERBOX</t>
  </si>
  <si>
    <t>CQ3706-001</t>
  </si>
  <si>
    <t>TEAM HUSTLE D 9 GRFT (PST)</t>
  </si>
  <si>
    <t>I3A8101</t>
  </si>
  <si>
    <t>DQ8648-200</t>
  </si>
  <si>
    <t>LEBRON XX (PS)</t>
  </si>
  <si>
    <t>I3A8802</t>
  </si>
  <si>
    <t>FJ7691-191</t>
  </si>
  <si>
    <t>AIR FORCE 1 LV8 (GS)</t>
  </si>
  <si>
    <t>I3A9501</t>
  </si>
  <si>
    <t>W2B12</t>
  </si>
  <si>
    <t>CJ4092-002</t>
  </si>
  <si>
    <t>I3A7305</t>
  </si>
  <si>
    <t>I3A9402</t>
  </si>
  <si>
    <t>317415-014</t>
  </si>
  <si>
    <t>LITTLE RIFT (TD BOYS)</t>
  </si>
  <si>
    <t>I3A6602</t>
  </si>
  <si>
    <t>322359-014</t>
  </si>
  <si>
    <t>RIFT (GS/PS BOYS)</t>
  </si>
  <si>
    <t>I3A6807</t>
  </si>
  <si>
    <t>I3A7101</t>
  </si>
  <si>
    <t>I3A7801</t>
  </si>
  <si>
    <t>322359-111</t>
  </si>
  <si>
    <t>I3A6902</t>
  </si>
  <si>
    <t>I3A9404</t>
  </si>
  <si>
    <t>I3A8201</t>
  </si>
  <si>
    <t>317415-111</t>
  </si>
  <si>
    <t>I3A6705</t>
  </si>
  <si>
    <t>I3A6905</t>
  </si>
  <si>
    <t>QTY TO BE ORDER</t>
  </si>
  <si>
    <t>NIKE LABEL ORDER FORM</t>
  </si>
  <si>
    <t>Destination:CHINA</t>
  </si>
  <si>
    <t xml:space="preserve">ORDERY BY:    </t>
  </si>
  <si>
    <t>TO</t>
  </si>
  <si>
    <t>: SHINWOO</t>
  </si>
  <si>
    <t xml:space="preserve">E-mail:    </t>
  </si>
  <si>
    <t>rudy.noer@fengtay.com</t>
  </si>
  <si>
    <t>ATTN</t>
  </si>
  <si>
    <t>: Dewi</t>
  </si>
  <si>
    <r>
      <t xml:space="preserve">Tel: </t>
    </r>
    <r>
      <rPr>
        <b/>
        <u/>
        <sz val="12"/>
        <color indexed="12"/>
        <rFont val="Arial"/>
        <family val="2"/>
      </rPr>
      <t>022-5940688</t>
    </r>
  </si>
  <si>
    <r>
      <t>Fax:</t>
    </r>
    <r>
      <rPr>
        <b/>
        <u/>
        <sz val="12"/>
        <color indexed="12"/>
        <rFont val="Arial"/>
        <family val="2"/>
      </rPr>
      <t>022-5940255</t>
    </r>
  </si>
  <si>
    <t>PHONE</t>
  </si>
  <si>
    <t>: 021-596-1039</t>
  </si>
  <si>
    <t>FAX</t>
  </si>
  <si>
    <t xml:space="preserve">: 021-596-1040 </t>
  </si>
  <si>
    <t>E-MAIL</t>
  </si>
  <si>
    <t>: tnt@shin-woo.co.id</t>
  </si>
  <si>
    <t>SHIP TO</t>
  </si>
  <si>
    <t>Bill To/SOLD TO/BUYER:</t>
  </si>
  <si>
    <t>Factory name:</t>
  </si>
  <si>
    <t>PT. FENGTAY INDONESIA ENT.</t>
  </si>
  <si>
    <t>Company name:</t>
  </si>
  <si>
    <t>Adress:</t>
  </si>
  <si>
    <t>Jl. Raya Banjaran KM 14.6</t>
  </si>
  <si>
    <t>Address:</t>
  </si>
  <si>
    <t>Attn:</t>
  </si>
  <si>
    <t>Miram</t>
  </si>
  <si>
    <t>Tel:</t>
  </si>
  <si>
    <t>022-5940688</t>
  </si>
  <si>
    <t>Cust Po:</t>
  </si>
  <si>
    <t>Nike Po:</t>
  </si>
  <si>
    <t>PO DATE:</t>
  </si>
  <si>
    <r>
      <t>DATE REQUIRED</t>
    </r>
    <r>
      <rPr>
        <b/>
        <sz val="12"/>
        <rFont val="Arial"/>
        <family val="2"/>
      </rPr>
      <t>:</t>
    </r>
  </si>
  <si>
    <t>Special Instruction:(If other sticker need, pls note in below)</t>
  </si>
  <si>
    <r>
      <t>Kind Of Label</t>
    </r>
    <r>
      <rPr>
        <b/>
        <sz val="12"/>
        <rFont val="Arial"/>
        <family val="2"/>
      </rPr>
      <t xml:space="preserve">  : </t>
    </r>
    <r>
      <rPr>
        <sz val="12"/>
        <rFont val="Arial"/>
        <family val="2"/>
      </rPr>
      <t xml:space="preserve">    </t>
    </r>
  </si>
  <si>
    <t xml:space="preserve">China Quality Certificate Label </t>
  </si>
  <si>
    <t>Yes/No?</t>
  </si>
  <si>
    <t>Yes</t>
  </si>
  <si>
    <t>Size &amp; Quality Check Sticker</t>
  </si>
  <si>
    <t>Style:</t>
  </si>
  <si>
    <t>Color:</t>
  </si>
  <si>
    <t>Season</t>
  </si>
  <si>
    <r>
      <t xml:space="preserve">Upper </t>
    </r>
    <r>
      <rPr>
        <sz val="12"/>
        <rFont val="宋体"/>
        <charset val="134"/>
      </rPr>
      <t>（</t>
    </r>
    <r>
      <rPr>
        <sz val="12"/>
        <rFont val="Arial"/>
        <family val="2"/>
      </rPr>
      <t>In English)</t>
    </r>
  </si>
  <si>
    <t>GAC(MM/DD/YY)</t>
  </si>
  <si>
    <t>014</t>
  </si>
  <si>
    <t>Textile</t>
  </si>
  <si>
    <t>CHINA SIZE (mm)</t>
  </si>
  <si>
    <t>INFANT</t>
  </si>
  <si>
    <t>Size</t>
  </si>
  <si>
    <t>110(5C)</t>
  </si>
  <si>
    <t>120(6C)</t>
  </si>
  <si>
    <t>130(7C)</t>
  </si>
  <si>
    <t>140(8C)</t>
  </si>
  <si>
    <t>150(9C)</t>
  </si>
  <si>
    <t>160(10C)</t>
  </si>
  <si>
    <t>Q'ty</t>
  </si>
  <si>
    <t>Total:</t>
  </si>
  <si>
    <t>GENDER</t>
  </si>
  <si>
    <t>SEASON</t>
  </si>
  <si>
    <t>Disclaimer
This information is created for Nike’s internal use.  Any other use of this information is at the sole discretion of the user.  Nike does not guarantee the accuracy of this information or accept responsibility for any use by third parties of this information.</t>
  </si>
  <si>
    <t>MCL Status</t>
  </si>
  <si>
    <t>Product Code</t>
  </si>
  <si>
    <t>Product Type</t>
  </si>
  <si>
    <t>Product Name</t>
  </si>
  <si>
    <t>Translation</t>
  </si>
  <si>
    <t>Factory Location</t>
  </si>
  <si>
    <t>Factory Code</t>
  </si>
  <si>
    <t>Import Country</t>
  </si>
  <si>
    <t>Label</t>
  </si>
  <si>
    <t>Label Type</t>
  </si>
  <si>
    <t>Leather %</t>
  </si>
  <si>
    <t>Coated Leather %</t>
  </si>
  <si>
    <t>Synthetic %</t>
  </si>
  <si>
    <t>Rubber-Japan %</t>
  </si>
  <si>
    <t>Plastic-Japan %</t>
  </si>
  <si>
    <t>Textile %</t>
  </si>
  <si>
    <t>Other %</t>
  </si>
  <si>
    <t>Upper</t>
  </si>
  <si>
    <t>Outsole</t>
  </si>
  <si>
    <t>Midsole</t>
  </si>
  <si>
    <t>Lining</t>
  </si>
  <si>
    <t>Sock Liner/Insole</t>
  </si>
  <si>
    <t>Other</t>
  </si>
  <si>
    <t>Footwear Purpose</t>
  </si>
  <si>
    <t>Global Category</t>
  </si>
  <si>
    <t xml:space="preserve">Last Modified
Date </t>
  </si>
  <si>
    <t>Company</t>
  </si>
  <si>
    <t>Brand Logo</t>
  </si>
  <si>
    <t>APPROVED</t>
  </si>
  <si>
    <t>Inline</t>
  </si>
  <si>
    <t/>
  </si>
  <si>
    <t>ID</t>
  </si>
  <si>
    <t>IW</t>
  </si>
  <si>
    <t>CN</t>
  </si>
  <si>
    <t>4</t>
  </si>
  <si>
    <t>CERT</t>
  </si>
  <si>
    <t>YOUNG ATHLETES</t>
  </si>
  <si>
    <t>NIKE</t>
  </si>
  <si>
    <t>1</t>
  </si>
  <si>
    <t>Leather(Split Grain Cow Leather) / Synthetic(Synthetic Leather)</t>
  </si>
  <si>
    <t>Leather(Split Grain Cow Leather)</t>
  </si>
  <si>
    <t>Leather(Split Grain Cow Leather) / Synthetic(Synthetic Plastic) / Textile</t>
  </si>
  <si>
    <t>Leather(Split Grain Cow Leather) / Synthetic(Synthetic Plastic)</t>
  </si>
  <si>
    <t>Textile / Synthetic(Synthetic Plastic)</t>
  </si>
  <si>
    <t>TD</t>
  </si>
  <si>
    <t>SP'23</t>
  </si>
  <si>
    <t>SU'23</t>
  </si>
  <si>
    <t>GS</t>
  </si>
  <si>
    <t>GS/PS</t>
  </si>
  <si>
    <t>PS</t>
  </si>
  <si>
    <t>LOT# I3A6602</t>
  </si>
  <si>
    <t>6000232854-100</t>
  </si>
  <si>
    <t>11/03/2022</t>
  </si>
  <si>
    <t>12/12/2022</t>
  </si>
  <si>
    <t>LOT# I3A6705</t>
  </si>
  <si>
    <t>6000232843-100</t>
  </si>
  <si>
    <t>12/14/2022</t>
  </si>
  <si>
    <t>YOUTH</t>
  </si>
  <si>
    <t>225(3.5Y)</t>
  </si>
  <si>
    <t>230(4Y)</t>
  </si>
  <si>
    <t>235(4.5Y)</t>
  </si>
  <si>
    <t>235(5Y)</t>
  </si>
  <si>
    <t>240(5.5Y)</t>
  </si>
  <si>
    <t>240(6Y)</t>
  </si>
  <si>
    <t>245(6.5Y)</t>
  </si>
  <si>
    <t>250(7Y)</t>
  </si>
  <si>
    <t>LOT# I3A7305</t>
  </si>
  <si>
    <t>CJ4092</t>
  </si>
  <si>
    <t>002</t>
  </si>
  <si>
    <t>6000232858-100</t>
  </si>
  <si>
    <t>LOT# I3A7701</t>
  </si>
  <si>
    <t>6000232845-100</t>
  </si>
  <si>
    <t>LOT# I3A7801</t>
  </si>
  <si>
    <t>6000232858-200</t>
  </si>
  <si>
    <t>LOT# I3A9402</t>
  </si>
  <si>
    <t>FJ7691</t>
  </si>
  <si>
    <t>6000232865-100</t>
  </si>
  <si>
    <t>LOT# I3A9404</t>
  </si>
  <si>
    <t>6000232865-200</t>
  </si>
  <si>
    <t>LOT# I3A9501</t>
  </si>
  <si>
    <t>6000232853-100</t>
  </si>
  <si>
    <t>170(11C)</t>
  </si>
  <si>
    <t>180(12C)</t>
  </si>
  <si>
    <t>190(13C)</t>
  </si>
  <si>
    <t>200(1Y)</t>
  </si>
  <si>
    <t>210(2Y)</t>
  </si>
  <si>
    <t>220(3Y)</t>
  </si>
  <si>
    <t>LOT# I3A6807</t>
  </si>
  <si>
    <t>6000232855-100</t>
  </si>
  <si>
    <t>LOT# I3A6902</t>
  </si>
  <si>
    <t>6000232844-100</t>
  </si>
  <si>
    <t>LOT# I3A6905</t>
  </si>
  <si>
    <t>6000232855-200</t>
  </si>
  <si>
    <t>LOT# I3A7101</t>
  </si>
  <si>
    <t>AQ4225</t>
  </si>
  <si>
    <t>6000232857-100</t>
  </si>
  <si>
    <t>LOT# I3A7102</t>
  </si>
  <si>
    <t>6000232857-200</t>
  </si>
  <si>
    <t>LOT# I3A8101</t>
  </si>
  <si>
    <t>CQ3706</t>
  </si>
  <si>
    <t>001</t>
  </si>
  <si>
    <t>6000232859-100</t>
  </si>
  <si>
    <t>LOT# I3A8201</t>
  </si>
  <si>
    <t>6000232859-200</t>
  </si>
  <si>
    <t>LOT# I3A8802</t>
  </si>
  <si>
    <t>DQ8648</t>
  </si>
  <si>
    <t>6000232862-100</t>
  </si>
  <si>
    <t>PR</t>
  </si>
  <si>
    <t>Sum of QTY TO BE ORDER</t>
  </si>
  <si>
    <t>W2B12 Total</t>
  </si>
  <si>
    <t>W2DW7 Total</t>
  </si>
  <si>
    <t>11/22/22 Total</t>
  </si>
  <si>
    <t>11/29/22 Total</t>
  </si>
  <si>
    <t>12/06/22 Total</t>
  </si>
  <si>
    <t>12/13/22 Total</t>
  </si>
  <si>
    <t>B228635</t>
  </si>
  <si>
    <t>B228636</t>
  </si>
  <si>
    <t>B228637</t>
  </si>
  <si>
    <t>B228638</t>
  </si>
  <si>
    <t>B228639</t>
  </si>
  <si>
    <t>B22A7A6</t>
  </si>
  <si>
    <t>PO#</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</si>
</sst>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mm/dd/yy"/>
  </numFmts>
  <fonts count="34">
    <font>
      <sz val="11"/>
      <color theme="1"/>
      <name val="Calibri"/>
      <family val="2"/>
      <scheme val="minor"/>
    </font>
    <font>
      <sz val="11"/>
      <color rgb="FFFF0000"/>
      <name val="Calibri"/>
      <family val="2"/>
      <scheme val="minor"/>
    </font>
    <font>
      <b/>
      <sz val="11"/>
      <color rgb="FFFF0000"/>
      <name val="Calibri"/>
      <family val="2"/>
      <scheme val="minor"/>
    </font>
    <font>
      <sz val="10"/>
      <name val="Arial"/>
      <family val="2"/>
    </font>
    <font>
      <sz val="12"/>
      <name val="Arial"/>
      <family val="2"/>
    </font>
    <font>
      <b/>
      <sz val="24"/>
      <name val="Arial"/>
      <family val="2"/>
    </font>
    <font>
      <sz val="18"/>
      <name val="Arial"/>
      <family val="2"/>
    </font>
    <font>
      <sz val="12"/>
      <color indexed="12"/>
      <name val="Arial"/>
      <family val="2"/>
    </font>
    <font>
      <b/>
      <sz val="12"/>
      <color indexed="12"/>
      <name val="Arial"/>
      <family val="2"/>
    </font>
    <font>
      <b/>
      <sz val="10"/>
      <name val="Arial"/>
      <family val="2"/>
    </font>
    <font>
      <u/>
      <sz val="12"/>
      <color indexed="12"/>
      <name val="Times New Roman"/>
      <family val="1"/>
    </font>
    <font>
      <b/>
      <sz val="10"/>
      <color indexed="12"/>
      <name val="Arial"/>
      <family val="2"/>
    </font>
    <font>
      <b/>
      <u/>
      <sz val="12"/>
      <color indexed="12"/>
      <name val="Arial"/>
      <family val="2"/>
    </font>
    <font>
      <b/>
      <u/>
      <sz val="10"/>
      <color indexed="10"/>
      <name val="Arial"/>
      <family val="2"/>
    </font>
    <font>
      <u/>
      <sz val="12"/>
      <color indexed="12"/>
      <name val="Arial"/>
      <family val="2"/>
    </font>
    <font>
      <b/>
      <sz val="12"/>
      <name val="Arial"/>
      <family val="2"/>
    </font>
    <font>
      <b/>
      <sz val="10"/>
      <color indexed="10"/>
      <name val="Arial"/>
      <family val="2"/>
    </font>
    <font>
      <b/>
      <sz val="12"/>
      <color indexed="10"/>
      <name val="Arial"/>
      <family val="2"/>
    </font>
    <font>
      <sz val="12"/>
      <color indexed="8"/>
      <name val="Arial"/>
      <family val="2"/>
    </font>
    <font>
      <b/>
      <sz val="12"/>
      <color indexed="12"/>
      <name val="新細明體"/>
    </font>
    <font>
      <sz val="12"/>
      <color indexed="10"/>
      <name val="Arial"/>
      <family val="2"/>
    </font>
    <font>
      <b/>
      <sz val="12"/>
      <color indexed="8"/>
      <name val="Arial"/>
      <family val="2"/>
    </font>
    <font>
      <b/>
      <sz val="14"/>
      <color indexed="8"/>
      <name val="Arial"/>
      <family val="2"/>
    </font>
    <font>
      <b/>
      <sz val="14"/>
      <name val="Arial"/>
      <family val="2"/>
    </font>
    <font>
      <sz val="12"/>
      <name val="宋体"/>
      <charset val="134"/>
    </font>
    <font>
      <b/>
      <u/>
      <sz val="12"/>
      <color indexed="10"/>
      <name val="Arial"/>
      <family val="2"/>
    </font>
    <font>
      <sz val="12"/>
      <name val="細明體"/>
      <family val="3"/>
      <charset val="136"/>
    </font>
    <font>
      <sz val="12"/>
      <name val="新細明體"/>
      <family val="1"/>
      <charset val="136"/>
    </font>
    <font>
      <b/>
      <sz val="12"/>
      <color rgb="FF0000FF"/>
      <name val="新細明體"/>
    </font>
    <font>
      <b/>
      <sz val="10"/>
      <color indexed="8"/>
      <name val="SansSerif"/>
    </font>
    <font>
      <sz val="10"/>
      <color indexed="8"/>
      <name val="SansSerif"/>
    </font>
    <font>
      <sz val="10"/>
      <color indexed="8"/>
      <name val="Arial"/>
      <family val="2"/>
    </font>
    <font>
      <sz val="10"/>
      <color theme="1"/>
      <name val="Arial"/>
      <family val="2"/>
    </font>
    <font>
      <sz val="11"/>
      <color theme="0"/>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indexed="9"/>
        <bgColor indexed="64"/>
      </patternFill>
    </fill>
    <fill>
      <patternFill patternType="solid">
        <fgColor indexed="22"/>
        <bgColor indexed="64"/>
      </patternFill>
    </fill>
    <fill>
      <patternFill patternType="solid">
        <fgColor indexed="10"/>
        <bgColor indexed="64"/>
      </patternFill>
    </fill>
    <fill>
      <patternFill patternType="solid">
        <fgColor indexed="43"/>
        <bgColor indexed="64"/>
      </patternFill>
    </fill>
    <fill>
      <patternFill patternType="solid">
        <fgColor theme="0"/>
        <bgColor indexed="64"/>
      </patternFill>
    </fill>
  </fills>
  <borders count="1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top style="thin">
        <color indexed="64"/>
      </top>
      <bottom/>
      <diagonal/>
    </border>
  </borders>
  <cellStyleXfs count="4">
    <xf numFmtId="0" fontId="0" fillId="0" borderId="0"/>
    <xf numFmtId="0" fontId="3" fillId="0" borderId="0"/>
    <xf numFmtId="0" fontId="10" fillId="0" borderId="0" applyNumberFormat="0" applyFill="0" applyBorder="0" applyAlignment="0" applyProtection="0">
      <alignment vertical="top"/>
      <protection locked="0"/>
    </xf>
    <xf numFmtId="0" fontId="27" fillId="0" borderId="0">
      <alignment vertical="center"/>
    </xf>
  </cellStyleXfs>
  <cellXfs count="138">
    <xf numFmtId="0" fontId="0" fillId="0" borderId="0" xfId="0"/>
    <xf numFmtId="0" fontId="0" fillId="0" borderId="0" xfId="0" applyAlignment="1">
      <alignment wrapText="1"/>
    </xf>
    <xf numFmtId="14" fontId="0" fillId="0" borderId="0" xfId="0" applyNumberFormat="1"/>
    <xf numFmtId="0" fontId="0" fillId="0" borderId="0" xfId="0" applyAlignment="1">
      <alignment horizontal="center"/>
    </xf>
    <xf numFmtId="0" fontId="2" fillId="2" borderId="0" xfId="0" applyFont="1" applyFill="1" applyAlignment="1">
      <alignment horizontal="center" wrapText="1"/>
    </xf>
    <xf numFmtId="0" fontId="0" fillId="3" borderId="0" xfId="0" applyFill="1" applyAlignment="1">
      <alignment wrapText="1"/>
    </xf>
    <xf numFmtId="0" fontId="0" fillId="3" borderId="0" xfId="0" applyFill="1" applyAlignment="1">
      <alignment horizontal="center" wrapText="1"/>
    </xf>
    <xf numFmtId="0" fontId="4" fillId="4" borderId="1" xfId="1" applyFont="1" applyFill="1" applyBorder="1"/>
    <xf numFmtId="0" fontId="4" fillId="4" borderId="2" xfId="1" applyFont="1" applyFill="1" applyBorder="1"/>
    <xf numFmtId="0" fontId="4" fillId="4" borderId="3" xfId="1" applyFont="1" applyFill="1" applyBorder="1"/>
    <xf numFmtId="0" fontId="6" fillId="0" borderId="4"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5" xfId="1" applyFont="1" applyFill="1" applyBorder="1" applyAlignment="1">
      <alignment horizontal="center" vertical="center"/>
    </xf>
    <xf numFmtId="0" fontId="4" fillId="0" borderId="4" xfId="1" applyFont="1" applyFill="1" applyBorder="1"/>
    <xf numFmtId="0" fontId="4" fillId="0" borderId="0" xfId="1" applyFont="1" applyFill="1" applyBorder="1"/>
    <xf numFmtId="0" fontId="4" fillId="0" borderId="0" xfId="1" applyFont="1" applyFill="1" applyBorder="1" applyAlignment="1">
      <alignment horizontal="center" vertical="center"/>
    </xf>
    <xf numFmtId="0" fontId="7" fillId="0" borderId="0" xfId="1" applyFont="1" applyFill="1" applyBorder="1"/>
    <xf numFmtId="0" fontId="8" fillId="0" borderId="0" xfId="1" applyFont="1" applyFill="1" applyBorder="1"/>
    <xf numFmtId="0" fontId="7" fillId="0" borderId="0" xfId="1" applyFont="1" applyFill="1" applyBorder="1" applyAlignment="1">
      <alignment horizontal="center" vertical="center"/>
    </xf>
    <xf numFmtId="0" fontId="7" fillId="0" borderId="5" xfId="1" applyFont="1" applyFill="1" applyBorder="1" applyAlignment="1">
      <alignment horizontal="center" vertical="center"/>
    </xf>
    <xf numFmtId="0" fontId="9" fillId="0" borderId="4" xfId="1" applyFont="1" applyFill="1" applyBorder="1"/>
    <xf numFmtId="0" fontId="10" fillId="0" borderId="0" xfId="2" applyFill="1" applyBorder="1" applyAlignment="1" applyProtection="1"/>
    <xf numFmtId="0" fontId="11" fillId="0" borderId="4" xfId="1" applyFont="1" applyFill="1" applyBorder="1"/>
    <xf numFmtId="0" fontId="13" fillId="0" borderId="0" xfId="1" applyFont="1" applyFill="1" applyBorder="1"/>
    <xf numFmtId="0" fontId="3" fillId="0" borderId="0" xfId="1" applyFont="1" applyFill="1" applyBorder="1"/>
    <xf numFmtId="0" fontId="9" fillId="0" borderId="4" xfId="1" applyFont="1" applyFill="1" applyBorder="1" applyAlignment="1">
      <alignment horizontal="left"/>
    </xf>
    <xf numFmtId="0" fontId="14" fillId="0" borderId="0" xfId="2" applyFont="1" applyFill="1" applyBorder="1" applyAlignment="1" applyProtection="1"/>
    <xf numFmtId="0" fontId="15" fillId="0" borderId="0" xfId="1" applyFont="1" applyFill="1" applyBorder="1"/>
    <xf numFmtId="0" fontId="4" fillId="0" borderId="5" xfId="1" applyFont="1" applyFill="1" applyBorder="1" applyAlignment="1">
      <alignment horizontal="center" vertical="center"/>
    </xf>
    <xf numFmtId="0" fontId="3" fillId="0" borderId="4" xfId="1" applyFont="1" applyFill="1" applyBorder="1" applyAlignment="1">
      <alignment horizontal="left" vertical="center"/>
    </xf>
    <xf numFmtId="0" fontId="16" fillId="0" borderId="0" xfId="1" applyFont="1" applyFill="1" applyBorder="1" applyAlignment="1">
      <alignment horizontal="center" vertical="center"/>
    </xf>
    <xf numFmtId="0" fontId="3" fillId="0" borderId="0" xfId="1" applyFont="1" applyFill="1" applyBorder="1" applyAlignment="1">
      <alignment horizontal="center" vertical="center"/>
    </xf>
    <xf numFmtId="0" fontId="4" fillId="0" borderId="0" xfId="1" applyFont="1" applyFill="1" applyBorder="1" applyAlignment="1">
      <alignment horizontal="left" vertical="top"/>
    </xf>
    <xf numFmtId="0" fontId="12" fillId="0" borderId="0" xfId="1" applyFont="1" applyFill="1" applyBorder="1"/>
    <xf numFmtId="0" fontId="4" fillId="0" borderId="0" xfId="1" applyFont="1" applyFill="1" applyBorder="1" applyAlignment="1">
      <alignment vertical="center"/>
    </xf>
    <xf numFmtId="0" fontId="4" fillId="0" borderId="5" xfId="1" applyFont="1" applyFill="1" applyBorder="1" applyAlignment="1">
      <alignment vertical="center"/>
    </xf>
    <xf numFmtId="0" fontId="4" fillId="0" borderId="0" xfId="1" applyFont="1" applyFill="1" applyBorder="1" applyAlignment="1">
      <alignment vertical="center" wrapText="1"/>
    </xf>
    <xf numFmtId="0" fontId="17" fillId="0" borderId="0" xfId="1" applyFont="1" applyFill="1" applyBorder="1" applyAlignment="1">
      <alignment vertical="center" wrapText="1"/>
    </xf>
    <xf numFmtId="0" fontId="4" fillId="0" borderId="5" xfId="1" applyFont="1" applyFill="1" applyBorder="1" applyAlignment="1">
      <alignment vertical="center" wrapText="1"/>
    </xf>
    <xf numFmtId="0" fontId="4" fillId="0" borderId="0" xfId="1" applyFont="1" applyFill="1" applyBorder="1" applyAlignment="1"/>
    <xf numFmtId="0" fontId="4" fillId="0" borderId="5" xfId="1" applyFont="1" applyFill="1" applyBorder="1" applyAlignment="1"/>
    <xf numFmtId="0" fontId="18" fillId="0" borderId="4" xfId="2" applyFont="1" applyFill="1" applyBorder="1" applyAlignment="1" applyProtection="1"/>
    <xf numFmtId="0" fontId="4" fillId="0" borderId="5" xfId="1" applyFont="1" applyFill="1" applyBorder="1"/>
    <xf numFmtId="0" fontId="19" fillId="0" borderId="0" xfId="1" applyFont="1" applyBorder="1"/>
    <xf numFmtId="0" fontId="8" fillId="0" borderId="0" xfId="1" applyFont="1" applyBorder="1" applyAlignment="1">
      <alignment horizontal="left" vertical="center"/>
    </xf>
    <xf numFmtId="14" fontId="12" fillId="0" borderId="0" xfId="1" quotePrefix="1" applyNumberFormat="1" applyFont="1" applyFill="1" applyBorder="1" applyAlignment="1">
      <alignment horizontal="left"/>
    </xf>
    <xf numFmtId="0" fontId="4" fillId="4" borderId="0" xfId="1" applyFont="1" applyFill="1" applyBorder="1"/>
    <xf numFmtId="14" fontId="12" fillId="0" borderId="0" xfId="1" applyNumberFormat="1" applyFont="1" applyFill="1" applyBorder="1"/>
    <xf numFmtId="0" fontId="4" fillId="4" borderId="4" xfId="1" applyFont="1" applyFill="1" applyBorder="1"/>
    <xf numFmtId="0" fontId="20" fillId="4" borderId="0" xfId="1" applyFont="1" applyFill="1" applyBorder="1"/>
    <xf numFmtId="0" fontId="4" fillId="4" borderId="5" xfId="1" applyFont="1" applyFill="1" applyBorder="1"/>
    <xf numFmtId="0" fontId="4" fillId="5" borderId="4" xfId="1" applyFont="1" applyFill="1" applyBorder="1"/>
    <xf numFmtId="0" fontId="4" fillId="5" borderId="0" xfId="1" applyFont="1" applyFill="1" applyBorder="1"/>
    <xf numFmtId="0" fontId="4" fillId="5" borderId="5" xfId="1" applyFont="1" applyFill="1" applyBorder="1"/>
    <xf numFmtId="0" fontId="21" fillId="4" borderId="0" xfId="1" applyFont="1" applyFill="1" applyBorder="1"/>
    <xf numFmtId="0" fontId="22" fillId="4" borderId="0" xfId="1" applyFont="1" applyFill="1" applyBorder="1"/>
    <xf numFmtId="0" fontId="17" fillId="4" borderId="0" xfId="1" applyFont="1" applyFill="1" applyBorder="1"/>
    <xf numFmtId="0" fontId="23" fillId="4" borderId="0" xfId="1" applyFont="1" applyFill="1" applyBorder="1"/>
    <xf numFmtId="0" fontId="4" fillId="4" borderId="9" xfId="1" applyFont="1" applyFill="1" applyBorder="1" applyAlignment="1">
      <alignment horizontal="center" vertical="center"/>
    </xf>
    <xf numFmtId="0" fontId="8" fillId="0" borderId="9" xfId="1" applyFont="1" applyFill="1" applyBorder="1" applyAlignment="1">
      <alignment horizontal="center" vertical="center"/>
    </xf>
    <xf numFmtId="0" fontId="25" fillId="0" borderId="12" xfId="1" applyFont="1" applyFill="1" applyBorder="1" applyAlignment="1">
      <alignment horizontal="center"/>
    </xf>
    <xf numFmtId="0" fontId="25" fillId="0" borderId="0" xfId="1" applyFont="1" applyFill="1" applyBorder="1" applyAlignment="1">
      <alignment horizontal="center"/>
    </xf>
    <xf numFmtId="0" fontId="25" fillId="0" borderId="0" xfId="1" applyFont="1" applyFill="1" applyBorder="1" applyAlignment="1">
      <alignment horizontal="center" vertical="center"/>
    </xf>
    <xf numFmtId="0" fontId="25" fillId="4" borderId="0" xfId="1" applyFont="1" applyFill="1" applyBorder="1" applyAlignment="1">
      <alignment horizontal="center"/>
    </xf>
    <xf numFmtId="0" fontId="25" fillId="4" borderId="5" xfId="1" applyFont="1" applyFill="1" applyBorder="1" applyAlignment="1">
      <alignment horizontal="center"/>
    </xf>
    <xf numFmtId="0" fontId="7" fillId="4" borderId="4" xfId="0" applyFont="1" applyFill="1" applyBorder="1"/>
    <xf numFmtId="0" fontId="4" fillId="4" borderId="0" xfId="0" applyFont="1" applyFill="1" applyBorder="1"/>
    <xf numFmtId="0" fontId="8" fillId="4" borderId="0" xfId="0" applyFont="1" applyFill="1" applyBorder="1"/>
    <xf numFmtId="0" fontId="26" fillId="4" borderId="0" xfId="0" applyFont="1" applyFill="1" applyBorder="1" applyAlignment="1">
      <alignment horizontal="left" vertical="center"/>
    </xf>
    <xf numFmtId="0" fontId="4" fillId="4" borderId="9"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5" xfId="1" applyFont="1" applyFill="1" applyBorder="1" applyAlignment="1">
      <alignment horizontal="center"/>
    </xf>
    <xf numFmtId="0" fontId="8" fillId="4" borderId="9" xfId="0" applyFont="1" applyFill="1" applyBorder="1" applyAlignment="1">
      <alignment horizontal="center" vertical="center"/>
    </xf>
    <xf numFmtId="0" fontId="19" fillId="0" borderId="9" xfId="3" applyFont="1" applyBorder="1" applyAlignment="1">
      <alignment horizontal="center" vertical="center"/>
    </xf>
    <xf numFmtId="0" fontId="28" fillId="0" borderId="0" xfId="3" applyFont="1" applyBorder="1" applyAlignment="1">
      <alignment horizontal="center" vertical="center"/>
    </xf>
    <xf numFmtId="0" fontId="7" fillId="4" borderId="4" xfId="1" applyFont="1" applyFill="1" applyBorder="1"/>
    <xf numFmtId="0" fontId="8" fillId="4" borderId="0" xfId="1" applyFont="1" applyFill="1" applyBorder="1"/>
    <xf numFmtId="0" fontId="19" fillId="0" borderId="0" xfId="3" applyFont="1" applyBorder="1" applyAlignment="1">
      <alignment horizontal="center" vertical="center"/>
    </xf>
    <xf numFmtId="0" fontId="8" fillId="4" borderId="0" xfId="0" applyFont="1" applyFill="1" applyBorder="1" applyAlignment="1">
      <alignment horizontal="center" vertical="center"/>
    </xf>
    <xf numFmtId="0" fontId="8" fillId="4" borderId="9" xfId="1" applyFont="1" applyFill="1" applyBorder="1" applyAlignment="1">
      <alignment horizontal="center"/>
    </xf>
    <xf numFmtId="0" fontId="15" fillId="4" borderId="4" xfId="1" applyFont="1" applyFill="1" applyBorder="1"/>
    <xf numFmtId="0" fontId="4" fillId="4" borderId="13" xfId="1" applyFont="1" applyFill="1" applyBorder="1"/>
    <xf numFmtId="0" fontId="4" fillId="4" borderId="14" xfId="1" applyFont="1" applyFill="1" applyBorder="1"/>
    <xf numFmtId="0" fontId="4" fillId="4" borderId="15" xfId="1" applyFont="1" applyFill="1" applyBorder="1"/>
    <xf numFmtId="0" fontId="1" fillId="2" borderId="9" xfId="0" applyFont="1" applyFill="1" applyBorder="1" applyAlignment="1">
      <alignment horizontal="center" wrapText="1"/>
    </xf>
    <xf numFmtId="0" fontId="30" fillId="0" borderId="0" xfId="0" applyFont="1" applyAlignment="1" applyProtection="1">
      <alignment horizontal="left" vertical="top" wrapText="1"/>
    </xf>
    <xf numFmtId="0" fontId="29" fillId="7" borderId="0" xfId="0" applyFont="1" applyFill="1" applyAlignment="1" applyProtection="1">
      <alignment horizontal="center" vertical="top" wrapText="1"/>
    </xf>
    <xf numFmtId="164" fontId="30" fillId="0" borderId="0" xfId="0" applyNumberFormat="1" applyFont="1" applyAlignment="1" applyProtection="1">
      <alignment horizontal="left" vertical="top" wrapText="1"/>
    </xf>
    <xf numFmtId="0" fontId="30" fillId="0" borderId="0" xfId="1" applyFont="1" applyAlignment="1" applyProtection="1">
      <alignment horizontal="left" vertical="top" wrapText="1"/>
    </xf>
    <xf numFmtId="164" fontId="30" fillId="0" borderId="0" xfId="1" applyNumberFormat="1" applyFont="1" applyAlignment="1" applyProtection="1">
      <alignment horizontal="left" vertical="top" wrapText="1"/>
    </xf>
    <xf numFmtId="0" fontId="31" fillId="0" borderId="0" xfId="0" applyFont="1" applyAlignment="1" applyProtection="1">
      <alignment horizontal="left" vertical="top" wrapText="1"/>
    </xf>
    <xf numFmtId="164" fontId="31" fillId="0" borderId="0" xfId="0" applyNumberFormat="1" applyFont="1" applyAlignment="1" applyProtection="1">
      <alignment horizontal="left" vertical="top" wrapText="1"/>
    </xf>
    <xf numFmtId="0" fontId="3" fillId="0" borderId="0" xfId="0" applyFont="1" applyAlignment="1" applyProtection="1">
      <alignment horizontal="left" vertical="top" wrapText="1"/>
    </xf>
    <xf numFmtId="0" fontId="32" fillId="0" borderId="0" xfId="0" applyFont="1"/>
    <xf numFmtId="0" fontId="30" fillId="0" borderId="0" xfId="1" applyFont="1" applyAlignment="1" applyProtection="1">
      <alignment horizontal="left" vertical="top" wrapText="1"/>
    </xf>
    <xf numFmtId="164" fontId="30" fillId="0" borderId="0" xfId="1" applyNumberFormat="1" applyFont="1" applyAlignment="1" applyProtection="1">
      <alignment horizontal="left" vertical="top" wrapText="1"/>
    </xf>
    <xf numFmtId="14" fontId="12" fillId="0" borderId="0" xfId="1" quotePrefix="1" applyNumberFormat="1" applyFont="1" applyFill="1" applyBorder="1" applyAlignment="1">
      <alignment horizontal="right"/>
    </xf>
    <xf numFmtId="0" fontId="26" fillId="4" borderId="0" xfId="1" applyFont="1" applyFill="1" applyBorder="1" applyAlignment="1">
      <alignment horizontal="left" vertical="center"/>
    </xf>
    <xf numFmtId="0" fontId="4" fillId="4" borderId="16" xfId="1" applyFont="1" applyFill="1" applyBorder="1" applyAlignment="1">
      <alignment horizontal="center"/>
    </xf>
    <xf numFmtId="0" fontId="4" fillId="4" borderId="9" xfId="1" applyFont="1" applyFill="1" applyBorder="1" applyAlignment="1">
      <alignment horizontal="center"/>
    </xf>
    <xf numFmtId="0" fontId="8" fillId="4" borderId="16" xfId="1" applyFont="1" applyFill="1" applyBorder="1" applyAlignment="1">
      <alignment horizontal="center"/>
    </xf>
    <xf numFmtId="0" fontId="8" fillId="4" borderId="9" xfId="1" applyFont="1" applyFill="1" applyBorder="1" applyAlignment="1">
      <alignment horizontal="center" vertical="center"/>
    </xf>
    <xf numFmtId="0" fontId="7" fillId="4" borderId="17" xfId="1" applyFont="1" applyFill="1" applyBorder="1"/>
    <xf numFmtId="0" fontId="4" fillId="4" borderId="0" xfId="0" applyFont="1" applyFill="1" applyAlignment="1">
      <alignment horizontal="center"/>
    </xf>
    <xf numFmtId="0" fontId="4" fillId="4" borderId="0" xfId="0" applyFont="1" applyFill="1" applyBorder="1" applyAlignment="1">
      <alignment horizontal="center"/>
    </xf>
    <xf numFmtId="0" fontId="7" fillId="4" borderId="0" xfId="0" applyFont="1" applyFill="1" applyBorder="1" applyAlignment="1">
      <alignment horizontal="center" vertical="center"/>
    </xf>
    <xf numFmtId="0" fontId="8" fillId="4" borderId="0" xfId="1" applyFont="1" applyFill="1" applyBorder="1" applyAlignment="1">
      <alignment horizontal="center" vertical="center"/>
    </xf>
    <xf numFmtId="165" fontId="0" fillId="0" borderId="0" xfId="0" applyNumberFormat="1"/>
    <xf numFmtId="165" fontId="0" fillId="8" borderId="0" xfId="0" applyNumberFormat="1" applyFill="1"/>
    <xf numFmtId="0" fontId="0" fillId="0" borderId="0" xfId="0" pivotButton="1" applyAlignment="1">
      <alignment horizontal="center"/>
    </xf>
    <xf numFmtId="165" fontId="0" fillId="0" borderId="0" xfId="0" applyNumberFormat="1" applyAlignment="1">
      <alignment horizontal="center"/>
    </xf>
    <xf numFmtId="0" fontId="0" fillId="0" borderId="0" xfId="0" applyNumberFormat="1" applyAlignment="1">
      <alignment horizontal="center"/>
    </xf>
    <xf numFmtId="165" fontId="33" fillId="0" borderId="0" xfId="0" applyNumberFormat="1" applyFont="1" applyAlignment="1">
      <alignment horizontal="center"/>
    </xf>
    <xf numFmtId="0" fontId="33" fillId="0" borderId="0" xfId="0" applyFont="1" applyAlignment="1">
      <alignment horizontal="center"/>
    </xf>
    <xf numFmtId="0" fontId="33" fillId="0" borderId="0" xfId="0" applyNumberFormat="1" applyFont="1" applyAlignment="1">
      <alignment horizontal="center"/>
    </xf>
    <xf numFmtId="0" fontId="0" fillId="0" borderId="18" xfId="0" applyBorder="1" applyAlignment="1">
      <alignment horizontal="center"/>
    </xf>
    <xf numFmtId="0" fontId="29" fillId="6" borderId="0" xfId="0" applyFont="1" applyFill="1" applyAlignment="1" applyProtection="1">
      <alignment horizontal="left" vertical="top" wrapText="1"/>
    </xf>
    <xf numFmtId="0" fontId="8" fillId="0" borderId="6" xfId="1" applyFont="1" applyFill="1" applyBorder="1" applyAlignment="1">
      <alignment horizontal="center" vertical="center"/>
    </xf>
    <xf numFmtId="0" fontId="8" fillId="0" borderId="7" xfId="1" applyFont="1" applyFill="1" applyBorder="1" applyAlignment="1">
      <alignment horizontal="center" vertical="center"/>
    </xf>
    <xf numFmtId="0" fontId="8" fillId="0" borderId="8" xfId="1" quotePrefix="1" applyFont="1" applyFill="1" applyBorder="1" applyAlignment="1">
      <alignment horizontal="center" vertical="center"/>
    </xf>
    <xf numFmtId="0" fontId="8" fillId="0" borderId="8" xfId="1" applyFont="1" applyFill="1" applyBorder="1" applyAlignment="1">
      <alignment horizontal="center" vertical="center" wrapText="1"/>
    </xf>
    <xf numFmtId="0" fontId="8" fillId="0" borderId="11" xfId="1" applyFont="1" applyFill="1" applyBorder="1" applyAlignment="1">
      <alignment horizontal="center" vertical="center" wrapText="1"/>
    </xf>
    <xf numFmtId="0" fontId="8" fillId="0" borderId="7" xfId="1" applyFont="1" applyFill="1" applyBorder="1" applyAlignment="1">
      <alignment horizontal="center" vertical="center" wrapText="1"/>
    </xf>
    <xf numFmtId="14" fontId="8" fillId="4" borderId="9" xfId="1" quotePrefix="1" applyNumberFormat="1" applyFont="1" applyFill="1" applyBorder="1" applyAlignment="1">
      <alignment horizontal="center" vertical="center"/>
    </xf>
    <xf numFmtId="14" fontId="8" fillId="4" borderId="10" xfId="1" quotePrefix="1" applyNumberFormat="1" applyFont="1" applyFill="1" applyBorder="1" applyAlignment="1">
      <alignment horizontal="center" vertical="center"/>
    </xf>
    <xf numFmtId="0" fontId="5" fillId="4" borderId="4" xfId="1" applyFont="1" applyFill="1" applyBorder="1" applyAlignment="1">
      <alignment horizontal="center" vertical="center"/>
    </xf>
    <xf numFmtId="0" fontId="5" fillId="4" borderId="0" xfId="1" applyFont="1" applyFill="1" applyBorder="1" applyAlignment="1">
      <alignment horizontal="center" vertical="center"/>
    </xf>
    <xf numFmtId="0" fontId="5" fillId="4" borderId="5" xfId="1" applyFont="1" applyFill="1" applyBorder="1" applyAlignment="1">
      <alignment horizontal="center" vertical="center"/>
    </xf>
    <xf numFmtId="0" fontId="6" fillId="0" borderId="4" xfId="1" applyFont="1" applyFill="1" applyBorder="1" applyAlignment="1">
      <alignment horizontal="center" vertical="center"/>
    </xf>
    <xf numFmtId="0" fontId="6" fillId="0" borderId="0" xfId="1" applyFont="1" applyFill="1" applyBorder="1" applyAlignment="1">
      <alignment horizontal="center" vertical="center"/>
    </xf>
    <xf numFmtId="0" fontId="6" fillId="0" borderId="5" xfId="1" applyFont="1" applyFill="1" applyBorder="1" applyAlignment="1">
      <alignment horizontal="center" vertical="center"/>
    </xf>
    <xf numFmtId="0" fontId="4" fillId="0" borderId="0" xfId="1" applyFont="1" applyFill="1" applyBorder="1" applyAlignment="1"/>
    <xf numFmtId="0" fontId="4" fillId="0" borderId="5" xfId="1" applyFont="1" applyFill="1" applyBorder="1" applyAlignment="1"/>
    <xf numFmtId="0" fontId="4" fillId="4" borderId="6" xfId="1" applyFont="1" applyFill="1" applyBorder="1" applyAlignment="1">
      <alignment horizontal="center"/>
    </xf>
    <xf numFmtId="0" fontId="4" fillId="4" borderId="7" xfId="1" applyFont="1" applyFill="1" applyBorder="1" applyAlignment="1">
      <alignment horizontal="center"/>
    </xf>
    <xf numFmtId="0" fontId="4" fillId="4" borderId="8" xfId="1" applyFont="1" applyFill="1" applyBorder="1" applyAlignment="1">
      <alignment horizontal="center"/>
    </xf>
    <xf numFmtId="0" fontId="4" fillId="4" borderId="9" xfId="1" applyFont="1" applyFill="1" applyBorder="1" applyAlignment="1">
      <alignment horizontal="center" vertical="center"/>
    </xf>
    <xf numFmtId="0" fontId="4" fillId="4" borderId="10" xfId="1" applyFont="1" applyFill="1" applyBorder="1" applyAlignment="1">
      <alignment horizontal="center" vertical="center"/>
    </xf>
  </cellXfs>
  <cellStyles count="4">
    <cellStyle name="Hyperlink 2" xfId="2"/>
    <cellStyle name="Normal" xfId="0" builtinId="0"/>
    <cellStyle name="Normal 2 2" xfId="1"/>
    <cellStyle name="一般_L2030511408_中國商标 order form" xfId="3"/>
  </cellStyles>
  <dxfs count="2">
    <dxf>
      <font>
        <color theme="0"/>
      </font>
    </dxf>
    <dxf>
      <alignment horizontal="center"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eri Ridwan@IW" refreshedDate="44869.693797685184" createdVersion="4" refreshedVersion="4" minRefreshableVersion="3" recordCount="32">
  <cacheSource type="worksheet">
    <worksheetSource ref="B1:H19" sheet="LBL PROC CN BD 1026"/>
  </cacheSource>
  <cacheFields count="6">
    <cacheField name="MTL NO" numFmtId="0">
      <sharedItems count="2">
        <s v="W2DW7"/>
        <s v="W2B12"/>
      </sharedItems>
    </cacheField>
    <cacheField name="LABEL_NAME" numFmtId="0">
      <sharedItems/>
    </cacheField>
    <cacheField name="QTY TO BE ORDER" numFmtId="0">
      <sharedItems containsSemiMixedTypes="0" containsString="0" containsNumber="1" containsInteger="1" minValue="240" maxValue="20626"/>
    </cacheField>
    <cacheField name="LOT_NO" numFmtId="0">
      <sharedItems count="16">
        <s v="I3A6602"/>
        <s v="I3A6705"/>
        <s v="I3A7305"/>
        <s v="I3A7701"/>
        <s v="I3A7801"/>
        <s v="I3A9402"/>
        <s v="I3A9404"/>
        <s v="I3A9501"/>
        <s v="I3A6807"/>
        <s v="I3A6902"/>
        <s v="I3A6905"/>
        <s v="I3A7101"/>
        <s v="I3A7102"/>
        <s v="I3A8101"/>
        <s v="I3A8201"/>
        <s v="I3A8802"/>
      </sharedItems>
    </cacheField>
    <cacheField name="RTA" numFmtId="165">
      <sharedItems containsSemiMixedTypes="0" containsNonDate="0" containsDate="1" containsString="0" minDate="2022-11-22T00:00:00" maxDate="2022-12-14T00:00:00" count="4">
        <d v="2022-11-22T00:00:00"/>
        <d v="2022-12-06T00:00:00"/>
        <d v="2022-11-29T00:00:00"/>
        <d v="2022-12-13T00:00:00"/>
      </sharedItems>
    </cacheField>
    <cacheField name="PS_DATE" numFmtId="165">
      <sharedItems containsSemiMixedTypes="0" containsNonDate="0" containsDate="1" containsString="0" minDate="2022-12-02T00:00:00" maxDate="2023-01-03T00:00:00" count="10">
        <d v="2022-12-27T00:00:00"/>
        <d v="2022-12-29T00:00:00"/>
        <d v="2022-12-02T00:00:00"/>
        <d v="2022-12-20T00:00:00"/>
        <d v="2022-12-22T00:00:00"/>
        <d v="2022-12-16T00:00:00"/>
        <d v="2023-01-02T00:00:00"/>
        <d v="2022-12-19T00:00:00"/>
        <d v="2022-12-23T00:00:00"/>
        <d v="2022-12-13T00:00:0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32">
  <r>
    <x v="0"/>
    <s v="CHINA QUALITY QR CODE CERTIFICATE LABEL(SH)"/>
    <n v="863"/>
    <x v="0"/>
    <x v="0"/>
    <x v="0"/>
  </r>
  <r>
    <x v="1"/>
    <s v="CHINA SOCKLINER LABEL(SH)"/>
    <n v="1726"/>
    <x v="0"/>
    <x v="1"/>
    <x v="0"/>
  </r>
  <r>
    <x v="0"/>
    <s v="CHINA QUALITY QR CODE CERTIFICATE LABEL(SH)"/>
    <n v="816"/>
    <x v="1"/>
    <x v="0"/>
    <x v="1"/>
  </r>
  <r>
    <x v="1"/>
    <s v="CHINA SOCKLINER LABEL(SH)"/>
    <n v="1632"/>
    <x v="1"/>
    <x v="1"/>
    <x v="1"/>
  </r>
  <r>
    <x v="0"/>
    <s v="CHINA QUALITY QR CODE CERTIFICATE LABEL(SH)"/>
    <n v="2075"/>
    <x v="2"/>
    <x v="0"/>
    <x v="2"/>
  </r>
  <r>
    <x v="1"/>
    <s v="CHINA SOCKLINER LABEL(SH)"/>
    <n v="4150"/>
    <x v="2"/>
    <x v="0"/>
    <x v="2"/>
  </r>
  <r>
    <x v="0"/>
    <s v="CHINA QUALITY QR CODE CERTIFICATE LABEL(SH)"/>
    <n v="6018"/>
    <x v="3"/>
    <x v="0"/>
    <x v="3"/>
  </r>
  <r>
    <x v="1"/>
    <s v="CHINA SOCKLINER LABEL(SH)"/>
    <n v="12036"/>
    <x v="3"/>
    <x v="1"/>
    <x v="3"/>
  </r>
  <r>
    <x v="0"/>
    <s v="CHINA QUALITY QR CODE CERTIFICATE LABEL(SH)"/>
    <n v="9125"/>
    <x v="4"/>
    <x v="0"/>
    <x v="4"/>
  </r>
  <r>
    <x v="1"/>
    <s v="CHINA SOCKLINER LABEL(SH)"/>
    <n v="18250"/>
    <x v="4"/>
    <x v="1"/>
    <x v="4"/>
  </r>
  <r>
    <x v="0"/>
    <s v="CHINA QUALITY QR CODE CERTIFICATE LABEL(SH)"/>
    <n v="4053"/>
    <x v="5"/>
    <x v="0"/>
    <x v="5"/>
  </r>
  <r>
    <x v="1"/>
    <s v="CHINA SOCKLINER LABEL(SH)"/>
    <n v="8106"/>
    <x v="5"/>
    <x v="2"/>
    <x v="5"/>
  </r>
  <r>
    <x v="0"/>
    <s v="CHINA QUALITY QR CODE CERTIFICATE LABEL(SH)"/>
    <n v="2430"/>
    <x v="6"/>
    <x v="0"/>
    <x v="5"/>
  </r>
  <r>
    <x v="1"/>
    <s v="CHINA SOCKLINER LABEL(SH)"/>
    <n v="4860"/>
    <x v="6"/>
    <x v="2"/>
    <x v="5"/>
  </r>
  <r>
    <x v="0"/>
    <s v="CHINA QUALITY QR CODE CERTIFICATE LABEL(SH)"/>
    <n v="10313"/>
    <x v="7"/>
    <x v="0"/>
    <x v="4"/>
  </r>
  <r>
    <x v="1"/>
    <s v="CHINA SOCKLINER LABEL(SH)"/>
    <n v="20626"/>
    <x v="7"/>
    <x v="1"/>
    <x v="4"/>
  </r>
  <r>
    <x v="0"/>
    <s v="CHINA QUALITY QR CODE CERTIFICATE LABEL(SH)"/>
    <n v="4208"/>
    <x v="8"/>
    <x v="0"/>
    <x v="0"/>
  </r>
  <r>
    <x v="1"/>
    <s v="CHINA SOCKLINER LABEL(SH)"/>
    <n v="8416"/>
    <x v="8"/>
    <x v="1"/>
    <x v="0"/>
  </r>
  <r>
    <x v="0"/>
    <s v="CHINA QUALITY QR CODE CERTIFICATE LABEL(SH)"/>
    <n v="2007"/>
    <x v="9"/>
    <x v="0"/>
    <x v="6"/>
  </r>
  <r>
    <x v="1"/>
    <s v="CHINA SOCKLINER LABEL(SH)"/>
    <n v="4014"/>
    <x v="9"/>
    <x v="3"/>
    <x v="6"/>
  </r>
  <r>
    <x v="0"/>
    <s v="CHINA QUALITY QR CODE CERTIFICATE LABEL(SH)"/>
    <n v="1228"/>
    <x v="10"/>
    <x v="0"/>
    <x v="6"/>
  </r>
  <r>
    <x v="1"/>
    <s v="CHINA SOCKLINER LABEL(SH)"/>
    <n v="2456"/>
    <x v="10"/>
    <x v="3"/>
    <x v="6"/>
  </r>
  <r>
    <x v="0"/>
    <s v="CHINA QUALITY QR CODE CERTIFICATE LABEL(SH)"/>
    <n v="240"/>
    <x v="11"/>
    <x v="0"/>
    <x v="7"/>
  </r>
  <r>
    <x v="1"/>
    <s v="CHINA SOCKLINER LABEL(SH)"/>
    <n v="480"/>
    <x v="11"/>
    <x v="1"/>
    <x v="7"/>
  </r>
  <r>
    <x v="0"/>
    <s v="CHINA QUALITY QR CODE CERTIFICATE LABEL(SH)"/>
    <n v="7760"/>
    <x v="12"/>
    <x v="0"/>
    <x v="7"/>
  </r>
  <r>
    <x v="1"/>
    <s v="CHINA SOCKLINER LABEL(SH)"/>
    <n v="15520"/>
    <x v="12"/>
    <x v="1"/>
    <x v="7"/>
  </r>
  <r>
    <x v="0"/>
    <s v="CHINA QUALITY QR CODE CERTIFICATE LABEL(SH)"/>
    <n v="240"/>
    <x v="13"/>
    <x v="0"/>
    <x v="8"/>
  </r>
  <r>
    <x v="1"/>
    <s v="CHINA SOCKLINER LABEL(SH)"/>
    <n v="480"/>
    <x v="13"/>
    <x v="1"/>
    <x v="8"/>
  </r>
  <r>
    <x v="0"/>
    <s v="CHINA QUALITY QR CODE CERTIFICATE LABEL(SH)"/>
    <n v="3763"/>
    <x v="14"/>
    <x v="0"/>
    <x v="8"/>
  </r>
  <r>
    <x v="1"/>
    <s v="CHINA SOCKLINER LABEL(SH)"/>
    <n v="7526"/>
    <x v="14"/>
    <x v="1"/>
    <x v="8"/>
  </r>
  <r>
    <x v="0"/>
    <s v="CHINA QUALITY QR CODE CERTIFICATE LABEL(SH)"/>
    <n v="817"/>
    <x v="15"/>
    <x v="0"/>
    <x v="9"/>
  </r>
  <r>
    <x v="1"/>
    <s v="CHINA SOCKLINER LABEL(SH)"/>
    <n v="1634"/>
    <x v="15"/>
    <x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4" minRefreshableVersion="3" useAutoFormatting="1" rowGrandTotals="0" itemPrintTitles="1" createdVersion="4" indent="0" compact="0" compactData="0" multipleFieldFilters="0">
  <location ref="B1:F42" firstHeaderRow="1" firstDataRow="1" firstDataCol="4"/>
  <pivotFields count="6">
    <pivotField axis="axisRow" compact="0" outline="0" showAll="0">
      <items count="3">
        <item x="1"/>
        <item x="0"/>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axis="axisRow" compact="0" outline="0" showAll="0" defaultSubtotal="0">
      <items count="16">
        <item x="0"/>
        <item x="1"/>
        <item x="8"/>
        <item x="9"/>
        <item x="10"/>
        <item x="11"/>
        <item x="12"/>
        <item x="2"/>
        <item x="3"/>
        <item x="4"/>
        <item x="13"/>
        <item x="14"/>
        <item x="15"/>
        <item x="5"/>
        <item x="6"/>
        <item x="7"/>
      </items>
      <extLst>
        <ext xmlns:x14="http://schemas.microsoft.com/office/spreadsheetml/2009/9/main" uri="{2946ED86-A175-432a-8AC1-64E0C546D7DE}">
          <x14:pivotField fillDownLabels="1"/>
        </ext>
      </extLst>
    </pivotField>
    <pivotField axis="axisRow" compact="0" numFmtId="165" outline="0" showAll="0">
      <items count="5">
        <item x="0"/>
        <item x="2"/>
        <item x="1"/>
        <item x="3"/>
        <item t="default"/>
      </items>
      <extLst>
        <ext xmlns:x14="http://schemas.microsoft.com/office/spreadsheetml/2009/9/main" uri="{2946ED86-A175-432a-8AC1-64E0C546D7DE}">
          <x14:pivotField fillDownLabels="1"/>
        </ext>
      </extLst>
    </pivotField>
    <pivotField axis="axisRow" compact="0" numFmtId="165" outline="0" showAll="0">
      <items count="11">
        <item x="2"/>
        <item x="9"/>
        <item x="5"/>
        <item x="7"/>
        <item x="3"/>
        <item x="4"/>
        <item x="8"/>
        <item x="0"/>
        <item x="1"/>
        <item x="6"/>
        <item t="default"/>
      </items>
      <extLst>
        <ext xmlns:x14="http://schemas.microsoft.com/office/spreadsheetml/2009/9/main" uri="{2946ED86-A175-432a-8AC1-64E0C546D7DE}">
          <x14:pivotField fillDownLabels="1"/>
        </ext>
      </extLst>
    </pivotField>
  </pivotFields>
  <rowFields count="4">
    <field x="4"/>
    <field x="0"/>
    <field x="3"/>
    <field x="5"/>
  </rowFields>
  <rowItems count="41">
    <i>
      <x/>
      <x/>
      <x v="7"/>
      <x/>
    </i>
    <i t="default" r="1">
      <x/>
    </i>
    <i r="1">
      <x v="1"/>
      <x/>
      <x v="7"/>
    </i>
    <i r="2">
      <x v="1"/>
      <x v="8"/>
    </i>
    <i r="2">
      <x v="2"/>
      <x v="7"/>
    </i>
    <i r="2">
      <x v="3"/>
      <x v="9"/>
    </i>
    <i r="2">
      <x v="4"/>
      <x v="9"/>
    </i>
    <i r="2">
      <x v="5"/>
      <x v="3"/>
    </i>
    <i r="2">
      <x v="6"/>
      <x v="3"/>
    </i>
    <i r="2">
      <x v="7"/>
      <x/>
    </i>
    <i r="2">
      <x v="8"/>
      <x v="4"/>
    </i>
    <i r="2">
      <x v="9"/>
      <x v="5"/>
    </i>
    <i r="2">
      <x v="10"/>
      <x v="6"/>
    </i>
    <i r="2">
      <x v="11"/>
      <x v="6"/>
    </i>
    <i r="2">
      <x v="12"/>
      <x v="1"/>
    </i>
    <i r="2">
      <x v="13"/>
      <x v="2"/>
    </i>
    <i r="2">
      <x v="14"/>
      <x v="2"/>
    </i>
    <i r="2">
      <x v="15"/>
      <x v="5"/>
    </i>
    <i t="default" r="1">
      <x v="1"/>
    </i>
    <i t="default">
      <x/>
    </i>
    <i>
      <x v="1"/>
      <x/>
      <x v="12"/>
      <x v="1"/>
    </i>
    <i r="2">
      <x v="13"/>
      <x v="2"/>
    </i>
    <i r="2">
      <x v="14"/>
      <x v="2"/>
    </i>
    <i t="default" r="1">
      <x/>
    </i>
    <i t="default">
      <x v="1"/>
    </i>
    <i>
      <x v="2"/>
      <x/>
      <x/>
      <x v="7"/>
    </i>
    <i r="2">
      <x v="1"/>
      <x v="8"/>
    </i>
    <i r="2">
      <x v="2"/>
      <x v="7"/>
    </i>
    <i r="2">
      <x v="5"/>
      <x v="3"/>
    </i>
    <i r="2">
      <x v="6"/>
      <x v="3"/>
    </i>
    <i r="2">
      <x v="8"/>
      <x v="4"/>
    </i>
    <i r="2">
      <x v="9"/>
      <x v="5"/>
    </i>
    <i r="2">
      <x v="10"/>
      <x v="6"/>
    </i>
    <i r="2">
      <x v="11"/>
      <x v="6"/>
    </i>
    <i r="2">
      <x v="15"/>
      <x v="5"/>
    </i>
    <i t="default" r="1">
      <x/>
    </i>
    <i t="default">
      <x v="2"/>
    </i>
    <i>
      <x v="3"/>
      <x/>
      <x v="3"/>
      <x v="9"/>
    </i>
    <i r="2">
      <x v="4"/>
      <x v="9"/>
    </i>
    <i t="default" r="1">
      <x/>
    </i>
    <i t="default">
      <x v="3"/>
    </i>
  </rowItems>
  <colItems count="1">
    <i/>
  </colItems>
  <dataFields count="1">
    <dataField name="Sum of QTY TO BE ORDER" fld="2" baseField="0" baseItem="0"/>
  </dataFields>
  <formats count="2">
    <format dxfId="1">
      <pivotArea type="all" dataOnly="0" outline="0" fieldPosition="0"/>
    </format>
    <format dxfId="0">
      <pivotArea dataOnly="0" outline="0" fieldPosition="0">
        <references count="1">
          <reference field="4" count="0" defaultSubtotal="1"/>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0.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2.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4.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5.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6.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7.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8.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_rels/sheet19.xml.rels><?xml version="1.0" encoding="UTF-8" standalone="yes"?>
<Relationships xmlns="http://schemas.openxmlformats.org/package/2006/relationships"><Relationship Id="rId2" Type="http://schemas.openxmlformats.org/officeDocument/2006/relationships/hyperlink" Target="mailto:rudy.noer@fengtay.com" TargetMode="External"/><Relationship Id="rId1" Type="http://schemas.openxmlformats.org/officeDocument/2006/relationships/hyperlink" Target="mailto:jenny@yy-dc.com.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19"/>
  <sheetViews>
    <sheetView tabSelected="1" workbookViewId="0">
      <selection activeCell="BL1" sqref="BL1:BL1048576"/>
    </sheetView>
  </sheetViews>
  <sheetFormatPr defaultRowHeight="14.25"/>
  <cols>
    <col min="2" max="2" width="8" customWidth="1"/>
    <col min="3" max="3" width="19.3984375" style="3" customWidth="1"/>
    <col min="4" max="4" width="44.59765625" customWidth="1"/>
    <col min="5" max="5" width="8.265625" customWidth="1"/>
    <col min="6" max="6" width="8.1328125" bestFit="1" customWidth="1"/>
    <col min="7" max="8" width="10.73046875" bestFit="1" customWidth="1"/>
    <col min="9" max="9" width="6" style="3" bestFit="1" customWidth="1"/>
    <col min="10" max="10" width="11" style="3" bestFit="1" customWidth="1"/>
    <col min="11" max="11" width="8.86328125" style="3" bestFit="1" customWidth="1"/>
    <col min="12" max="12" width="8.265625" style="3" customWidth="1"/>
    <col min="13" max="13" width="11.3984375" bestFit="1" customWidth="1"/>
    <col min="14" max="14" width="26.59765625" customWidth="1"/>
    <col min="15" max="15" width="65.265625" customWidth="1"/>
    <col min="16" max="16" width="9.73046875" customWidth="1"/>
    <col min="17" max="17" width="9.59765625" customWidth="1"/>
    <col min="18" max="18" width="8.73046875" bestFit="1" customWidth="1"/>
    <col min="19" max="19" width="8.3984375" style="3" customWidth="1"/>
    <col min="20" max="20" width="10.1328125" customWidth="1"/>
    <col min="21" max="21" width="8.3984375" customWidth="1"/>
    <col min="22" max="22" width="6.73046875" customWidth="1"/>
    <col min="23" max="23" width="19" customWidth="1"/>
    <col min="24" max="24" width="5.86328125" customWidth="1"/>
    <col min="25" max="25" width="5" customWidth="1"/>
    <col min="26" max="26" width="3.59765625" customWidth="1"/>
    <col min="27" max="27" width="5" customWidth="1"/>
    <col min="28" max="28" width="3.59765625" customWidth="1"/>
    <col min="29" max="37" width="5" customWidth="1"/>
    <col min="38" max="38" width="3.59765625" customWidth="1"/>
    <col min="39" max="39" width="4" customWidth="1"/>
    <col min="40" max="40" width="3.59765625" customWidth="1"/>
    <col min="41" max="41" width="4" customWidth="1"/>
    <col min="42" max="42" width="3.59765625" customWidth="1"/>
    <col min="43" max="43" width="4" customWidth="1"/>
    <col min="44" max="44" width="4.59765625" customWidth="1"/>
    <col min="45" max="45" width="5" customWidth="1"/>
    <col min="46" max="46" width="4.59765625" customWidth="1"/>
    <col min="47" max="47" width="5" customWidth="1"/>
    <col min="48" max="48" width="4.59765625" customWidth="1"/>
    <col min="49" max="49" width="5" customWidth="1"/>
    <col min="50" max="50" width="4.59765625" customWidth="1"/>
    <col min="51" max="51" width="3" customWidth="1"/>
    <col min="52" max="52" width="4.59765625" customWidth="1"/>
    <col min="53" max="53" width="3" customWidth="1"/>
    <col min="54" max="54" width="4.59765625" customWidth="1"/>
    <col min="55" max="55" width="3" customWidth="1"/>
    <col min="56" max="56" width="4.59765625" customWidth="1"/>
    <col min="57" max="63" width="6.3984375" customWidth="1"/>
    <col min="64" max="70" width="9.1328125" customWidth="1"/>
  </cols>
  <sheetData>
    <row r="1" spans="1:63" ht="42.75">
      <c r="A1" t="s">
        <v>227</v>
      </c>
      <c r="B1" s="5" t="s">
        <v>11</v>
      </c>
      <c r="C1" s="6" t="s">
        <v>241</v>
      </c>
      <c r="D1" s="5" t="s">
        <v>10</v>
      </c>
      <c r="E1" s="4" t="s">
        <v>59</v>
      </c>
      <c r="F1" s="5" t="s">
        <v>5</v>
      </c>
      <c r="G1" s="5" t="s">
        <v>8</v>
      </c>
      <c r="H1" s="5" t="s">
        <v>15</v>
      </c>
      <c r="I1" s="6" t="s">
        <v>0</v>
      </c>
      <c r="J1" s="6" t="s">
        <v>1</v>
      </c>
      <c r="K1" s="6" t="s">
        <v>2</v>
      </c>
      <c r="L1" s="6" t="s">
        <v>13</v>
      </c>
      <c r="M1" s="5" t="s">
        <v>3</v>
      </c>
      <c r="N1" s="5" t="s">
        <v>4</v>
      </c>
      <c r="O1" s="84" t="s">
        <v>18</v>
      </c>
      <c r="P1" s="84" t="s">
        <v>117</v>
      </c>
      <c r="Q1" s="84" t="s">
        <v>118</v>
      </c>
      <c r="R1" s="84" t="s">
        <v>12</v>
      </c>
      <c r="S1" s="6" t="s">
        <v>6</v>
      </c>
      <c r="T1" s="5" t="s">
        <v>7</v>
      </c>
      <c r="U1" s="5" t="s">
        <v>9</v>
      </c>
      <c r="V1" s="5" t="s">
        <v>14</v>
      </c>
      <c r="W1" s="5" t="s">
        <v>16</v>
      </c>
      <c r="X1" s="1" t="s">
        <v>17</v>
      </c>
      <c r="Y1" s="1">
        <v>1</v>
      </c>
      <c r="Z1" s="1">
        <v>1.5</v>
      </c>
      <c r="AA1" s="1">
        <v>2</v>
      </c>
      <c r="AB1" s="1">
        <v>2.5</v>
      </c>
      <c r="AC1" s="1">
        <v>3</v>
      </c>
      <c r="AD1" s="1">
        <v>3.5</v>
      </c>
      <c r="AE1" s="1">
        <v>4</v>
      </c>
      <c r="AF1" s="1">
        <v>4.5</v>
      </c>
      <c r="AG1" s="1">
        <v>5</v>
      </c>
      <c r="AH1" s="1">
        <v>5.5</v>
      </c>
      <c r="AI1" s="1">
        <v>6</v>
      </c>
      <c r="AJ1" s="1">
        <v>6.5</v>
      </c>
      <c r="AK1" s="1">
        <v>7</v>
      </c>
      <c r="AL1" s="1">
        <v>7.5</v>
      </c>
      <c r="AM1" s="1">
        <v>8</v>
      </c>
      <c r="AN1" s="1">
        <v>8.5</v>
      </c>
      <c r="AO1" s="1">
        <v>9</v>
      </c>
      <c r="AP1" s="1">
        <v>9.5</v>
      </c>
      <c r="AQ1" s="1">
        <v>10</v>
      </c>
      <c r="AR1" s="1">
        <v>10.5</v>
      </c>
      <c r="AS1" s="1">
        <v>11</v>
      </c>
      <c r="AT1" s="1">
        <v>11.5</v>
      </c>
      <c r="AU1" s="1">
        <v>12</v>
      </c>
      <c r="AV1" s="1">
        <v>12.5</v>
      </c>
      <c r="AW1" s="1">
        <v>13</v>
      </c>
      <c r="AX1" s="1">
        <v>13.5</v>
      </c>
      <c r="AY1" s="1">
        <v>14</v>
      </c>
      <c r="AZ1" s="1">
        <v>14.5</v>
      </c>
      <c r="BA1" s="1">
        <v>15</v>
      </c>
      <c r="BB1" s="1">
        <v>15.5</v>
      </c>
      <c r="BC1" s="1">
        <v>16</v>
      </c>
      <c r="BD1" s="1">
        <v>16.5</v>
      </c>
      <c r="BE1" s="1">
        <v>17</v>
      </c>
      <c r="BF1" s="1">
        <v>17.5</v>
      </c>
      <c r="BG1" s="1">
        <v>18</v>
      </c>
      <c r="BH1" s="1">
        <v>18.5</v>
      </c>
      <c r="BI1" s="1">
        <v>19</v>
      </c>
      <c r="BJ1" s="1">
        <v>19.5</v>
      </c>
      <c r="BK1" s="1">
        <v>20</v>
      </c>
    </row>
    <row r="2" spans="1:63">
      <c r="A2" s="3" t="s">
        <v>236</v>
      </c>
      <c r="B2" t="s">
        <v>25</v>
      </c>
      <c r="C2" s="3" t="s">
        <v>240</v>
      </c>
      <c r="D2" t="s">
        <v>24</v>
      </c>
      <c r="E2" s="3">
        <v>863</v>
      </c>
      <c r="F2" t="s">
        <v>46</v>
      </c>
      <c r="G2" s="108">
        <v>44887</v>
      </c>
      <c r="H2" s="107">
        <v>44922</v>
      </c>
      <c r="I2" s="3">
        <v>3</v>
      </c>
      <c r="J2" s="3">
        <v>6000232854</v>
      </c>
      <c r="K2" s="3">
        <v>100</v>
      </c>
      <c r="L2" s="3">
        <v>863</v>
      </c>
      <c r="M2" t="s">
        <v>44</v>
      </c>
      <c r="N2" t="s">
        <v>45</v>
      </c>
      <c r="O2" t="s">
        <v>105</v>
      </c>
      <c r="P2" s="3" t="s">
        <v>164</v>
      </c>
      <c r="Q2" s="3" t="s">
        <v>166</v>
      </c>
      <c r="R2" s="2">
        <v>44947</v>
      </c>
      <c r="S2" s="3">
        <v>1039</v>
      </c>
      <c r="T2" t="s">
        <v>22</v>
      </c>
      <c r="U2" t="s">
        <v>23</v>
      </c>
      <c r="V2">
        <v>1039</v>
      </c>
      <c r="W2" t="s">
        <v>26</v>
      </c>
      <c r="AG2">
        <v>26</v>
      </c>
      <c r="AI2">
        <v>52</v>
      </c>
      <c r="AK2">
        <v>112</v>
      </c>
      <c r="AM2">
        <v>171</v>
      </c>
      <c r="AO2">
        <v>211</v>
      </c>
      <c r="AQ2">
        <v>291</v>
      </c>
    </row>
    <row r="3" spans="1:63">
      <c r="A3" s="3" t="s">
        <v>236</v>
      </c>
      <c r="B3" t="s">
        <v>25</v>
      </c>
      <c r="C3" s="3" t="s">
        <v>240</v>
      </c>
      <c r="D3" t="s">
        <v>24</v>
      </c>
      <c r="E3" s="3">
        <v>816</v>
      </c>
      <c r="F3" t="s">
        <v>57</v>
      </c>
      <c r="G3" s="108">
        <v>44887</v>
      </c>
      <c r="H3" s="107">
        <v>44924</v>
      </c>
      <c r="I3" s="3">
        <v>3</v>
      </c>
      <c r="J3" s="3">
        <v>6000232843</v>
      </c>
      <c r="K3" s="3">
        <v>100</v>
      </c>
      <c r="L3" s="3">
        <v>816</v>
      </c>
      <c r="M3" t="s">
        <v>56</v>
      </c>
      <c r="N3" t="s">
        <v>45</v>
      </c>
      <c r="O3" t="s">
        <v>105</v>
      </c>
      <c r="P3" s="3" t="s">
        <v>164</v>
      </c>
      <c r="Q3" s="3" t="s">
        <v>166</v>
      </c>
      <c r="R3" s="2">
        <v>44954</v>
      </c>
      <c r="S3" s="3">
        <v>1025</v>
      </c>
      <c r="T3" t="s">
        <v>22</v>
      </c>
      <c r="U3" t="s">
        <v>23</v>
      </c>
      <c r="V3">
        <v>1025</v>
      </c>
      <c r="W3" t="s">
        <v>30</v>
      </c>
      <c r="AG3">
        <v>13</v>
      </c>
      <c r="AI3">
        <v>50</v>
      </c>
      <c r="AK3">
        <v>117</v>
      </c>
      <c r="AM3">
        <v>181</v>
      </c>
      <c r="AO3">
        <v>203</v>
      </c>
      <c r="AQ3">
        <v>252</v>
      </c>
    </row>
    <row r="4" spans="1:63">
      <c r="A4" s="3" t="s">
        <v>236</v>
      </c>
      <c r="B4" t="s">
        <v>25</v>
      </c>
      <c r="C4" s="3" t="s">
        <v>240</v>
      </c>
      <c r="D4" t="s">
        <v>24</v>
      </c>
      <c r="E4" s="3">
        <v>2075</v>
      </c>
      <c r="F4" t="s">
        <v>42</v>
      </c>
      <c r="G4" s="108">
        <v>44887</v>
      </c>
      <c r="H4" s="107">
        <v>44897</v>
      </c>
      <c r="I4" s="3">
        <v>5</v>
      </c>
      <c r="J4" s="3">
        <v>6000232858</v>
      </c>
      <c r="K4" s="3">
        <v>100</v>
      </c>
      <c r="L4" s="3">
        <v>2075</v>
      </c>
      <c r="M4" t="s">
        <v>41</v>
      </c>
      <c r="N4" t="s">
        <v>28</v>
      </c>
      <c r="O4" t="s">
        <v>159</v>
      </c>
      <c r="P4" s="3" t="s">
        <v>167</v>
      </c>
      <c r="Q4" s="3" t="s">
        <v>166</v>
      </c>
      <c r="R4" s="2">
        <v>44961</v>
      </c>
      <c r="S4" s="3">
        <v>1039</v>
      </c>
      <c r="T4" t="s">
        <v>22</v>
      </c>
      <c r="U4" t="s">
        <v>23</v>
      </c>
      <c r="V4">
        <v>1039</v>
      </c>
      <c r="W4" t="s">
        <v>26</v>
      </c>
      <c r="AD4">
        <v>252</v>
      </c>
      <c r="AE4">
        <v>295</v>
      </c>
      <c r="AF4">
        <v>327</v>
      </c>
      <c r="AG4">
        <v>425</v>
      </c>
      <c r="AH4">
        <v>271</v>
      </c>
      <c r="AI4">
        <v>170</v>
      </c>
      <c r="AJ4">
        <v>197</v>
      </c>
      <c r="AK4">
        <v>138</v>
      </c>
    </row>
    <row r="5" spans="1:63">
      <c r="A5" s="3" t="s">
        <v>236</v>
      </c>
      <c r="B5" t="s">
        <v>25</v>
      </c>
      <c r="C5" s="3" t="s">
        <v>240</v>
      </c>
      <c r="D5" t="s">
        <v>24</v>
      </c>
      <c r="E5" s="3">
        <v>6018</v>
      </c>
      <c r="F5" t="s">
        <v>29</v>
      </c>
      <c r="G5" s="108">
        <v>44887</v>
      </c>
      <c r="H5" s="107">
        <v>44915</v>
      </c>
      <c r="I5" s="3">
        <v>5</v>
      </c>
      <c r="J5" s="3">
        <v>6000232845</v>
      </c>
      <c r="K5" s="3">
        <v>100</v>
      </c>
      <c r="L5" s="3">
        <v>6018</v>
      </c>
      <c r="M5" t="s">
        <v>27</v>
      </c>
      <c r="N5" t="s">
        <v>28</v>
      </c>
      <c r="O5" t="s">
        <v>159</v>
      </c>
      <c r="P5" s="3" t="s">
        <v>167</v>
      </c>
      <c r="Q5" s="3" t="s">
        <v>166</v>
      </c>
      <c r="R5" s="2">
        <v>44961</v>
      </c>
      <c r="S5" s="3">
        <v>1025</v>
      </c>
      <c r="T5" t="s">
        <v>22</v>
      </c>
      <c r="U5" t="s">
        <v>23</v>
      </c>
      <c r="V5">
        <v>1025</v>
      </c>
      <c r="W5" t="s">
        <v>30</v>
      </c>
      <c r="AD5">
        <v>339</v>
      </c>
      <c r="AE5">
        <v>1189</v>
      </c>
      <c r="AF5">
        <v>610</v>
      </c>
      <c r="AG5">
        <v>1468</v>
      </c>
      <c r="AH5">
        <v>610</v>
      </c>
      <c r="AI5">
        <v>975</v>
      </c>
      <c r="AJ5">
        <v>257</v>
      </c>
      <c r="AK5">
        <v>570</v>
      </c>
    </row>
    <row r="6" spans="1:63">
      <c r="A6" s="3" t="s">
        <v>236</v>
      </c>
      <c r="B6" t="s">
        <v>25</v>
      </c>
      <c r="C6" s="3" t="s">
        <v>240</v>
      </c>
      <c r="D6" t="s">
        <v>24</v>
      </c>
      <c r="E6" s="3">
        <v>9125</v>
      </c>
      <c r="F6" t="s">
        <v>51</v>
      </c>
      <c r="G6" s="108">
        <v>44887</v>
      </c>
      <c r="H6" s="107">
        <v>44917</v>
      </c>
      <c r="I6" s="3">
        <v>5</v>
      </c>
      <c r="J6" s="3">
        <v>6000232858</v>
      </c>
      <c r="K6" s="3">
        <v>200</v>
      </c>
      <c r="L6" s="3">
        <v>9125</v>
      </c>
      <c r="M6" t="s">
        <v>27</v>
      </c>
      <c r="N6" t="s">
        <v>28</v>
      </c>
      <c r="O6" t="s">
        <v>159</v>
      </c>
      <c r="P6" s="3" t="s">
        <v>167</v>
      </c>
      <c r="Q6" s="3" t="s">
        <v>166</v>
      </c>
      <c r="R6" s="2">
        <v>44961</v>
      </c>
      <c r="S6" s="3">
        <v>1039</v>
      </c>
      <c r="T6" t="s">
        <v>22</v>
      </c>
      <c r="U6" t="s">
        <v>23</v>
      </c>
      <c r="V6">
        <v>1039</v>
      </c>
      <c r="W6" t="s">
        <v>26</v>
      </c>
      <c r="AD6">
        <v>1104</v>
      </c>
      <c r="AE6">
        <v>1294</v>
      </c>
      <c r="AF6">
        <v>1425</v>
      </c>
      <c r="AG6">
        <v>1851</v>
      </c>
      <c r="AH6">
        <v>1189</v>
      </c>
      <c r="AI6">
        <v>754</v>
      </c>
      <c r="AJ6">
        <v>866</v>
      </c>
      <c r="AK6">
        <v>642</v>
      </c>
    </row>
    <row r="7" spans="1:63">
      <c r="A7" s="3" t="s">
        <v>236</v>
      </c>
      <c r="B7" t="s">
        <v>25</v>
      </c>
      <c r="C7" s="3" t="s">
        <v>240</v>
      </c>
      <c r="D7" t="s">
        <v>24</v>
      </c>
      <c r="E7" s="3">
        <v>4053</v>
      </c>
      <c r="F7" t="s">
        <v>43</v>
      </c>
      <c r="G7" s="108">
        <v>44887</v>
      </c>
      <c r="H7" s="107">
        <v>44911</v>
      </c>
      <c r="I7" s="3">
        <v>4</v>
      </c>
      <c r="J7" s="3">
        <v>6000232865</v>
      </c>
      <c r="K7" s="3">
        <v>100</v>
      </c>
      <c r="L7" s="3">
        <v>4053</v>
      </c>
      <c r="M7" t="s">
        <v>37</v>
      </c>
      <c r="N7" t="s">
        <v>38</v>
      </c>
      <c r="O7" t="s">
        <v>160</v>
      </c>
      <c r="P7" s="3" t="s">
        <v>167</v>
      </c>
      <c r="Q7" s="3" t="s">
        <v>166</v>
      </c>
      <c r="R7" s="2">
        <v>44954</v>
      </c>
      <c r="S7" s="3">
        <v>1039</v>
      </c>
      <c r="T7" t="s">
        <v>22</v>
      </c>
      <c r="U7" t="s">
        <v>23</v>
      </c>
      <c r="V7">
        <v>1039</v>
      </c>
      <c r="W7" t="s">
        <v>26</v>
      </c>
      <c r="AD7">
        <v>494</v>
      </c>
      <c r="AE7">
        <v>576</v>
      </c>
      <c r="AF7">
        <v>637</v>
      </c>
      <c r="AG7">
        <v>829</v>
      </c>
      <c r="AH7">
        <v>530</v>
      </c>
      <c r="AI7">
        <v>333</v>
      </c>
      <c r="AJ7">
        <v>384</v>
      </c>
      <c r="AK7">
        <v>270</v>
      </c>
    </row>
    <row r="8" spans="1:63">
      <c r="A8" s="3" t="s">
        <v>236</v>
      </c>
      <c r="B8" t="s">
        <v>25</v>
      </c>
      <c r="C8" s="3" t="s">
        <v>240</v>
      </c>
      <c r="D8" t="s">
        <v>24</v>
      </c>
      <c r="E8" s="3">
        <v>2430</v>
      </c>
      <c r="F8" t="s">
        <v>54</v>
      </c>
      <c r="G8" s="108">
        <v>44887</v>
      </c>
      <c r="H8" s="107">
        <v>44911</v>
      </c>
      <c r="I8" s="3">
        <v>4</v>
      </c>
      <c r="J8" s="3">
        <v>6000232865</v>
      </c>
      <c r="K8" s="3">
        <v>200</v>
      </c>
      <c r="L8" s="3">
        <v>2430</v>
      </c>
      <c r="M8" t="s">
        <v>37</v>
      </c>
      <c r="N8" t="s">
        <v>38</v>
      </c>
      <c r="O8" t="s">
        <v>160</v>
      </c>
      <c r="P8" s="3" t="s">
        <v>167</v>
      </c>
      <c r="Q8" s="3" t="s">
        <v>166</v>
      </c>
      <c r="R8" s="2">
        <v>44961</v>
      </c>
      <c r="S8" s="3">
        <v>1039</v>
      </c>
      <c r="T8" t="s">
        <v>22</v>
      </c>
      <c r="U8" t="s">
        <v>23</v>
      </c>
      <c r="V8">
        <v>1039</v>
      </c>
      <c r="W8" t="s">
        <v>26</v>
      </c>
      <c r="AD8">
        <v>289</v>
      </c>
      <c r="AE8">
        <v>342</v>
      </c>
      <c r="AF8">
        <v>372</v>
      </c>
      <c r="AG8">
        <v>481</v>
      </c>
      <c r="AH8">
        <v>314</v>
      </c>
      <c r="AI8">
        <v>205</v>
      </c>
      <c r="AJ8">
        <v>231</v>
      </c>
      <c r="AK8">
        <v>196</v>
      </c>
    </row>
    <row r="9" spans="1:63">
      <c r="A9" s="3" t="s">
        <v>236</v>
      </c>
      <c r="B9" t="s">
        <v>25</v>
      </c>
      <c r="C9" s="3" t="s">
        <v>240</v>
      </c>
      <c r="D9" t="s">
        <v>24</v>
      </c>
      <c r="E9" s="3">
        <v>10313</v>
      </c>
      <c r="F9" t="s">
        <v>39</v>
      </c>
      <c r="G9" s="108">
        <v>44887</v>
      </c>
      <c r="H9" s="107">
        <v>44917</v>
      </c>
      <c r="I9" s="3">
        <v>4</v>
      </c>
      <c r="J9" s="3">
        <v>6000232853</v>
      </c>
      <c r="K9" s="3">
        <v>100</v>
      </c>
      <c r="L9" s="3">
        <v>10313</v>
      </c>
      <c r="M9" t="s">
        <v>37</v>
      </c>
      <c r="N9" t="s">
        <v>38</v>
      </c>
      <c r="O9" t="s">
        <v>160</v>
      </c>
      <c r="P9" s="3" t="s">
        <v>167</v>
      </c>
      <c r="Q9" s="3" t="s">
        <v>166</v>
      </c>
      <c r="R9" s="2">
        <v>44954</v>
      </c>
      <c r="S9" s="3">
        <v>1025</v>
      </c>
      <c r="T9" t="s">
        <v>22</v>
      </c>
      <c r="U9" t="s">
        <v>23</v>
      </c>
      <c r="V9">
        <v>1025</v>
      </c>
      <c r="W9" t="s">
        <v>30</v>
      </c>
      <c r="AD9">
        <v>342</v>
      </c>
      <c r="AE9">
        <v>1809</v>
      </c>
      <c r="AF9">
        <v>757</v>
      </c>
      <c r="AG9">
        <v>2655</v>
      </c>
      <c r="AH9">
        <v>778</v>
      </c>
      <c r="AI9">
        <v>2193</v>
      </c>
      <c r="AJ9">
        <v>278</v>
      </c>
      <c r="AK9">
        <v>1501</v>
      </c>
    </row>
    <row r="10" spans="1:63">
      <c r="A10" s="3" t="s">
        <v>236</v>
      </c>
      <c r="B10" t="s">
        <v>25</v>
      </c>
      <c r="C10" s="3" t="s">
        <v>240</v>
      </c>
      <c r="D10" t="s">
        <v>24</v>
      </c>
      <c r="E10" s="3">
        <v>4208</v>
      </c>
      <c r="F10" t="s">
        <v>49</v>
      </c>
      <c r="G10" s="108">
        <v>44887</v>
      </c>
      <c r="H10" s="107">
        <v>44922</v>
      </c>
      <c r="I10" s="3">
        <v>2</v>
      </c>
      <c r="J10" s="3">
        <v>6000232855</v>
      </c>
      <c r="K10" s="3">
        <v>100</v>
      </c>
      <c r="L10" s="3">
        <v>4208</v>
      </c>
      <c r="M10" t="s">
        <v>47</v>
      </c>
      <c r="N10" t="s">
        <v>48</v>
      </c>
      <c r="O10" t="s">
        <v>105</v>
      </c>
      <c r="P10" s="3" t="s">
        <v>168</v>
      </c>
      <c r="Q10" s="3" t="s">
        <v>166</v>
      </c>
      <c r="R10" s="2">
        <v>44954</v>
      </c>
      <c r="S10" s="3">
        <v>1039</v>
      </c>
      <c r="T10" t="s">
        <v>22</v>
      </c>
      <c r="U10" t="s">
        <v>23</v>
      </c>
      <c r="V10">
        <v>1039</v>
      </c>
      <c r="W10" t="s">
        <v>26</v>
      </c>
      <c r="Y10">
        <v>463</v>
      </c>
      <c r="AA10">
        <v>505</v>
      </c>
      <c r="AC10">
        <v>547</v>
      </c>
      <c r="AE10">
        <v>421</v>
      </c>
      <c r="AG10">
        <v>505</v>
      </c>
      <c r="AI10">
        <v>505</v>
      </c>
      <c r="AS10">
        <v>336</v>
      </c>
      <c r="AU10">
        <v>463</v>
      </c>
      <c r="AW10">
        <v>463</v>
      </c>
    </row>
    <row r="11" spans="1:63">
      <c r="A11" s="3" t="s">
        <v>236</v>
      </c>
      <c r="B11" t="s">
        <v>25</v>
      </c>
      <c r="C11" s="3" t="s">
        <v>240</v>
      </c>
      <c r="D11" t="s">
        <v>24</v>
      </c>
      <c r="E11" s="3">
        <v>2007</v>
      </c>
      <c r="F11" t="s">
        <v>53</v>
      </c>
      <c r="G11" s="108">
        <v>44887</v>
      </c>
      <c r="H11" s="107">
        <v>44928</v>
      </c>
      <c r="I11" s="3">
        <v>2</v>
      </c>
      <c r="J11" s="3">
        <v>6000232844</v>
      </c>
      <c r="K11" s="3">
        <v>100</v>
      </c>
      <c r="L11" s="3">
        <v>2007</v>
      </c>
      <c r="M11" t="s">
        <v>52</v>
      </c>
      <c r="N11" t="s">
        <v>48</v>
      </c>
      <c r="O11" t="s">
        <v>105</v>
      </c>
      <c r="P11" s="3" t="s">
        <v>168</v>
      </c>
      <c r="Q11" s="3" t="s">
        <v>166</v>
      </c>
      <c r="R11" s="2">
        <v>44947</v>
      </c>
      <c r="S11" s="3">
        <v>1025</v>
      </c>
      <c r="T11" t="s">
        <v>22</v>
      </c>
      <c r="U11" t="s">
        <v>23</v>
      </c>
      <c r="V11">
        <v>1025</v>
      </c>
      <c r="W11" t="s">
        <v>30</v>
      </c>
      <c r="Y11">
        <v>348</v>
      </c>
      <c r="AA11">
        <v>317</v>
      </c>
      <c r="AC11">
        <v>304</v>
      </c>
      <c r="AE11">
        <v>83</v>
      </c>
      <c r="AG11">
        <v>91</v>
      </c>
      <c r="AI11">
        <v>68</v>
      </c>
      <c r="AS11">
        <v>213</v>
      </c>
      <c r="AU11">
        <v>278</v>
      </c>
      <c r="AW11">
        <v>305</v>
      </c>
    </row>
    <row r="12" spans="1:63">
      <c r="A12" s="3" t="s">
        <v>236</v>
      </c>
      <c r="B12" t="s">
        <v>25</v>
      </c>
      <c r="C12" s="3" t="s">
        <v>240</v>
      </c>
      <c r="D12" t="s">
        <v>24</v>
      </c>
      <c r="E12" s="3">
        <v>1228</v>
      </c>
      <c r="F12" t="s">
        <v>58</v>
      </c>
      <c r="G12" s="108">
        <v>44887</v>
      </c>
      <c r="H12" s="107">
        <v>44928</v>
      </c>
      <c r="I12" s="3">
        <v>2</v>
      </c>
      <c r="J12" s="3">
        <v>6000232855</v>
      </c>
      <c r="K12" s="3">
        <v>200</v>
      </c>
      <c r="L12" s="3">
        <v>1228</v>
      </c>
      <c r="M12" t="s">
        <v>52</v>
      </c>
      <c r="N12" t="s">
        <v>48</v>
      </c>
      <c r="O12" t="s">
        <v>105</v>
      </c>
      <c r="P12" s="3" t="s">
        <v>168</v>
      </c>
      <c r="Q12" s="3" t="s">
        <v>166</v>
      </c>
      <c r="R12" s="2">
        <v>44954</v>
      </c>
      <c r="S12" s="3">
        <v>1039</v>
      </c>
      <c r="T12" t="s">
        <v>22</v>
      </c>
      <c r="U12" t="s">
        <v>23</v>
      </c>
      <c r="V12">
        <v>1039</v>
      </c>
      <c r="W12" t="s">
        <v>26</v>
      </c>
      <c r="Y12">
        <v>135</v>
      </c>
      <c r="AA12">
        <v>148</v>
      </c>
      <c r="AC12">
        <v>159</v>
      </c>
      <c r="AE12">
        <v>123</v>
      </c>
      <c r="AG12">
        <v>148</v>
      </c>
      <c r="AI12">
        <v>147</v>
      </c>
      <c r="AS12">
        <v>98</v>
      </c>
      <c r="AU12">
        <v>135</v>
      </c>
      <c r="AW12">
        <v>135</v>
      </c>
    </row>
    <row r="13" spans="1:63">
      <c r="A13" s="3" t="s">
        <v>236</v>
      </c>
      <c r="B13" t="s">
        <v>25</v>
      </c>
      <c r="C13" s="3" t="s">
        <v>240</v>
      </c>
      <c r="D13" t="s">
        <v>24</v>
      </c>
      <c r="E13" s="3">
        <v>240</v>
      </c>
      <c r="F13" t="s">
        <v>50</v>
      </c>
      <c r="G13" s="108">
        <v>44887</v>
      </c>
      <c r="H13" s="107">
        <v>44914</v>
      </c>
      <c r="I13" s="3">
        <v>9</v>
      </c>
      <c r="J13" s="3">
        <v>6000232857</v>
      </c>
      <c r="K13" s="3">
        <v>100</v>
      </c>
      <c r="L13" s="3">
        <v>240</v>
      </c>
      <c r="M13" t="s">
        <v>19</v>
      </c>
      <c r="N13" t="s">
        <v>20</v>
      </c>
      <c r="O13" t="s">
        <v>161</v>
      </c>
      <c r="P13" s="3" t="s">
        <v>169</v>
      </c>
      <c r="Q13" s="3" t="s">
        <v>165</v>
      </c>
      <c r="R13" s="2">
        <v>44947</v>
      </c>
      <c r="S13" s="3">
        <v>1039</v>
      </c>
      <c r="T13" t="s">
        <v>22</v>
      </c>
      <c r="U13" t="s">
        <v>23</v>
      </c>
      <c r="V13">
        <v>1039</v>
      </c>
      <c r="W13" t="s">
        <v>26</v>
      </c>
      <c r="Y13">
        <v>38</v>
      </c>
      <c r="AA13">
        <v>56</v>
      </c>
      <c r="AC13">
        <v>52</v>
      </c>
      <c r="AS13">
        <v>29</v>
      </c>
      <c r="AU13">
        <v>30</v>
      </c>
      <c r="AW13">
        <v>35</v>
      </c>
    </row>
    <row r="14" spans="1:63">
      <c r="A14" s="3" t="s">
        <v>236</v>
      </c>
      <c r="B14" t="s">
        <v>25</v>
      </c>
      <c r="C14" s="3" t="s">
        <v>240</v>
      </c>
      <c r="D14" t="s">
        <v>24</v>
      </c>
      <c r="E14" s="3">
        <v>7760</v>
      </c>
      <c r="F14" t="s">
        <v>21</v>
      </c>
      <c r="G14" s="108">
        <v>44887</v>
      </c>
      <c r="H14" s="107">
        <v>44914</v>
      </c>
      <c r="I14" s="3">
        <v>9</v>
      </c>
      <c r="J14" s="3">
        <v>6000232857</v>
      </c>
      <c r="K14" s="3">
        <v>200</v>
      </c>
      <c r="L14" s="3">
        <v>7760</v>
      </c>
      <c r="M14" t="s">
        <v>19</v>
      </c>
      <c r="N14" t="s">
        <v>20</v>
      </c>
      <c r="O14" t="s">
        <v>161</v>
      </c>
      <c r="P14" s="3" t="s">
        <v>169</v>
      </c>
      <c r="Q14" s="3" t="s">
        <v>165</v>
      </c>
      <c r="R14" s="2">
        <v>44961</v>
      </c>
      <c r="S14" s="3">
        <v>1039</v>
      </c>
      <c r="T14" t="s">
        <v>22</v>
      </c>
      <c r="U14" t="s">
        <v>23</v>
      </c>
      <c r="V14">
        <v>1039</v>
      </c>
      <c r="W14" t="s">
        <v>26</v>
      </c>
      <c r="Y14">
        <v>1235</v>
      </c>
      <c r="AA14">
        <v>1817</v>
      </c>
      <c r="AC14">
        <v>1697</v>
      </c>
      <c r="AS14">
        <v>942</v>
      </c>
      <c r="AU14">
        <v>960</v>
      </c>
      <c r="AW14">
        <v>1109</v>
      </c>
    </row>
    <row r="15" spans="1:63">
      <c r="A15" s="3" t="s">
        <v>236</v>
      </c>
      <c r="B15" t="s">
        <v>25</v>
      </c>
      <c r="C15" s="3" t="s">
        <v>240</v>
      </c>
      <c r="D15" t="s">
        <v>24</v>
      </c>
      <c r="E15" s="3">
        <v>240</v>
      </c>
      <c r="F15" t="s">
        <v>33</v>
      </c>
      <c r="G15" s="108">
        <v>44887</v>
      </c>
      <c r="H15" s="107">
        <v>44918</v>
      </c>
      <c r="I15" s="3">
        <v>9</v>
      </c>
      <c r="J15" s="3">
        <v>6000232859</v>
      </c>
      <c r="K15" s="3">
        <v>100</v>
      </c>
      <c r="L15" s="3">
        <v>240</v>
      </c>
      <c r="M15" t="s">
        <v>31</v>
      </c>
      <c r="N15" t="s">
        <v>32</v>
      </c>
      <c r="O15" t="s">
        <v>162</v>
      </c>
      <c r="P15" s="3" t="s">
        <v>169</v>
      </c>
      <c r="Q15" s="3" t="s">
        <v>165</v>
      </c>
      <c r="R15" s="2">
        <v>44940</v>
      </c>
      <c r="S15" s="3">
        <v>1039</v>
      </c>
      <c r="T15" t="s">
        <v>22</v>
      </c>
      <c r="U15" t="s">
        <v>23</v>
      </c>
      <c r="V15">
        <v>1039</v>
      </c>
      <c r="W15" t="s">
        <v>26</v>
      </c>
      <c r="Y15">
        <v>38</v>
      </c>
      <c r="AA15">
        <v>57</v>
      </c>
      <c r="AC15">
        <v>52</v>
      </c>
      <c r="AS15">
        <v>29</v>
      </c>
      <c r="AU15">
        <v>30</v>
      </c>
      <c r="AW15">
        <v>34</v>
      </c>
    </row>
    <row r="16" spans="1:63">
      <c r="A16" s="3" t="s">
        <v>236</v>
      </c>
      <c r="B16" t="s">
        <v>25</v>
      </c>
      <c r="C16" s="3" t="s">
        <v>240</v>
      </c>
      <c r="D16" t="s">
        <v>24</v>
      </c>
      <c r="E16" s="3">
        <v>3763</v>
      </c>
      <c r="F16" t="s">
        <v>55</v>
      </c>
      <c r="G16" s="108">
        <v>44887</v>
      </c>
      <c r="H16" s="107">
        <v>44918</v>
      </c>
      <c r="I16" s="3">
        <v>9</v>
      </c>
      <c r="J16" s="3">
        <v>6000232859</v>
      </c>
      <c r="K16" s="3">
        <v>200</v>
      </c>
      <c r="L16" s="3">
        <v>3763</v>
      </c>
      <c r="M16" t="s">
        <v>31</v>
      </c>
      <c r="N16" t="s">
        <v>32</v>
      </c>
      <c r="O16" t="s">
        <v>162</v>
      </c>
      <c r="P16" s="3" t="s">
        <v>169</v>
      </c>
      <c r="Q16" s="3" t="s">
        <v>165</v>
      </c>
      <c r="R16" s="2">
        <v>44961</v>
      </c>
      <c r="S16" s="3">
        <v>1039</v>
      </c>
      <c r="T16" t="s">
        <v>22</v>
      </c>
      <c r="U16" t="s">
        <v>23</v>
      </c>
      <c r="V16">
        <v>1039</v>
      </c>
      <c r="W16" t="s">
        <v>26</v>
      </c>
      <c r="Y16">
        <v>599</v>
      </c>
      <c r="AA16">
        <v>881</v>
      </c>
      <c r="AC16">
        <v>823</v>
      </c>
      <c r="AS16">
        <v>457</v>
      </c>
      <c r="AU16">
        <v>465</v>
      </c>
      <c r="AW16">
        <v>538</v>
      </c>
    </row>
    <row r="17" spans="1:49">
      <c r="A17" s="3" t="s">
        <v>236</v>
      </c>
      <c r="B17" t="s">
        <v>25</v>
      </c>
      <c r="C17" s="3" t="s">
        <v>240</v>
      </c>
      <c r="D17" t="s">
        <v>24</v>
      </c>
      <c r="E17" s="3">
        <v>817</v>
      </c>
      <c r="F17" t="s">
        <v>36</v>
      </c>
      <c r="G17" s="108">
        <v>44887</v>
      </c>
      <c r="H17" s="107">
        <v>44908</v>
      </c>
      <c r="I17" s="3">
        <v>8</v>
      </c>
      <c r="J17" s="3">
        <v>6000232862</v>
      </c>
      <c r="K17" s="3">
        <v>100</v>
      </c>
      <c r="L17" s="3">
        <v>817</v>
      </c>
      <c r="M17" t="s">
        <v>34</v>
      </c>
      <c r="N17" t="s">
        <v>35</v>
      </c>
      <c r="O17" t="s">
        <v>163</v>
      </c>
      <c r="P17" s="3" t="s">
        <v>169</v>
      </c>
      <c r="Q17" s="3" t="s">
        <v>166</v>
      </c>
      <c r="R17" s="2">
        <v>44961</v>
      </c>
      <c r="S17" s="3">
        <v>1039</v>
      </c>
      <c r="T17" t="s">
        <v>22</v>
      </c>
      <c r="U17" t="s">
        <v>23</v>
      </c>
      <c r="V17">
        <v>1039</v>
      </c>
      <c r="W17" t="s">
        <v>26</v>
      </c>
      <c r="Y17">
        <v>128</v>
      </c>
      <c r="AA17">
        <v>186</v>
      </c>
      <c r="AC17">
        <v>191</v>
      </c>
      <c r="AS17">
        <v>99</v>
      </c>
      <c r="AU17">
        <v>98</v>
      </c>
      <c r="AW17">
        <v>115</v>
      </c>
    </row>
    <row r="18" spans="1:49">
      <c r="A18" s="3"/>
      <c r="E18" s="115">
        <f>SUM(E2:E17)</f>
        <v>55956</v>
      </c>
      <c r="G18" s="108"/>
      <c r="H18" s="107"/>
      <c r="P18" s="3"/>
      <c r="Q18" s="3"/>
      <c r="R18" s="2"/>
    </row>
    <row r="19" spans="1:49">
      <c r="A19" s="3"/>
      <c r="E19" s="3"/>
      <c r="G19" s="108"/>
      <c r="H19" s="107"/>
      <c r="P19" s="3"/>
      <c r="Q19" s="3"/>
      <c r="R19" s="2"/>
    </row>
  </sheetData>
  <autoFilter ref="A1:BK19">
    <sortState ref="A2:BE19">
      <sortCondition ref="A1:A19"/>
    </sortState>
  </autoFilter>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2"/>
  <sheetViews>
    <sheetView workbookViewId="0">
      <pane xSplit="2" ySplit="2" topLeftCell="C3" activePane="bottomRight" state="frozenSplit"/>
      <selection pane="topRight" activeCell="C1" sqref="C1"/>
      <selection pane="bottomLeft" activeCell="A3" sqref="A3"/>
      <selection pane="bottomRight" activeCell="R12" sqref="R12"/>
    </sheetView>
  </sheetViews>
  <sheetFormatPr defaultColWidth="13.1328125" defaultRowHeight="14.25"/>
  <cols>
    <col min="4" max="4" width="32.59765625" customWidth="1"/>
    <col min="18" max="18" width="64.1328125" customWidth="1"/>
  </cols>
  <sheetData>
    <row r="1" spans="1:28" ht="59.1" customHeight="1">
      <c r="A1" s="116" t="s">
        <v>119</v>
      </c>
      <c r="B1" s="116"/>
      <c r="C1" s="116"/>
      <c r="D1" s="116"/>
      <c r="E1" s="116"/>
      <c r="F1" s="85"/>
      <c r="G1" s="85"/>
      <c r="H1" s="85"/>
      <c r="I1" s="85"/>
      <c r="J1" s="85"/>
      <c r="K1" s="85"/>
      <c r="L1" s="85"/>
      <c r="M1" s="85"/>
      <c r="N1" s="85"/>
      <c r="O1" s="85"/>
      <c r="P1" s="85"/>
      <c r="Q1" s="85"/>
      <c r="R1" s="85"/>
      <c r="S1" s="85"/>
      <c r="T1" s="85"/>
      <c r="U1" s="85"/>
      <c r="V1" s="85"/>
      <c r="W1" s="85"/>
      <c r="X1" s="85"/>
      <c r="Y1" s="85"/>
      <c r="Z1" s="85"/>
      <c r="AA1" s="85"/>
      <c r="AB1" s="85"/>
    </row>
    <row r="2" spans="1:28" ht="32.1" customHeight="1">
      <c r="A2" s="86" t="s">
        <v>120</v>
      </c>
      <c r="B2" s="86" t="s">
        <v>121</v>
      </c>
      <c r="C2" s="86" t="s">
        <v>122</v>
      </c>
      <c r="D2" s="86" t="s">
        <v>123</v>
      </c>
      <c r="E2" s="86" t="s">
        <v>124</v>
      </c>
      <c r="F2" s="86" t="s">
        <v>125</v>
      </c>
      <c r="G2" s="86" t="s">
        <v>126</v>
      </c>
      <c r="H2" s="86" t="s">
        <v>127</v>
      </c>
      <c r="I2" s="86" t="s">
        <v>128</v>
      </c>
      <c r="J2" s="86" t="s">
        <v>129</v>
      </c>
      <c r="K2" s="86" t="s">
        <v>130</v>
      </c>
      <c r="L2" s="86" t="s">
        <v>131</v>
      </c>
      <c r="M2" s="86" t="s">
        <v>132</v>
      </c>
      <c r="N2" s="86" t="s">
        <v>133</v>
      </c>
      <c r="O2" s="86" t="s">
        <v>134</v>
      </c>
      <c r="P2" s="86" t="s">
        <v>135</v>
      </c>
      <c r="Q2" s="86" t="s">
        <v>136</v>
      </c>
      <c r="R2" s="86" t="s">
        <v>137</v>
      </c>
      <c r="S2" s="86" t="s">
        <v>138</v>
      </c>
      <c r="T2" s="86" t="s">
        <v>139</v>
      </c>
      <c r="U2" s="86" t="s">
        <v>140</v>
      </c>
      <c r="V2" s="86" t="s">
        <v>141</v>
      </c>
      <c r="W2" s="86" t="s">
        <v>142</v>
      </c>
      <c r="X2" s="86" t="s">
        <v>143</v>
      </c>
      <c r="Y2" s="86" t="s">
        <v>144</v>
      </c>
      <c r="Z2" s="86" t="s">
        <v>145</v>
      </c>
      <c r="AA2" s="86" t="s">
        <v>146</v>
      </c>
      <c r="AB2" s="86" t="s">
        <v>147</v>
      </c>
    </row>
    <row r="3" spans="1:28" ht="19.5" customHeight="1">
      <c r="A3" s="85" t="s">
        <v>148</v>
      </c>
      <c r="B3" s="85" t="s">
        <v>44</v>
      </c>
      <c r="C3" s="85" t="s">
        <v>149</v>
      </c>
      <c r="D3" s="85" t="s">
        <v>45</v>
      </c>
      <c r="E3" s="85" t="s">
        <v>150</v>
      </c>
      <c r="F3" s="85" t="s">
        <v>151</v>
      </c>
      <c r="G3" s="85" t="s">
        <v>152</v>
      </c>
      <c r="H3" s="85" t="s">
        <v>153</v>
      </c>
      <c r="I3" s="85" t="s">
        <v>154</v>
      </c>
      <c r="J3" s="85" t="s">
        <v>155</v>
      </c>
      <c r="K3" s="85">
        <v>0</v>
      </c>
      <c r="L3" s="85">
        <v>0</v>
      </c>
      <c r="M3" s="85">
        <v>0</v>
      </c>
      <c r="N3" s="85">
        <v>0</v>
      </c>
      <c r="O3" s="85">
        <v>0</v>
      </c>
      <c r="P3" s="85">
        <v>100</v>
      </c>
      <c r="Q3" s="85">
        <v>0</v>
      </c>
      <c r="R3" s="85" t="s">
        <v>105</v>
      </c>
      <c r="S3" s="85" t="s">
        <v>150</v>
      </c>
      <c r="T3" s="85" t="s">
        <v>150</v>
      </c>
      <c r="U3" s="85" t="s">
        <v>150</v>
      </c>
      <c r="V3" s="85" t="s">
        <v>150</v>
      </c>
      <c r="W3" s="85" t="s">
        <v>150</v>
      </c>
      <c r="X3" s="85" t="s">
        <v>150</v>
      </c>
      <c r="Y3" s="85" t="s">
        <v>156</v>
      </c>
      <c r="Z3" s="87">
        <v>43048</v>
      </c>
      <c r="AA3" s="85" t="s">
        <v>157</v>
      </c>
      <c r="AB3" s="85" t="s">
        <v>150</v>
      </c>
    </row>
    <row r="4" spans="1:28" ht="19.5" customHeight="1">
      <c r="A4" s="85" t="s">
        <v>148</v>
      </c>
      <c r="B4" s="85" t="s">
        <v>56</v>
      </c>
      <c r="C4" s="85" t="s">
        <v>149</v>
      </c>
      <c r="D4" s="85" t="s">
        <v>45</v>
      </c>
      <c r="E4" s="85" t="s">
        <v>150</v>
      </c>
      <c r="F4" s="85" t="s">
        <v>151</v>
      </c>
      <c r="G4" s="85" t="s">
        <v>152</v>
      </c>
      <c r="H4" s="85" t="s">
        <v>153</v>
      </c>
      <c r="I4" s="85" t="s">
        <v>154</v>
      </c>
      <c r="J4" s="85" t="s">
        <v>155</v>
      </c>
      <c r="K4" s="85">
        <v>0</v>
      </c>
      <c r="L4" s="85">
        <v>0</v>
      </c>
      <c r="M4" s="85">
        <v>0</v>
      </c>
      <c r="N4" s="85">
        <v>0</v>
      </c>
      <c r="O4" s="85">
        <v>0</v>
      </c>
      <c r="P4" s="85">
        <v>100</v>
      </c>
      <c r="Q4" s="85">
        <v>0</v>
      </c>
      <c r="R4" s="85" t="s">
        <v>105</v>
      </c>
      <c r="S4" s="85" t="s">
        <v>150</v>
      </c>
      <c r="T4" s="85" t="s">
        <v>150</v>
      </c>
      <c r="U4" s="85" t="s">
        <v>150</v>
      </c>
      <c r="V4" s="85" t="s">
        <v>150</v>
      </c>
      <c r="W4" s="85" t="s">
        <v>150</v>
      </c>
      <c r="X4" s="85" t="s">
        <v>150</v>
      </c>
      <c r="Y4" s="85" t="s">
        <v>156</v>
      </c>
      <c r="Z4" s="87">
        <v>43058</v>
      </c>
      <c r="AA4" s="85" t="s">
        <v>157</v>
      </c>
      <c r="AB4" s="85" t="s">
        <v>150</v>
      </c>
    </row>
    <row r="5" spans="1:28" ht="19.5" customHeight="1">
      <c r="A5" s="85" t="s">
        <v>148</v>
      </c>
      <c r="B5" s="85" t="s">
        <v>41</v>
      </c>
      <c r="C5" s="85" t="s">
        <v>149</v>
      </c>
      <c r="D5" s="85" t="s">
        <v>28</v>
      </c>
      <c r="E5" s="85" t="s">
        <v>150</v>
      </c>
      <c r="F5" s="85" t="s">
        <v>151</v>
      </c>
      <c r="G5" s="85" t="s">
        <v>152</v>
      </c>
      <c r="H5" s="85" t="s">
        <v>153</v>
      </c>
      <c r="I5" s="85" t="s">
        <v>158</v>
      </c>
      <c r="J5" s="85" t="s">
        <v>155</v>
      </c>
      <c r="K5" s="85">
        <v>53</v>
      </c>
      <c r="L5" s="85">
        <v>0</v>
      </c>
      <c r="M5" s="85">
        <v>47</v>
      </c>
      <c r="N5" s="85">
        <v>0</v>
      </c>
      <c r="O5" s="85">
        <v>0</v>
      </c>
      <c r="P5" s="85">
        <v>0</v>
      </c>
      <c r="Q5" s="85">
        <v>0</v>
      </c>
      <c r="R5" s="85" t="s">
        <v>159</v>
      </c>
      <c r="S5" s="85" t="s">
        <v>150</v>
      </c>
      <c r="T5" s="85" t="s">
        <v>150</v>
      </c>
      <c r="U5" s="85" t="s">
        <v>150</v>
      </c>
      <c r="V5" s="85" t="s">
        <v>150</v>
      </c>
      <c r="W5" s="85" t="s">
        <v>150</v>
      </c>
      <c r="X5" s="85" t="s">
        <v>150</v>
      </c>
      <c r="Y5" s="85" t="s">
        <v>156</v>
      </c>
      <c r="Z5" s="87">
        <v>43801</v>
      </c>
      <c r="AA5" s="85" t="s">
        <v>157</v>
      </c>
      <c r="AB5" s="85" t="s">
        <v>150</v>
      </c>
    </row>
    <row r="6" spans="1:28" ht="19.5" customHeight="1">
      <c r="A6" s="85" t="s">
        <v>148</v>
      </c>
      <c r="B6" s="85" t="s">
        <v>27</v>
      </c>
      <c r="C6" s="85" t="s">
        <v>149</v>
      </c>
      <c r="D6" s="85" t="s">
        <v>28</v>
      </c>
      <c r="E6" s="85" t="s">
        <v>150</v>
      </c>
      <c r="F6" s="85" t="s">
        <v>151</v>
      </c>
      <c r="G6" s="85" t="s">
        <v>152</v>
      </c>
      <c r="H6" s="85" t="s">
        <v>153</v>
      </c>
      <c r="I6" s="85" t="s">
        <v>158</v>
      </c>
      <c r="J6" s="85" t="s">
        <v>155</v>
      </c>
      <c r="K6" s="85">
        <v>53</v>
      </c>
      <c r="L6" s="85">
        <v>0</v>
      </c>
      <c r="M6" s="85">
        <v>47</v>
      </c>
      <c r="N6" s="85">
        <v>0</v>
      </c>
      <c r="O6" s="85">
        <v>0</v>
      </c>
      <c r="P6" s="85">
        <v>0</v>
      </c>
      <c r="Q6" s="85">
        <v>0</v>
      </c>
      <c r="R6" s="85" t="s">
        <v>159</v>
      </c>
      <c r="S6" s="85" t="s">
        <v>150</v>
      </c>
      <c r="T6" s="85" t="s">
        <v>150</v>
      </c>
      <c r="U6" s="85" t="s">
        <v>150</v>
      </c>
      <c r="V6" s="85" t="s">
        <v>150</v>
      </c>
      <c r="W6" s="85" t="s">
        <v>150</v>
      </c>
      <c r="X6" s="85" t="s">
        <v>150</v>
      </c>
      <c r="Y6" s="85" t="s">
        <v>156</v>
      </c>
      <c r="Z6" s="87">
        <v>44832</v>
      </c>
      <c r="AA6" s="85" t="s">
        <v>157</v>
      </c>
      <c r="AB6" s="85" t="s">
        <v>150</v>
      </c>
    </row>
    <row r="7" spans="1:28" ht="19.5" customHeight="1">
      <c r="A7" s="88" t="s">
        <v>148</v>
      </c>
      <c r="B7" s="88" t="s">
        <v>37</v>
      </c>
      <c r="C7" s="88" t="s">
        <v>149</v>
      </c>
      <c r="D7" s="88" t="s">
        <v>38</v>
      </c>
      <c r="E7" s="88" t="s">
        <v>150</v>
      </c>
      <c r="F7" s="88" t="s">
        <v>151</v>
      </c>
      <c r="G7" s="88" t="s">
        <v>152</v>
      </c>
      <c r="H7" s="88" t="s">
        <v>153</v>
      </c>
      <c r="I7" s="88" t="s">
        <v>158</v>
      </c>
      <c r="J7" s="88" t="s">
        <v>155</v>
      </c>
      <c r="K7" s="88">
        <v>100</v>
      </c>
      <c r="L7" s="88">
        <v>0</v>
      </c>
      <c r="M7" s="88">
        <v>0</v>
      </c>
      <c r="N7" s="88">
        <v>0</v>
      </c>
      <c r="O7" s="88">
        <v>0</v>
      </c>
      <c r="P7" s="88">
        <v>0</v>
      </c>
      <c r="Q7" s="88">
        <v>0</v>
      </c>
      <c r="R7" s="88" t="s">
        <v>160</v>
      </c>
      <c r="S7" s="88" t="s">
        <v>150</v>
      </c>
      <c r="T7" s="88" t="s">
        <v>150</v>
      </c>
      <c r="U7" s="88" t="s">
        <v>150</v>
      </c>
      <c r="V7" s="88" t="s">
        <v>150</v>
      </c>
      <c r="W7" s="88" t="s">
        <v>150</v>
      </c>
      <c r="X7" s="88" t="s">
        <v>150</v>
      </c>
      <c r="Y7" s="88" t="s">
        <v>156</v>
      </c>
      <c r="Z7" s="89">
        <v>44833</v>
      </c>
      <c r="AA7" s="88" t="s">
        <v>157</v>
      </c>
      <c r="AB7" s="88" t="s">
        <v>150</v>
      </c>
    </row>
    <row r="8" spans="1:28" ht="19.5" customHeight="1">
      <c r="A8" s="85" t="s">
        <v>148</v>
      </c>
      <c r="B8" s="85" t="s">
        <v>47</v>
      </c>
      <c r="C8" s="85" t="s">
        <v>149</v>
      </c>
      <c r="D8" s="85" t="s">
        <v>48</v>
      </c>
      <c r="E8" s="85" t="s">
        <v>150</v>
      </c>
      <c r="F8" s="85" t="s">
        <v>151</v>
      </c>
      <c r="G8" s="85" t="s">
        <v>152</v>
      </c>
      <c r="H8" s="85" t="s">
        <v>153</v>
      </c>
      <c r="I8" s="85" t="s">
        <v>154</v>
      </c>
      <c r="J8" s="85" t="s">
        <v>155</v>
      </c>
      <c r="K8" s="85">
        <v>0</v>
      </c>
      <c r="L8" s="85">
        <v>0</v>
      </c>
      <c r="M8" s="85">
        <v>0</v>
      </c>
      <c r="N8" s="85">
        <v>0</v>
      </c>
      <c r="O8" s="85">
        <v>0</v>
      </c>
      <c r="P8" s="85">
        <v>100</v>
      </c>
      <c r="Q8" s="85">
        <v>0</v>
      </c>
      <c r="R8" s="85" t="s">
        <v>105</v>
      </c>
      <c r="S8" s="85" t="s">
        <v>150</v>
      </c>
      <c r="T8" s="85" t="s">
        <v>150</v>
      </c>
      <c r="U8" s="85" t="s">
        <v>150</v>
      </c>
      <c r="V8" s="85" t="s">
        <v>150</v>
      </c>
      <c r="W8" s="85" t="s">
        <v>150</v>
      </c>
      <c r="X8" s="85" t="s">
        <v>150</v>
      </c>
      <c r="Y8" s="85" t="s">
        <v>156</v>
      </c>
      <c r="Z8" s="87">
        <v>43046</v>
      </c>
      <c r="AA8" s="85" t="s">
        <v>157</v>
      </c>
      <c r="AB8" s="85" t="s">
        <v>150</v>
      </c>
    </row>
    <row r="9" spans="1:28" ht="19.5" customHeight="1">
      <c r="A9" s="85" t="s">
        <v>148</v>
      </c>
      <c r="B9" s="85" t="s">
        <v>52</v>
      </c>
      <c r="C9" s="85" t="s">
        <v>149</v>
      </c>
      <c r="D9" s="85" t="s">
        <v>48</v>
      </c>
      <c r="E9" s="85" t="s">
        <v>150</v>
      </c>
      <c r="F9" s="85" t="s">
        <v>151</v>
      </c>
      <c r="G9" s="85" t="s">
        <v>152</v>
      </c>
      <c r="H9" s="85" t="s">
        <v>153</v>
      </c>
      <c r="I9" s="85" t="s">
        <v>154</v>
      </c>
      <c r="J9" s="85" t="s">
        <v>155</v>
      </c>
      <c r="K9" s="85">
        <v>0</v>
      </c>
      <c r="L9" s="85">
        <v>0</v>
      </c>
      <c r="M9" s="85">
        <v>0</v>
      </c>
      <c r="N9" s="85">
        <v>0</v>
      </c>
      <c r="O9" s="85">
        <v>0</v>
      </c>
      <c r="P9" s="85">
        <v>100</v>
      </c>
      <c r="Q9" s="85">
        <v>0</v>
      </c>
      <c r="R9" s="85" t="s">
        <v>105</v>
      </c>
      <c r="S9" s="85" t="s">
        <v>150</v>
      </c>
      <c r="T9" s="85" t="s">
        <v>150</v>
      </c>
      <c r="U9" s="85" t="s">
        <v>150</v>
      </c>
      <c r="V9" s="85" t="s">
        <v>150</v>
      </c>
      <c r="W9" s="85" t="s">
        <v>150</v>
      </c>
      <c r="X9" s="85" t="s">
        <v>150</v>
      </c>
      <c r="Y9" s="85" t="s">
        <v>156</v>
      </c>
      <c r="Z9" s="87">
        <v>43058</v>
      </c>
      <c r="AA9" s="85" t="s">
        <v>157</v>
      </c>
      <c r="AB9" s="85" t="s">
        <v>150</v>
      </c>
    </row>
    <row r="10" spans="1:28" s="93" customFormat="1" ht="21.75" customHeight="1">
      <c r="A10" s="90" t="s">
        <v>148</v>
      </c>
      <c r="B10" s="90" t="s">
        <v>19</v>
      </c>
      <c r="C10" s="90" t="s">
        <v>149</v>
      </c>
      <c r="D10" s="90" t="s">
        <v>20</v>
      </c>
      <c r="E10" s="90" t="s">
        <v>150</v>
      </c>
      <c r="F10" s="90" t="s">
        <v>151</v>
      </c>
      <c r="G10" s="90" t="s">
        <v>152</v>
      </c>
      <c r="H10" s="90" t="s">
        <v>153</v>
      </c>
      <c r="I10" s="90" t="s">
        <v>158</v>
      </c>
      <c r="J10" s="90" t="s">
        <v>155</v>
      </c>
      <c r="K10" s="90">
        <v>57</v>
      </c>
      <c r="L10" s="90">
        <v>0</v>
      </c>
      <c r="M10" s="90">
        <v>28</v>
      </c>
      <c r="N10" s="90">
        <v>0</v>
      </c>
      <c r="O10" s="90">
        <v>0</v>
      </c>
      <c r="P10" s="90">
        <v>15</v>
      </c>
      <c r="Q10" s="90">
        <v>0</v>
      </c>
      <c r="R10" s="92" t="s">
        <v>161</v>
      </c>
      <c r="S10" s="90" t="s">
        <v>150</v>
      </c>
      <c r="T10" s="90" t="s">
        <v>150</v>
      </c>
      <c r="U10" s="90" t="s">
        <v>150</v>
      </c>
      <c r="V10" s="90" t="s">
        <v>150</v>
      </c>
      <c r="W10" s="90" t="s">
        <v>150</v>
      </c>
      <c r="X10" s="90" t="s">
        <v>150</v>
      </c>
      <c r="Y10" s="90" t="s">
        <v>156</v>
      </c>
      <c r="Z10" s="91">
        <v>44762</v>
      </c>
      <c r="AA10" s="90" t="s">
        <v>157</v>
      </c>
      <c r="AB10" s="90" t="s">
        <v>150</v>
      </c>
    </row>
    <row r="11" spans="1:28" s="93" customFormat="1" ht="24" customHeight="1">
      <c r="A11" s="90" t="s">
        <v>148</v>
      </c>
      <c r="B11" s="90" t="s">
        <v>31</v>
      </c>
      <c r="C11" s="90" t="s">
        <v>149</v>
      </c>
      <c r="D11" s="90" t="s">
        <v>32</v>
      </c>
      <c r="E11" s="90" t="s">
        <v>150</v>
      </c>
      <c r="F11" s="90" t="s">
        <v>151</v>
      </c>
      <c r="G11" s="90" t="s">
        <v>152</v>
      </c>
      <c r="H11" s="90" t="s">
        <v>153</v>
      </c>
      <c r="I11" s="90" t="s">
        <v>158</v>
      </c>
      <c r="J11" s="90" t="s">
        <v>155</v>
      </c>
      <c r="K11" s="90">
        <v>57</v>
      </c>
      <c r="L11" s="90">
        <v>0</v>
      </c>
      <c r="M11" s="90">
        <v>28</v>
      </c>
      <c r="N11" s="90">
        <v>0</v>
      </c>
      <c r="O11" s="90">
        <v>0</v>
      </c>
      <c r="P11" s="90">
        <v>15</v>
      </c>
      <c r="Q11" s="90">
        <v>0</v>
      </c>
      <c r="R11" s="90" t="s">
        <v>162</v>
      </c>
      <c r="S11" s="90" t="s">
        <v>150</v>
      </c>
      <c r="T11" s="90" t="s">
        <v>150</v>
      </c>
      <c r="U11" s="90" t="s">
        <v>150</v>
      </c>
      <c r="V11" s="90" t="s">
        <v>150</v>
      </c>
      <c r="W11" s="90" t="s">
        <v>150</v>
      </c>
      <c r="X11" s="90" t="s">
        <v>150</v>
      </c>
      <c r="Y11" s="90" t="s">
        <v>156</v>
      </c>
      <c r="Z11" s="91">
        <v>44782</v>
      </c>
      <c r="AA11" s="90" t="s">
        <v>157</v>
      </c>
      <c r="AB11" s="90" t="s">
        <v>150</v>
      </c>
    </row>
    <row r="12" spans="1:28" ht="25.5" customHeight="1">
      <c r="A12" s="94" t="s">
        <v>148</v>
      </c>
      <c r="B12" s="94" t="s">
        <v>34</v>
      </c>
      <c r="C12" s="94" t="s">
        <v>149</v>
      </c>
      <c r="D12" s="94" t="s">
        <v>35</v>
      </c>
      <c r="E12" s="94" t="s">
        <v>150</v>
      </c>
      <c r="F12" s="94" t="s">
        <v>151</v>
      </c>
      <c r="G12" s="94" t="s">
        <v>152</v>
      </c>
      <c r="H12" s="94" t="s">
        <v>153</v>
      </c>
      <c r="I12" s="94" t="s">
        <v>154</v>
      </c>
      <c r="J12" s="94" t="s">
        <v>155</v>
      </c>
      <c r="K12" s="94">
        <v>0</v>
      </c>
      <c r="L12" s="94">
        <v>0</v>
      </c>
      <c r="M12" s="94">
        <v>23</v>
      </c>
      <c r="N12" s="94">
        <v>0</v>
      </c>
      <c r="O12" s="94">
        <v>0</v>
      </c>
      <c r="P12" s="94">
        <v>77</v>
      </c>
      <c r="Q12" s="94">
        <v>0</v>
      </c>
      <c r="R12" s="94" t="s">
        <v>163</v>
      </c>
      <c r="S12" s="94" t="s">
        <v>150</v>
      </c>
      <c r="T12" s="94" t="s">
        <v>150</v>
      </c>
      <c r="U12" s="94" t="s">
        <v>150</v>
      </c>
      <c r="V12" s="94" t="s">
        <v>150</v>
      </c>
      <c r="W12" s="94" t="s">
        <v>150</v>
      </c>
      <c r="X12" s="94" t="s">
        <v>150</v>
      </c>
      <c r="Y12" s="94" t="s">
        <v>156</v>
      </c>
      <c r="Z12" s="95">
        <v>44832</v>
      </c>
      <c r="AA12" s="94" t="s">
        <v>157</v>
      </c>
      <c r="AB12" s="94" t="s">
        <v>150</v>
      </c>
    </row>
  </sheetData>
  <mergeCells count="1">
    <mergeCell ref="A1:E1"/>
  </mergeCells>
  <pageMargins left="0.7" right="0.7" top="0.75" bottom="0.75" header="0.3" footer="0.3"/>
  <ignoredErrors>
    <ignoredError sqref="I3:I12"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Views>
    <sheetView topLeftCell="A25" workbookViewId="0">
      <selection activeCell="A40" sqref="A40"/>
    </sheetView>
  </sheetViews>
  <sheetFormatPr defaultColWidth="9.1328125" defaultRowHeight="14.25"/>
  <cols>
    <col min="1" max="1" width="9.1328125" style="3"/>
    <col min="2" max="2" width="13.73046875" style="3" bestFit="1" customWidth="1"/>
    <col min="3" max="3" width="13.265625" style="3" bestFit="1" customWidth="1"/>
    <col min="4" max="4" width="12.73046875" style="3" bestFit="1" customWidth="1"/>
    <col min="5" max="5" width="13.265625" style="3" bestFit="1" customWidth="1"/>
    <col min="6" max="6" width="23.3984375" style="3" bestFit="1" customWidth="1"/>
    <col min="7" max="16384" width="9.1328125" style="3"/>
  </cols>
  <sheetData>
    <row r="1" spans="1:6">
      <c r="A1" s="3" t="s">
        <v>227</v>
      </c>
      <c r="B1" s="109" t="s">
        <v>8</v>
      </c>
      <c r="C1" s="109" t="s">
        <v>11</v>
      </c>
      <c r="D1" s="109" t="s">
        <v>5</v>
      </c>
      <c r="E1" s="109" t="s">
        <v>15</v>
      </c>
      <c r="F1" s="3" t="s">
        <v>228</v>
      </c>
    </row>
    <row r="2" spans="1:6">
      <c r="A2" s="3" t="s">
        <v>235</v>
      </c>
      <c r="B2" s="110">
        <v>44887</v>
      </c>
      <c r="C2" s="3" t="s">
        <v>40</v>
      </c>
      <c r="D2" s="3" t="s">
        <v>42</v>
      </c>
      <c r="E2" s="110">
        <v>44897</v>
      </c>
      <c r="F2" s="111">
        <v>4150</v>
      </c>
    </row>
    <row r="3" spans="1:6">
      <c r="B3" s="110">
        <v>44887</v>
      </c>
      <c r="C3" s="3" t="s">
        <v>229</v>
      </c>
      <c r="F3" s="111">
        <v>4150</v>
      </c>
    </row>
    <row r="4" spans="1:6">
      <c r="A4" s="3" t="s">
        <v>236</v>
      </c>
      <c r="B4" s="110">
        <v>44887</v>
      </c>
      <c r="C4" s="3" t="s">
        <v>25</v>
      </c>
      <c r="D4" s="3" t="s">
        <v>46</v>
      </c>
      <c r="E4" s="110">
        <v>44922</v>
      </c>
      <c r="F4" s="111">
        <v>863</v>
      </c>
    </row>
    <row r="5" spans="1:6">
      <c r="A5" s="3" t="s">
        <v>236</v>
      </c>
      <c r="B5" s="110">
        <v>44887</v>
      </c>
      <c r="C5" s="3" t="s">
        <v>25</v>
      </c>
      <c r="D5" s="3" t="s">
        <v>57</v>
      </c>
      <c r="E5" s="110">
        <v>44924</v>
      </c>
      <c r="F5" s="111">
        <v>816</v>
      </c>
    </row>
    <row r="6" spans="1:6">
      <c r="A6" s="3" t="s">
        <v>236</v>
      </c>
      <c r="B6" s="110">
        <v>44887</v>
      </c>
      <c r="C6" s="3" t="s">
        <v>25</v>
      </c>
      <c r="D6" s="3" t="s">
        <v>49</v>
      </c>
      <c r="E6" s="110">
        <v>44922</v>
      </c>
      <c r="F6" s="111">
        <v>4208</v>
      </c>
    </row>
    <row r="7" spans="1:6">
      <c r="A7" s="3" t="s">
        <v>236</v>
      </c>
      <c r="B7" s="110">
        <v>44887</v>
      </c>
      <c r="C7" s="3" t="s">
        <v>25</v>
      </c>
      <c r="D7" s="3" t="s">
        <v>53</v>
      </c>
      <c r="E7" s="110">
        <v>44928</v>
      </c>
      <c r="F7" s="111">
        <v>2007</v>
      </c>
    </row>
    <row r="8" spans="1:6">
      <c r="A8" s="3" t="s">
        <v>236</v>
      </c>
      <c r="B8" s="110">
        <v>44887</v>
      </c>
      <c r="C8" s="3" t="s">
        <v>25</v>
      </c>
      <c r="D8" s="3" t="s">
        <v>58</v>
      </c>
      <c r="E8" s="110">
        <v>44928</v>
      </c>
      <c r="F8" s="111">
        <v>1228</v>
      </c>
    </row>
    <row r="9" spans="1:6">
      <c r="A9" s="3" t="s">
        <v>236</v>
      </c>
      <c r="B9" s="110">
        <v>44887</v>
      </c>
      <c r="C9" s="3" t="s">
        <v>25</v>
      </c>
      <c r="D9" s="3" t="s">
        <v>50</v>
      </c>
      <c r="E9" s="110">
        <v>44914</v>
      </c>
      <c r="F9" s="111">
        <v>240</v>
      </c>
    </row>
    <row r="10" spans="1:6">
      <c r="A10" s="3" t="s">
        <v>236</v>
      </c>
      <c r="B10" s="110">
        <v>44887</v>
      </c>
      <c r="C10" s="3" t="s">
        <v>25</v>
      </c>
      <c r="D10" s="3" t="s">
        <v>21</v>
      </c>
      <c r="E10" s="110">
        <v>44914</v>
      </c>
      <c r="F10" s="111">
        <v>7760</v>
      </c>
    </row>
    <row r="11" spans="1:6">
      <c r="A11" s="3" t="s">
        <v>236</v>
      </c>
      <c r="B11" s="110">
        <v>44887</v>
      </c>
      <c r="C11" s="3" t="s">
        <v>25</v>
      </c>
      <c r="D11" s="3" t="s">
        <v>42</v>
      </c>
      <c r="E11" s="110">
        <v>44897</v>
      </c>
      <c r="F11" s="111">
        <v>2075</v>
      </c>
    </row>
    <row r="12" spans="1:6">
      <c r="A12" s="3" t="s">
        <v>236</v>
      </c>
      <c r="B12" s="110">
        <v>44887</v>
      </c>
      <c r="C12" s="3" t="s">
        <v>25</v>
      </c>
      <c r="D12" s="3" t="s">
        <v>29</v>
      </c>
      <c r="E12" s="110">
        <v>44915</v>
      </c>
      <c r="F12" s="111">
        <v>6018</v>
      </c>
    </row>
    <row r="13" spans="1:6">
      <c r="A13" s="3" t="s">
        <v>236</v>
      </c>
      <c r="B13" s="110">
        <v>44887</v>
      </c>
      <c r="C13" s="3" t="s">
        <v>25</v>
      </c>
      <c r="D13" s="3" t="s">
        <v>51</v>
      </c>
      <c r="E13" s="110">
        <v>44917</v>
      </c>
      <c r="F13" s="111">
        <v>9125</v>
      </c>
    </row>
    <row r="14" spans="1:6">
      <c r="A14" s="3" t="s">
        <v>236</v>
      </c>
      <c r="B14" s="110">
        <v>44887</v>
      </c>
      <c r="C14" s="3" t="s">
        <v>25</v>
      </c>
      <c r="D14" s="3" t="s">
        <v>33</v>
      </c>
      <c r="E14" s="110">
        <v>44918</v>
      </c>
      <c r="F14" s="111">
        <v>240</v>
      </c>
    </row>
    <row r="15" spans="1:6">
      <c r="A15" s="3" t="s">
        <v>236</v>
      </c>
      <c r="B15" s="110">
        <v>44887</v>
      </c>
      <c r="C15" s="3" t="s">
        <v>25</v>
      </c>
      <c r="D15" s="3" t="s">
        <v>55</v>
      </c>
      <c r="E15" s="110">
        <v>44918</v>
      </c>
      <c r="F15" s="111">
        <v>3763</v>
      </c>
    </row>
    <row r="16" spans="1:6">
      <c r="A16" s="3" t="s">
        <v>236</v>
      </c>
      <c r="B16" s="110">
        <v>44887</v>
      </c>
      <c r="C16" s="3" t="s">
        <v>25</v>
      </c>
      <c r="D16" s="3" t="s">
        <v>36</v>
      </c>
      <c r="E16" s="110">
        <v>44908</v>
      </c>
      <c r="F16" s="111">
        <v>817</v>
      </c>
    </row>
    <row r="17" spans="1:6">
      <c r="A17" s="3" t="s">
        <v>236</v>
      </c>
      <c r="B17" s="110">
        <v>44887</v>
      </c>
      <c r="C17" s="3" t="s">
        <v>25</v>
      </c>
      <c r="D17" s="3" t="s">
        <v>43</v>
      </c>
      <c r="E17" s="110">
        <v>44911</v>
      </c>
      <c r="F17" s="111">
        <v>4053</v>
      </c>
    </row>
    <row r="18" spans="1:6">
      <c r="A18" s="3" t="s">
        <v>236</v>
      </c>
      <c r="B18" s="110">
        <v>44887</v>
      </c>
      <c r="C18" s="3" t="s">
        <v>25</v>
      </c>
      <c r="D18" s="3" t="s">
        <v>54</v>
      </c>
      <c r="E18" s="110">
        <v>44911</v>
      </c>
      <c r="F18" s="111">
        <v>2430</v>
      </c>
    </row>
    <row r="19" spans="1:6">
      <c r="A19" s="3" t="s">
        <v>236</v>
      </c>
      <c r="B19" s="110">
        <v>44887</v>
      </c>
      <c r="C19" s="3" t="s">
        <v>25</v>
      </c>
      <c r="D19" s="3" t="s">
        <v>39</v>
      </c>
      <c r="E19" s="110">
        <v>44917</v>
      </c>
      <c r="F19" s="111">
        <v>10313</v>
      </c>
    </row>
    <row r="20" spans="1:6">
      <c r="B20" s="110">
        <v>44887</v>
      </c>
      <c r="C20" s="3" t="s">
        <v>230</v>
      </c>
      <c r="F20" s="111">
        <v>55956</v>
      </c>
    </row>
    <row r="21" spans="1:6">
      <c r="B21" s="112" t="s">
        <v>231</v>
      </c>
      <c r="C21" s="113"/>
      <c r="D21" s="113"/>
      <c r="E21" s="113"/>
      <c r="F21" s="114">
        <v>60106</v>
      </c>
    </row>
    <row r="22" spans="1:6">
      <c r="A22" s="3" t="s">
        <v>237</v>
      </c>
      <c r="B22" s="110">
        <v>44894</v>
      </c>
      <c r="C22" s="3" t="s">
        <v>40</v>
      </c>
      <c r="D22" s="3" t="s">
        <v>36</v>
      </c>
      <c r="E22" s="110">
        <v>44908</v>
      </c>
      <c r="F22" s="111">
        <v>1634</v>
      </c>
    </row>
    <row r="23" spans="1:6">
      <c r="A23" s="3" t="s">
        <v>237</v>
      </c>
      <c r="B23" s="110">
        <v>44894</v>
      </c>
      <c r="C23" s="3" t="s">
        <v>40</v>
      </c>
      <c r="D23" s="3" t="s">
        <v>43</v>
      </c>
      <c r="E23" s="110">
        <v>44911</v>
      </c>
      <c r="F23" s="111">
        <v>8106</v>
      </c>
    </row>
    <row r="24" spans="1:6">
      <c r="A24" s="3" t="s">
        <v>237</v>
      </c>
      <c r="B24" s="110">
        <v>44894</v>
      </c>
      <c r="C24" s="3" t="s">
        <v>40</v>
      </c>
      <c r="D24" s="3" t="s">
        <v>54</v>
      </c>
      <c r="E24" s="110">
        <v>44911</v>
      </c>
      <c r="F24" s="111">
        <v>4860</v>
      </c>
    </row>
    <row r="25" spans="1:6">
      <c r="B25" s="110">
        <v>44894</v>
      </c>
      <c r="C25" s="3" t="s">
        <v>229</v>
      </c>
      <c r="F25" s="111">
        <v>14600</v>
      </c>
    </row>
    <row r="26" spans="1:6">
      <c r="B26" s="112" t="s">
        <v>232</v>
      </c>
      <c r="C26" s="113"/>
      <c r="D26" s="113"/>
      <c r="E26" s="113"/>
      <c r="F26" s="114">
        <v>14600</v>
      </c>
    </row>
    <row r="27" spans="1:6">
      <c r="A27" s="3" t="s">
        <v>238</v>
      </c>
      <c r="B27" s="110">
        <v>44901</v>
      </c>
      <c r="C27" s="3" t="s">
        <v>40</v>
      </c>
      <c r="D27" s="3" t="s">
        <v>46</v>
      </c>
      <c r="E27" s="110">
        <v>44922</v>
      </c>
      <c r="F27" s="111">
        <v>1726</v>
      </c>
    </row>
    <row r="28" spans="1:6">
      <c r="A28" s="3" t="s">
        <v>238</v>
      </c>
      <c r="B28" s="110">
        <v>44901</v>
      </c>
      <c r="C28" s="3" t="s">
        <v>40</v>
      </c>
      <c r="D28" s="3" t="s">
        <v>57</v>
      </c>
      <c r="E28" s="110">
        <v>44924</v>
      </c>
      <c r="F28" s="111">
        <v>1632</v>
      </c>
    </row>
    <row r="29" spans="1:6">
      <c r="A29" s="3" t="s">
        <v>238</v>
      </c>
      <c r="B29" s="110">
        <v>44901</v>
      </c>
      <c r="C29" s="3" t="s">
        <v>40</v>
      </c>
      <c r="D29" s="3" t="s">
        <v>49</v>
      </c>
      <c r="E29" s="110">
        <v>44922</v>
      </c>
      <c r="F29" s="111">
        <v>8416</v>
      </c>
    </row>
    <row r="30" spans="1:6">
      <c r="A30" s="3" t="s">
        <v>238</v>
      </c>
      <c r="B30" s="110">
        <v>44901</v>
      </c>
      <c r="C30" s="3" t="s">
        <v>40</v>
      </c>
      <c r="D30" s="3" t="s">
        <v>50</v>
      </c>
      <c r="E30" s="110">
        <v>44914</v>
      </c>
      <c r="F30" s="111">
        <v>480</v>
      </c>
    </row>
    <row r="31" spans="1:6">
      <c r="A31" s="3" t="s">
        <v>238</v>
      </c>
      <c r="B31" s="110">
        <v>44901</v>
      </c>
      <c r="C31" s="3" t="s">
        <v>40</v>
      </c>
      <c r="D31" s="3" t="s">
        <v>21</v>
      </c>
      <c r="E31" s="110">
        <v>44914</v>
      </c>
      <c r="F31" s="111">
        <v>15520</v>
      </c>
    </row>
    <row r="32" spans="1:6">
      <c r="A32" s="3" t="s">
        <v>238</v>
      </c>
      <c r="B32" s="110">
        <v>44901</v>
      </c>
      <c r="C32" s="3" t="s">
        <v>40</v>
      </c>
      <c r="D32" s="3" t="s">
        <v>29</v>
      </c>
      <c r="E32" s="110">
        <v>44915</v>
      </c>
      <c r="F32" s="111">
        <v>12036</v>
      </c>
    </row>
    <row r="33" spans="1:6">
      <c r="A33" s="3" t="s">
        <v>238</v>
      </c>
      <c r="B33" s="110">
        <v>44901</v>
      </c>
      <c r="C33" s="3" t="s">
        <v>40</v>
      </c>
      <c r="D33" s="3" t="s">
        <v>51</v>
      </c>
      <c r="E33" s="110">
        <v>44917</v>
      </c>
      <c r="F33" s="111">
        <v>18250</v>
      </c>
    </row>
    <row r="34" spans="1:6">
      <c r="A34" s="3" t="s">
        <v>238</v>
      </c>
      <c r="B34" s="110">
        <v>44901</v>
      </c>
      <c r="C34" s="3" t="s">
        <v>40</v>
      </c>
      <c r="D34" s="3" t="s">
        <v>33</v>
      </c>
      <c r="E34" s="110">
        <v>44918</v>
      </c>
      <c r="F34" s="111">
        <v>480</v>
      </c>
    </row>
    <row r="35" spans="1:6">
      <c r="A35" s="3" t="s">
        <v>238</v>
      </c>
      <c r="B35" s="110">
        <v>44901</v>
      </c>
      <c r="C35" s="3" t="s">
        <v>40</v>
      </c>
      <c r="D35" s="3" t="s">
        <v>55</v>
      </c>
      <c r="E35" s="110">
        <v>44918</v>
      </c>
      <c r="F35" s="111">
        <v>7526</v>
      </c>
    </row>
    <row r="36" spans="1:6">
      <c r="A36" s="3" t="s">
        <v>238</v>
      </c>
      <c r="B36" s="110">
        <v>44901</v>
      </c>
      <c r="C36" s="3" t="s">
        <v>40</v>
      </c>
      <c r="D36" s="3" t="s">
        <v>39</v>
      </c>
      <c r="E36" s="110">
        <v>44917</v>
      </c>
      <c r="F36" s="111">
        <v>20626</v>
      </c>
    </row>
    <row r="37" spans="1:6">
      <c r="B37" s="110">
        <v>44901</v>
      </c>
      <c r="C37" s="3" t="s">
        <v>229</v>
      </c>
      <c r="F37" s="111">
        <v>86692</v>
      </c>
    </row>
    <row r="38" spans="1:6">
      <c r="B38" s="112" t="s">
        <v>233</v>
      </c>
      <c r="C38" s="113"/>
      <c r="D38" s="113"/>
      <c r="E38" s="113"/>
      <c r="F38" s="114">
        <v>86692</v>
      </c>
    </row>
    <row r="39" spans="1:6">
      <c r="A39" s="3" t="s">
        <v>239</v>
      </c>
      <c r="B39" s="110">
        <v>44908</v>
      </c>
      <c r="C39" s="3" t="s">
        <v>40</v>
      </c>
      <c r="D39" s="3" t="s">
        <v>53</v>
      </c>
      <c r="E39" s="110">
        <v>44928</v>
      </c>
      <c r="F39" s="111">
        <v>4014</v>
      </c>
    </row>
    <row r="40" spans="1:6">
      <c r="A40" s="3" t="s">
        <v>239</v>
      </c>
      <c r="B40" s="110">
        <v>44908</v>
      </c>
      <c r="C40" s="3" t="s">
        <v>40</v>
      </c>
      <c r="D40" s="3" t="s">
        <v>58</v>
      </c>
      <c r="E40" s="110">
        <v>44928</v>
      </c>
      <c r="F40" s="111">
        <v>2456</v>
      </c>
    </row>
    <row r="41" spans="1:6">
      <c r="B41" s="110">
        <v>44908</v>
      </c>
      <c r="C41" s="3" t="s">
        <v>229</v>
      </c>
      <c r="F41" s="111">
        <v>6470</v>
      </c>
    </row>
    <row r="42" spans="1:6">
      <c r="B42" s="112" t="s">
        <v>234</v>
      </c>
      <c r="C42" s="113"/>
      <c r="D42" s="113"/>
      <c r="E42" s="113"/>
      <c r="F42" s="114">
        <v>6470</v>
      </c>
    </row>
    <row r="43" spans="1:6">
      <c r="B43"/>
      <c r="C43"/>
      <c r="D43"/>
      <c r="E43"/>
      <c r="F43"/>
    </row>
    <row r="44" spans="1:6">
      <c r="B44"/>
      <c r="C44"/>
      <c r="D44"/>
      <c r="E44"/>
      <c r="F44"/>
    </row>
    <row r="45" spans="1:6">
      <c r="B45"/>
      <c r="C45"/>
      <c r="D45"/>
      <c r="E45"/>
      <c r="F45"/>
    </row>
    <row r="46" spans="1:6">
      <c r="B46"/>
      <c r="C46"/>
      <c r="D46"/>
      <c r="E46"/>
      <c r="F46"/>
    </row>
    <row r="47" spans="1:6">
      <c r="B47"/>
      <c r="C47"/>
      <c r="D47"/>
      <c r="E47"/>
      <c r="F47"/>
    </row>
    <row r="48" spans="1: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sheetData>
  <pageMargins left="0.7" right="0.7" top="0.75" bottom="0.75" header="0.3" footer="0.3"/>
  <pageSetup paperSize="9"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topLeftCell="A14" zoomScale="80" zoomScaleNormal="80" workbookViewId="0">
      <selection activeCell="H19" sqref="H19"/>
    </sheetView>
  </sheetViews>
  <sheetFormatPr defaultRowHeight="14.25"/>
  <cols>
    <col min="2" max="4" width="10" customWidth="1"/>
    <col min="5" max="5" width="13" customWidth="1"/>
    <col min="6" max="7" width="10" customWidth="1"/>
    <col min="258" max="260" width="10" customWidth="1"/>
    <col min="261" max="261" width="13" customWidth="1"/>
    <col min="262" max="263" width="10" customWidth="1"/>
    <col min="514" max="516" width="10" customWidth="1"/>
    <col min="517" max="517" width="13" customWidth="1"/>
    <col min="518" max="519" width="10" customWidth="1"/>
    <col min="770" max="772" width="10" customWidth="1"/>
    <col min="773" max="773" width="13" customWidth="1"/>
    <col min="774" max="775" width="10" customWidth="1"/>
    <col min="1026" max="1028" width="10" customWidth="1"/>
    <col min="1029" max="1029" width="13" customWidth="1"/>
    <col min="1030" max="1031" width="10" customWidth="1"/>
    <col min="1282" max="1284" width="10" customWidth="1"/>
    <col min="1285" max="1285" width="13" customWidth="1"/>
    <col min="1286" max="1287" width="10" customWidth="1"/>
    <col min="1538" max="1540" width="10" customWidth="1"/>
    <col min="1541" max="1541" width="13" customWidth="1"/>
    <col min="1542" max="1543" width="10" customWidth="1"/>
    <col min="1794" max="1796" width="10" customWidth="1"/>
    <col min="1797" max="1797" width="13" customWidth="1"/>
    <col min="1798" max="1799" width="10" customWidth="1"/>
    <col min="2050" max="2052" width="10" customWidth="1"/>
    <col min="2053" max="2053" width="13" customWidth="1"/>
    <col min="2054" max="2055" width="10" customWidth="1"/>
    <col min="2306" max="2308" width="10" customWidth="1"/>
    <col min="2309" max="2309" width="13" customWidth="1"/>
    <col min="2310" max="2311" width="10" customWidth="1"/>
    <col min="2562" max="2564" width="10" customWidth="1"/>
    <col min="2565" max="2565" width="13" customWidth="1"/>
    <col min="2566" max="2567" width="10" customWidth="1"/>
    <col min="2818" max="2820" width="10" customWidth="1"/>
    <col min="2821" max="2821" width="13" customWidth="1"/>
    <col min="2822" max="2823" width="10" customWidth="1"/>
    <col min="3074" max="3076" width="10" customWidth="1"/>
    <col min="3077" max="3077" width="13" customWidth="1"/>
    <col min="3078" max="3079" width="10" customWidth="1"/>
    <col min="3330" max="3332" width="10" customWidth="1"/>
    <col min="3333" max="3333" width="13" customWidth="1"/>
    <col min="3334" max="3335" width="10" customWidth="1"/>
    <col min="3586" max="3588" width="10" customWidth="1"/>
    <col min="3589" max="3589" width="13" customWidth="1"/>
    <col min="3590" max="3591" width="10" customWidth="1"/>
    <col min="3842" max="3844" width="10" customWidth="1"/>
    <col min="3845" max="3845" width="13" customWidth="1"/>
    <col min="3846" max="3847" width="10" customWidth="1"/>
    <col min="4098" max="4100" width="10" customWidth="1"/>
    <col min="4101" max="4101" width="13" customWidth="1"/>
    <col min="4102" max="4103" width="10" customWidth="1"/>
    <col min="4354" max="4356" width="10" customWidth="1"/>
    <col min="4357" max="4357" width="13" customWidth="1"/>
    <col min="4358" max="4359" width="10" customWidth="1"/>
    <col min="4610" max="4612" width="10" customWidth="1"/>
    <col min="4613" max="4613" width="13" customWidth="1"/>
    <col min="4614" max="4615" width="10" customWidth="1"/>
    <col min="4866" max="4868" width="10" customWidth="1"/>
    <col min="4869" max="4869" width="13" customWidth="1"/>
    <col min="4870" max="4871" width="10" customWidth="1"/>
    <col min="5122" max="5124" width="10" customWidth="1"/>
    <col min="5125" max="5125" width="13" customWidth="1"/>
    <col min="5126" max="5127" width="10" customWidth="1"/>
    <col min="5378" max="5380" width="10" customWidth="1"/>
    <col min="5381" max="5381" width="13" customWidth="1"/>
    <col min="5382" max="5383" width="10" customWidth="1"/>
    <col min="5634" max="5636" width="10" customWidth="1"/>
    <col min="5637" max="5637" width="13" customWidth="1"/>
    <col min="5638" max="5639" width="10" customWidth="1"/>
    <col min="5890" max="5892" width="10" customWidth="1"/>
    <col min="5893" max="5893" width="13" customWidth="1"/>
    <col min="5894" max="5895" width="10" customWidth="1"/>
    <col min="6146" max="6148" width="10" customWidth="1"/>
    <col min="6149" max="6149" width="13" customWidth="1"/>
    <col min="6150" max="6151" width="10" customWidth="1"/>
    <col min="6402" max="6404" width="10" customWidth="1"/>
    <col min="6405" max="6405" width="13" customWidth="1"/>
    <col min="6406" max="6407" width="10" customWidth="1"/>
    <col min="6658" max="6660" width="10" customWidth="1"/>
    <col min="6661" max="6661" width="13" customWidth="1"/>
    <col min="6662" max="6663" width="10" customWidth="1"/>
    <col min="6914" max="6916" width="10" customWidth="1"/>
    <col min="6917" max="6917" width="13" customWidth="1"/>
    <col min="6918" max="6919" width="10" customWidth="1"/>
    <col min="7170" max="7172" width="10" customWidth="1"/>
    <col min="7173" max="7173" width="13" customWidth="1"/>
    <col min="7174" max="7175" width="10" customWidth="1"/>
    <col min="7426" max="7428" width="10" customWidth="1"/>
    <col min="7429" max="7429" width="13" customWidth="1"/>
    <col min="7430" max="7431" width="10" customWidth="1"/>
    <col min="7682" max="7684" width="10" customWidth="1"/>
    <col min="7685" max="7685" width="13" customWidth="1"/>
    <col min="7686" max="7687" width="10" customWidth="1"/>
    <col min="7938" max="7940" width="10" customWidth="1"/>
    <col min="7941" max="7941" width="13" customWidth="1"/>
    <col min="7942" max="7943" width="10" customWidth="1"/>
    <col min="8194" max="8196" width="10" customWidth="1"/>
    <col min="8197" max="8197" width="13" customWidth="1"/>
    <col min="8198" max="8199" width="10" customWidth="1"/>
    <col min="8450" max="8452" width="10" customWidth="1"/>
    <col min="8453" max="8453" width="13" customWidth="1"/>
    <col min="8454" max="8455" width="10" customWidth="1"/>
    <col min="8706" max="8708" width="10" customWidth="1"/>
    <col min="8709" max="8709" width="13" customWidth="1"/>
    <col min="8710" max="8711" width="10" customWidth="1"/>
    <col min="8962" max="8964" width="10" customWidth="1"/>
    <col min="8965" max="8965" width="13" customWidth="1"/>
    <col min="8966" max="8967" width="10" customWidth="1"/>
    <col min="9218" max="9220" width="10" customWidth="1"/>
    <col min="9221" max="9221" width="13" customWidth="1"/>
    <col min="9222" max="9223" width="10" customWidth="1"/>
    <col min="9474" max="9476" width="10" customWidth="1"/>
    <col min="9477" max="9477" width="13" customWidth="1"/>
    <col min="9478" max="9479" width="10" customWidth="1"/>
    <col min="9730" max="9732" width="10" customWidth="1"/>
    <col min="9733" max="9733" width="13" customWidth="1"/>
    <col min="9734" max="9735" width="10" customWidth="1"/>
    <col min="9986" max="9988" width="10" customWidth="1"/>
    <col min="9989" max="9989" width="13" customWidth="1"/>
    <col min="9990" max="9991" width="10" customWidth="1"/>
    <col min="10242" max="10244" width="10" customWidth="1"/>
    <col min="10245" max="10245" width="13" customWidth="1"/>
    <col min="10246" max="10247" width="10" customWidth="1"/>
    <col min="10498" max="10500" width="10" customWidth="1"/>
    <col min="10501" max="10501" width="13" customWidth="1"/>
    <col min="10502" max="10503" width="10" customWidth="1"/>
    <col min="10754" max="10756" width="10" customWidth="1"/>
    <col min="10757" max="10757" width="13" customWidth="1"/>
    <col min="10758" max="10759" width="10" customWidth="1"/>
    <col min="11010" max="11012" width="10" customWidth="1"/>
    <col min="11013" max="11013" width="13" customWidth="1"/>
    <col min="11014" max="11015" width="10" customWidth="1"/>
    <col min="11266" max="11268" width="10" customWidth="1"/>
    <col min="11269" max="11269" width="13" customWidth="1"/>
    <col min="11270" max="11271" width="10" customWidth="1"/>
    <col min="11522" max="11524" width="10" customWidth="1"/>
    <col min="11525" max="11525" width="13" customWidth="1"/>
    <col min="11526" max="11527" width="10" customWidth="1"/>
    <col min="11778" max="11780" width="10" customWidth="1"/>
    <col min="11781" max="11781" width="13" customWidth="1"/>
    <col min="11782" max="11783" width="10" customWidth="1"/>
    <col min="12034" max="12036" width="10" customWidth="1"/>
    <col min="12037" max="12037" width="13" customWidth="1"/>
    <col min="12038" max="12039" width="10" customWidth="1"/>
    <col min="12290" max="12292" width="10" customWidth="1"/>
    <col min="12293" max="12293" width="13" customWidth="1"/>
    <col min="12294" max="12295" width="10" customWidth="1"/>
    <col min="12546" max="12548" width="10" customWidth="1"/>
    <col min="12549" max="12549" width="13" customWidth="1"/>
    <col min="12550" max="12551" width="10" customWidth="1"/>
    <col min="12802" max="12804" width="10" customWidth="1"/>
    <col min="12805" max="12805" width="13" customWidth="1"/>
    <col min="12806" max="12807" width="10" customWidth="1"/>
    <col min="13058" max="13060" width="10" customWidth="1"/>
    <col min="13061" max="13061" width="13" customWidth="1"/>
    <col min="13062" max="13063" width="10" customWidth="1"/>
    <col min="13314" max="13316" width="10" customWidth="1"/>
    <col min="13317" max="13317" width="13" customWidth="1"/>
    <col min="13318" max="13319" width="10" customWidth="1"/>
    <col min="13570" max="13572" width="10" customWidth="1"/>
    <col min="13573" max="13573" width="13" customWidth="1"/>
    <col min="13574" max="13575" width="10" customWidth="1"/>
    <col min="13826" max="13828" width="10" customWidth="1"/>
    <col min="13829" max="13829" width="13" customWidth="1"/>
    <col min="13830" max="13831" width="10" customWidth="1"/>
    <col min="14082" max="14084" width="10" customWidth="1"/>
    <col min="14085" max="14085" width="13" customWidth="1"/>
    <col min="14086" max="14087" width="10" customWidth="1"/>
    <col min="14338" max="14340" width="10" customWidth="1"/>
    <col min="14341" max="14341" width="13" customWidth="1"/>
    <col min="14342" max="14343" width="10" customWidth="1"/>
    <col min="14594" max="14596" width="10" customWidth="1"/>
    <col min="14597" max="14597" width="13" customWidth="1"/>
    <col min="14598" max="14599" width="10" customWidth="1"/>
    <col min="14850" max="14852" width="10" customWidth="1"/>
    <col min="14853" max="14853" width="13" customWidth="1"/>
    <col min="14854" max="14855" width="10" customWidth="1"/>
    <col min="15106" max="15108" width="10" customWidth="1"/>
    <col min="15109" max="15109" width="13" customWidth="1"/>
    <col min="15110" max="15111" width="10" customWidth="1"/>
    <col min="15362" max="15364" width="10" customWidth="1"/>
    <col min="15365" max="15365" width="13" customWidth="1"/>
    <col min="15366" max="15367" width="10" customWidth="1"/>
    <col min="15618" max="15620" width="10" customWidth="1"/>
    <col min="15621" max="15621" width="13" customWidth="1"/>
    <col min="15622" max="15623" width="10" customWidth="1"/>
    <col min="15874" max="15876" width="10" customWidth="1"/>
    <col min="15877" max="15877" width="13" customWidth="1"/>
    <col min="15878" max="15879" width="10" customWidth="1"/>
    <col min="16130" max="16132" width="10" customWidth="1"/>
    <col min="16133" max="16133" width="13" customWidth="1"/>
    <col min="16134" max="16135" width="10"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171</v>
      </c>
      <c r="C19" s="14"/>
      <c r="D19" s="14" t="s">
        <v>91</v>
      </c>
      <c r="E19" s="45" t="s">
        <v>172</v>
      </c>
      <c r="F19" s="14" t="s">
        <v>92</v>
      </c>
      <c r="G19" s="45" t="s">
        <v>173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7.649999999999999">
      <c r="A33" s="48"/>
      <c r="B33" s="46"/>
      <c r="C33" s="55"/>
      <c r="D33" s="55"/>
      <c r="E33" s="54"/>
      <c r="F33" s="46"/>
      <c r="G33" s="46"/>
      <c r="H33" s="56"/>
      <c r="I33" s="46"/>
      <c r="J33" s="50"/>
    </row>
    <row r="34" spans="1:10" ht="17.649999999999999">
      <c r="A34" s="48"/>
      <c r="B34" s="46"/>
      <c r="C34" s="55"/>
      <c r="D34" s="55"/>
      <c r="E34" s="54"/>
      <c r="F34" s="46"/>
      <c r="G34" s="46"/>
      <c r="H34" s="56"/>
      <c r="I34" s="46"/>
      <c r="J34" s="50"/>
    </row>
    <row r="35" spans="1:10" ht="15.4">
      <c r="A35" s="48"/>
      <c r="B35" s="46"/>
      <c r="C35" s="46"/>
      <c r="D35" s="46"/>
      <c r="E35" s="46"/>
      <c r="F35" s="46"/>
      <c r="G35" s="46"/>
      <c r="H35" s="46"/>
      <c r="I35" s="46"/>
      <c r="J35" s="50"/>
    </row>
    <row r="36" spans="1:10" ht="15.4">
      <c r="A36" s="48"/>
      <c r="B36" s="46"/>
      <c r="C36" s="46"/>
      <c r="D36" s="46"/>
      <c r="E36" s="46"/>
      <c r="F36" s="46"/>
      <c r="G36" s="46"/>
      <c r="H36" s="46"/>
      <c r="I36" s="46"/>
      <c r="J36" s="50"/>
    </row>
    <row r="37" spans="1:10" ht="15.75">
      <c r="A37" s="133" t="s">
        <v>99</v>
      </c>
      <c r="B37" s="134"/>
      <c r="C37" s="135" t="s">
        <v>100</v>
      </c>
      <c r="D37" s="134"/>
      <c r="E37" s="58" t="s">
        <v>101</v>
      </c>
      <c r="F37" s="136" t="s">
        <v>102</v>
      </c>
      <c r="G37" s="136"/>
      <c r="H37" s="136"/>
      <c r="I37" s="136" t="s">
        <v>103</v>
      </c>
      <c r="J37" s="137"/>
    </row>
    <row r="38" spans="1:10" ht="38.25" customHeight="1">
      <c r="A38" s="117">
        <v>317415</v>
      </c>
      <c r="B38" s="118"/>
      <c r="C38" s="119" t="s">
        <v>104</v>
      </c>
      <c r="D38" s="118"/>
      <c r="E38" s="59" t="s">
        <v>166</v>
      </c>
      <c r="F38" s="120" t="s">
        <v>105</v>
      </c>
      <c r="G38" s="121"/>
      <c r="H38" s="122"/>
      <c r="I38" s="123">
        <v>44947</v>
      </c>
      <c r="J38" s="124"/>
    </row>
    <row r="39" spans="1:10" ht="15.4">
      <c r="A39" s="60"/>
      <c r="B39" s="61"/>
      <c r="C39" s="61"/>
      <c r="D39" s="61"/>
      <c r="E39" s="62"/>
      <c r="F39" s="62"/>
      <c r="G39" s="62"/>
      <c r="H39" s="62"/>
      <c r="I39" s="63"/>
      <c r="J39" s="64"/>
    </row>
    <row r="40" spans="1:10" ht="15.4">
      <c r="A40" s="65" t="s">
        <v>106</v>
      </c>
      <c r="B40" s="66"/>
      <c r="C40" s="67" t="s">
        <v>107</v>
      </c>
      <c r="D40" s="66"/>
      <c r="E40" s="66"/>
      <c r="F40" s="66"/>
      <c r="G40" s="66"/>
      <c r="H40" s="68"/>
      <c r="I40" s="66"/>
      <c r="J40" s="50"/>
    </row>
    <row r="41" spans="1:10" ht="15.4">
      <c r="A41" s="69" t="s">
        <v>108</v>
      </c>
      <c r="B41" s="69" t="s">
        <v>109</v>
      </c>
      <c r="C41" s="69" t="s">
        <v>110</v>
      </c>
      <c r="D41" s="69" t="s">
        <v>111</v>
      </c>
      <c r="E41" s="69" t="s">
        <v>112</v>
      </c>
      <c r="F41" s="69" t="s">
        <v>113</v>
      </c>
      <c r="G41" s="69" t="s">
        <v>114</v>
      </c>
      <c r="H41" s="70"/>
      <c r="J41" s="71"/>
    </row>
    <row r="42" spans="1:10" ht="15.4">
      <c r="A42" s="72" t="s">
        <v>115</v>
      </c>
      <c r="B42" s="73">
        <v>26</v>
      </c>
      <c r="C42" s="73">
        <v>52</v>
      </c>
      <c r="D42" s="73">
        <v>112</v>
      </c>
      <c r="E42" s="73">
        <v>171</v>
      </c>
      <c r="F42" s="73">
        <v>211</v>
      </c>
      <c r="G42" s="72">
        <v>291</v>
      </c>
      <c r="H42" s="74"/>
      <c r="J42" s="71"/>
    </row>
    <row r="43" spans="1:10" ht="15.4">
      <c r="A43" s="75"/>
      <c r="B43" s="46"/>
      <c r="C43" s="76"/>
      <c r="D43" s="46"/>
      <c r="E43" s="46"/>
      <c r="F43" s="46"/>
      <c r="G43" s="46"/>
      <c r="H43" s="77"/>
      <c r="I43" s="78"/>
      <c r="J43" s="71"/>
    </row>
    <row r="44" spans="1:10" ht="15.4">
      <c r="A44" s="48"/>
      <c r="B44" s="46"/>
      <c r="C44" s="46"/>
      <c r="D44" s="46"/>
      <c r="E44" s="46" t="s">
        <v>116</v>
      </c>
      <c r="F44" s="79">
        <f>SUM(B42:G42)</f>
        <v>863</v>
      </c>
      <c r="G44" s="46"/>
      <c r="J44" s="71"/>
    </row>
    <row r="45" spans="1:10" ht="15.4">
      <c r="A45" s="48"/>
      <c r="B45" s="46"/>
      <c r="C45" s="46"/>
      <c r="D45" s="46"/>
      <c r="E45" s="46"/>
      <c r="F45" s="76"/>
      <c r="G45" s="46"/>
      <c r="H45" s="46"/>
      <c r="I45" s="46"/>
      <c r="J45" s="50"/>
    </row>
    <row r="46" spans="1:10" ht="15.4">
      <c r="A46" s="80" t="s">
        <v>170</v>
      </c>
      <c r="B46" s="46"/>
      <c r="C46" s="46"/>
      <c r="D46" s="46"/>
      <c r="E46" s="46"/>
      <c r="F46" s="76"/>
      <c r="G46" s="46"/>
      <c r="H46" s="46"/>
      <c r="I46" s="46"/>
      <c r="J46" s="50"/>
    </row>
    <row r="47" spans="1:10" ht="15.75" thickBot="1">
      <c r="A47" s="81"/>
      <c r="B47" s="82"/>
      <c r="C47" s="82"/>
      <c r="D47" s="82"/>
      <c r="E47" s="82"/>
      <c r="F47" s="82"/>
      <c r="G47" s="82"/>
      <c r="H47" s="82"/>
      <c r="I47" s="82"/>
      <c r="J47" s="83"/>
    </row>
  </sheetData>
  <mergeCells count="11">
    <mergeCell ref="A38:B38"/>
    <mergeCell ref="C38:D38"/>
    <mergeCell ref="F38:H38"/>
    <mergeCell ref="I38:J38"/>
    <mergeCell ref="A2:J2"/>
    <mergeCell ref="A3:J3"/>
    <mergeCell ref="F17:J17"/>
    <mergeCell ref="A37:B37"/>
    <mergeCell ref="C37:D37"/>
    <mergeCell ref="F37:H37"/>
    <mergeCell ref="I37:J37"/>
  </mergeCells>
  <hyperlinks>
    <hyperlink ref="B9" r:id="rId1" display="jenny@yy-dc.com.cn"/>
    <hyperlink ref="B6" r:id="rId2"/>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
  <sheetViews>
    <sheetView topLeftCell="A14" zoomScale="80" zoomScaleNormal="80" workbookViewId="0">
      <selection activeCell="H19" sqref="H19"/>
    </sheetView>
  </sheetViews>
  <sheetFormatPr defaultRowHeight="14.25"/>
  <cols>
    <col min="2" max="4" width="10" customWidth="1"/>
    <col min="5" max="5" width="13" customWidth="1"/>
    <col min="6" max="7" width="10" customWidth="1"/>
    <col min="258" max="260" width="10" customWidth="1"/>
    <col min="261" max="261" width="13" customWidth="1"/>
    <col min="262" max="263" width="10" customWidth="1"/>
    <col min="514" max="516" width="10" customWidth="1"/>
    <col min="517" max="517" width="13" customWidth="1"/>
    <col min="518" max="519" width="10" customWidth="1"/>
    <col min="770" max="772" width="10" customWidth="1"/>
    <col min="773" max="773" width="13" customWidth="1"/>
    <col min="774" max="775" width="10" customWidth="1"/>
    <col min="1026" max="1028" width="10" customWidth="1"/>
    <col min="1029" max="1029" width="13" customWidth="1"/>
    <col min="1030" max="1031" width="10" customWidth="1"/>
    <col min="1282" max="1284" width="10" customWidth="1"/>
    <col min="1285" max="1285" width="13" customWidth="1"/>
    <col min="1286" max="1287" width="10" customWidth="1"/>
    <col min="1538" max="1540" width="10" customWidth="1"/>
    <col min="1541" max="1541" width="13" customWidth="1"/>
    <col min="1542" max="1543" width="10" customWidth="1"/>
    <col min="1794" max="1796" width="10" customWidth="1"/>
    <col min="1797" max="1797" width="13" customWidth="1"/>
    <col min="1798" max="1799" width="10" customWidth="1"/>
    <col min="2050" max="2052" width="10" customWidth="1"/>
    <col min="2053" max="2053" width="13" customWidth="1"/>
    <col min="2054" max="2055" width="10" customWidth="1"/>
    <col min="2306" max="2308" width="10" customWidth="1"/>
    <col min="2309" max="2309" width="13" customWidth="1"/>
    <col min="2310" max="2311" width="10" customWidth="1"/>
    <col min="2562" max="2564" width="10" customWidth="1"/>
    <col min="2565" max="2565" width="13" customWidth="1"/>
    <col min="2566" max="2567" width="10" customWidth="1"/>
    <col min="2818" max="2820" width="10" customWidth="1"/>
    <col min="2821" max="2821" width="13" customWidth="1"/>
    <col min="2822" max="2823" width="10" customWidth="1"/>
    <col min="3074" max="3076" width="10" customWidth="1"/>
    <col min="3077" max="3077" width="13" customWidth="1"/>
    <col min="3078" max="3079" width="10" customWidth="1"/>
    <col min="3330" max="3332" width="10" customWidth="1"/>
    <col min="3333" max="3333" width="13" customWidth="1"/>
    <col min="3334" max="3335" width="10" customWidth="1"/>
    <col min="3586" max="3588" width="10" customWidth="1"/>
    <col min="3589" max="3589" width="13" customWidth="1"/>
    <col min="3590" max="3591" width="10" customWidth="1"/>
    <col min="3842" max="3844" width="10" customWidth="1"/>
    <col min="3845" max="3845" width="13" customWidth="1"/>
    <col min="3846" max="3847" width="10" customWidth="1"/>
    <col min="4098" max="4100" width="10" customWidth="1"/>
    <col min="4101" max="4101" width="13" customWidth="1"/>
    <col min="4102" max="4103" width="10" customWidth="1"/>
    <col min="4354" max="4356" width="10" customWidth="1"/>
    <col min="4357" max="4357" width="13" customWidth="1"/>
    <col min="4358" max="4359" width="10" customWidth="1"/>
    <col min="4610" max="4612" width="10" customWidth="1"/>
    <col min="4613" max="4613" width="13" customWidth="1"/>
    <col min="4614" max="4615" width="10" customWidth="1"/>
    <col min="4866" max="4868" width="10" customWidth="1"/>
    <col min="4869" max="4869" width="13" customWidth="1"/>
    <col min="4870" max="4871" width="10" customWidth="1"/>
    <col min="5122" max="5124" width="10" customWidth="1"/>
    <col min="5125" max="5125" width="13" customWidth="1"/>
    <col min="5126" max="5127" width="10" customWidth="1"/>
    <col min="5378" max="5380" width="10" customWidth="1"/>
    <col min="5381" max="5381" width="13" customWidth="1"/>
    <col min="5382" max="5383" width="10" customWidth="1"/>
    <col min="5634" max="5636" width="10" customWidth="1"/>
    <col min="5637" max="5637" width="13" customWidth="1"/>
    <col min="5638" max="5639" width="10" customWidth="1"/>
    <col min="5890" max="5892" width="10" customWidth="1"/>
    <col min="5893" max="5893" width="13" customWidth="1"/>
    <col min="5894" max="5895" width="10" customWidth="1"/>
    <col min="6146" max="6148" width="10" customWidth="1"/>
    <col min="6149" max="6149" width="13" customWidth="1"/>
    <col min="6150" max="6151" width="10" customWidth="1"/>
    <col min="6402" max="6404" width="10" customWidth="1"/>
    <col min="6405" max="6405" width="13" customWidth="1"/>
    <col min="6406" max="6407" width="10" customWidth="1"/>
    <col min="6658" max="6660" width="10" customWidth="1"/>
    <col min="6661" max="6661" width="13" customWidth="1"/>
    <col min="6662" max="6663" width="10" customWidth="1"/>
    <col min="6914" max="6916" width="10" customWidth="1"/>
    <col min="6917" max="6917" width="13" customWidth="1"/>
    <col min="6918" max="6919" width="10" customWidth="1"/>
    <col min="7170" max="7172" width="10" customWidth="1"/>
    <col min="7173" max="7173" width="13" customWidth="1"/>
    <col min="7174" max="7175" width="10" customWidth="1"/>
    <col min="7426" max="7428" width="10" customWidth="1"/>
    <col min="7429" max="7429" width="13" customWidth="1"/>
    <col min="7430" max="7431" width="10" customWidth="1"/>
    <col min="7682" max="7684" width="10" customWidth="1"/>
    <col min="7685" max="7685" width="13" customWidth="1"/>
    <col min="7686" max="7687" width="10" customWidth="1"/>
    <col min="7938" max="7940" width="10" customWidth="1"/>
    <col min="7941" max="7941" width="13" customWidth="1"/>
    <col min="7942" max="7943" width="10" customWidth="1"/>
    <col min="8194" max="8196" width="10" customWidth="1"/>
    <col min="8197" max="8197" width="13" customWidth="1"/>
    <col min="8198" max="8199" width="10" customWidth="1"/>
    <col min="8450" max="8452" width="10" customWidth="1"/>
    <col min="8453" max="8453" width="13" customWidth="1"/>
    <col min="8454" max="8455" width="10" customWidth="1"/>
    <col min="8706" max="8708" width="10" customWidth="1"/>
    <col min="8709" max="8709" width="13" customWidth="1"/>
    <col min="8710" max="8711" width="10" customWidth="1"/>
    <col min="8962" max="8964" width="10" customWidth="1"/>
    <col min="8965" max="8965" width="13" customWidth="1"/>
    <col min="8966" max="8967" width="10" customWidth="1"/>
    <col min="9218" max="9220" width="10" customWidth="1"/>
    <col min="9221" max="9221" width="13" customWidth="1"/>
    <col min="9222" max="9223" width="10" customWidth="1"/>
    <col min="9474" max="9476" width="10" customWidth="1"/>
    <col min="9477" max="9477" width="13" customWidth="1"/>
    <col min="9478" max="9479" width="10" customWidth="1"/>
    <col min="9730" max="9732" width="10" customWidth="1"/>
    <col min="9733" max="9733" width="13" customWidth="1"/>
    <col min="9734" max="9735" width="10" customWidth="1"/>
    <col min="9986" max="9988" width="10" customWidth="1"/>
    <col min="9989" max="9989" width="13" customWidth="1"/>
    <col min="9990" max="9991" width="10" customWidth="1"/>
    <col min="10242" max="10244" width="10" customWidth="1"/>
    <col min="10245" max="10245" width="13" customWidth="1"/>
    <col min="10246" max="10247" width="10" customWidth="1"/>
    <col min="10498" max="10500" width="10" customWidth="1"/>
    <col min="10501" max="10501" width="13" customWidth="1"/>
    <col min="10502" max="10503" width="10" customWidth="1"/>
    <col min="10754" max="10756" width="10" customWidth="1"/>
    <col min="10757" max="10757" width="13" customWidth="1"/>
    <col min="10758" max="10759" width="10" customWidth="1"/>
    <col min="11010" max="11012" width="10" customWidth="1"/>
    <col min="11013" max="11013" width="13" customWidth="1"/>
    <col min="11014" max="11015" width="10" customWidth="1"/>
    <col min="11266" max="11268" width="10" customWidth="1"/>
    <col min="11269" max="11269" width="13" customWidth="1"/>
    <col min="11270" max="11271" width="10" customWidth="1"/>
    <col min="11522" max="11524" width="10" customWidth="1"/>
    <col min="11525" max="11525" width="13" customWidth="1"/>
    <col min="11526" max="11527" width="10" customWidth="1"/>
    <col min="11778" max="11780" width="10" customWidth="1"/>
    <col min="11781" max="11781" width="13" customWidth="1"/>
    <col min="11782" max="11783" width="10" customWidth="1"/>
    <col min="12034" max="12036" width="10" customWidth="1"/>
    <col min="12037" max="12037" width="13" customWidth="1"/>
    <col min="12038" max="12039" width="10" customWidth="1"/>
    <col min="12290" max="12292" width="10" customWidth="1"/>
    <col min="12293" max="12293" width="13" customWidth="1"/>
    <col min="12294" max="12295" width="10" customWidth="1"/>
    <col min="12546" max="12548" width="10" customWidth="1"/>
    <col min="12549" max="12549" width="13" customWidth="1"/>
    <col min="12550" max="12551" width="10" customWidth="1"/>
    <col min="12802" max="12804" width="10" customWidth="1"/>
    <col min="12805" max="12805" width="13" customWidth="1"/>
    <col min="12806" max="12807" width="10" customWidth="1"/>
    <col min="13058" max="13060" width="10" customWidth="1"/>
    <col min="13061" max="13061" width="13" customWidth="1"/>
    <col min="13062" max="13063" width="10" customWidth="1"/>
    <col min="13314" max="13316" width="10" customWidth="1"/>
    <col min="13317" max="13317" width="13" customWidth="1"/>
    <col min="13318" max="13319" width="10" customWidth="1"/>
    <col min="13570" max="13572" width="10" customWidth="1"/>
    <col min="13573" max="13573" width="13" customWidth="1"/>
    <col min="13574" max="13575" width="10" customWidth="1"/>
    <col min="13826" max="13828" width="10" customWidth="1"/>
    <col min="13829" max="13829" width="13" customWidth="1"/>
    <col min="13830" max="13831" width="10" customWidth="1"/>
    <col min="14082" max="14084" width="10" customWidth="1"/>
    <col min="14085" max="14085" width="13" customWidth="1"/>
    <col min="14086" max="14087" width="10" customWidth="1"/>
    <col min="14338" max="14340" width="10" customWidth="1"/>
    <col min="14341" max="14341" width="13" customWidth="1"/>
    <col min="14342" max="14343" width="10" customWidth="1"/>
    <col min="14594" max="14596" width="10" customWidth="1"/>
    <col min="14597" max="14597" width="13" customWidth="1"/>
    <col min="14598" max="14599" width="10" customWidth="1"/>
    <col min="14850" max="14852" width="10" customWidth="1"/>
    <col min="14853" max="14853" width="13" customWidth="1"/>
    <col min="14854" max="14855" width="10" customWidth="1"/>
    <col min="15106" max="15108" width="10" customWidth="1"/>
    <col min="15109" max="15109" width="13" customWidth="1"/>
    <col min="15110" max="15111" width="10" customWidth="1"/>
    <col min="15362" max="15364" width="10" customWidth="1"/>
    <col min="15365" max="15365" width="13" customWidth="1"/>
    <col min="15366" max="15367" width="10" customWidth="1"/>
    <col min="15618" max="15620" width="10" customWidth="1"/>
    <col min="15621" max="15621" width="13" customWidth="1"/>
    <col min="15622" max="15623" width="10" customWidth="1"/>
    <col min="15874" max="15876" width="10" customWidth="1"/>
    <col min="15877" max="15877" width="13" customWidth="1"/>
    <col min="15878" max="15879" width="10" customWidth="1"/>
    <col min="16130" max="16132" width="10" customWidth="1"/>
    <col min="16133" max="16133" width="13" customWidth="1"/>
    <col min="16134" max="16135" width="10"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175</v>
      </c>
      <c r="C19" s="14"/>
      <c r="D19" s="14" t="s">
        <v>91</v>
      </c>
      <c r="E19" s="45" t="s">
        <v>172</v>
      </c>
      <c r="F19" s="14" t="s">
        <v>92</v>
      </c>
      <c r="G19" s="45" t="s">
        <v>176</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7.649999999999999">
      <c r="A33" s="48"/>
      <c r="B33" s="46"/>
      <c r="C33" s="55"/>
      <c r="D33" s="55"/>
      <c r="E33" s="54"/>
      <c r="F33" s="46"/>
      <c r="G33" s="46"/>
      <c r="H33" s="56"/>
      <c r="I33" s="46"/>
      <c r="J33" s="50"/>
    </row>
    <row r="34" spans="1:10" ht="17.649999999999999">
      <c r="A34" s="48"/>
      <c r="B34" s="46"/>
      <c r="C34" s="55"/>
      <c r="D34" s="55"/>
      <c r="E34" s="54"/>
      <c r="F34" s="46"/>
      <c r="G34" s="46"/>
      <c r="H34" s="56"/>
      <c r="I34" s="46"/>
      <c r="J34" s="50"/>
    </row>
    <row r="35" spans="1:10" ht="15.4">
      <c r="A35" s="48"/>
      <c r="B35" s="46"/>
      <c r="C35" s="46"/>
      <c r="D35" s="46"/>
      <c r="E35" s="46"/>
      <c r="F35" s="46"/>
      <c r="G35" s="46"/>
      <c r="H35" s="46"/>
      <c r="I35" s="46"/>
      <c r="J35" s="50"/>
    </row>
    <row r="36" spans="1:10" ht="15.4">
      <c r="A36" s="48"/>
      <c r="B36" s="46"/>
      <c r="C36" s="46"/>
      <c r="D36" s="46"/>
      <c r="E36" s="46"/>
      <c r="F36" s="46"/>
      <c r="G36" s="46"/>
      <c r="H36" s="46"/>
      <c r="I36" s="46"/>
      <c r="J36" s="50"/>
    </row>
    <row r="37" spans="1:10" ht="15.75">
      <c r="A37" s="133" t="s">
        <v>99</v>
      </c>
      <c r="B37" s="134"/>
      <c r="C37" s="135" t="s">
        <v>100</v>
      </c>
      <c r="D37" s="134"/>
      <c r="E37" s="58" t="s">
        <v>101</v>
      </c>
      <c r="F37" s="136" t="s">
        <v>102</v>
      </c>
      <c r="G37" s="136"/>
      <c r="H37" s="136"/>
      <c r="I37" s="136" t="s">
        <v>103</v>
      </c>
      <c r="J37" s="137"/>
    </row>
    <row r="38" spans="1:10" ht="38.25" customHeight="1">
      <c r="A38" s="117">
        <v>317415</v>
      </c>
      <c r="B38" s="118"/>
      <c r="C38" s="119">
        <v>111</v>
      </c>
      <c r="D38" s="118"/>
      <c r="E38" s="59" t="s">
        <v>166</v>
      </c>
      <c r="F38" s="120" t="s">
        <v>105</v>
      </c>
      <c r="G38" s="121"/>
      <c r="H38" s="122"/>
      <c r="I38" s="123">
        <v>44954</v>
      </c>
      <c r="J38" s="124"/>
    </row>
    <row r="39" spans="1:10" ht="15.4">
      <c r="A39" s="60"/>
      <c r="B39" s="61"/>
      <c r="C39" s="61"/>
      <c r="D39" s="61"/>
      <c r="E39" s="62"/>
      <c r="F39" s="62"/>
      <c r="G39" s="62"/>
      <c r="H39" s="62"/>
      <c r="I39" s="63"/>
      <c r="J39" s="64"/>
    </row>
    <row r="40" spans="1:10" ht="15.4">
      <c r="A40" s="65" t="s">
        <v>106</v>
      </c>
      <c r="B40" s="66"/>
      <c r="C40" s="67" t="s">
        <v>107</v>
      </c>
      <c r="D40" s="66"/>
      <c r="E40" s="66"/>
      <c r="F40" s="66"/>
      <c r="G40" s="66"/>
      <c r="H40" s="68"/>
      <c r="I40" s="66"/>
      <c r="J40" s="50"/>
    </row>
    <row r="41" spans="1:10" ht="15.4">
      <c r="A41" s="69" t="s">
        <v>108</v>
      </c>
      <c r="B41" s="69" t="s">
        <v>109</v>
      </c>
      <c r="C41" s="69" t="s">
        <v>110</v>
      </c>
      <c r="D41" s="69" t="s">
        <v>111</v>
      </c>
      <c r="E41" s="69" t="s">
        <v>112</v>
      </c>
      <c r="F41" s="69" t="s">
        <v>113</v>
      </c>
      <c r="G41" s="69" t="s">
        <v>114</v>
      </c>
      <c r="H41" s="70"/>
      <c r="J41" s="71"/>
    </row>
    <row r="42" spans="1:10" ht="15.4">
      <c r="A42" s="72" t="s">
        <v>115</v>
      </c>
      <c r="B42" s="73">
        <v>13</v>
      </c>
      <c r="C42" s="73">
        <v>50</v>
      </c>
      <c r="D42" s="73">
        <v>117</v>
      </c>
      <c r="E42" s="73">
        <v>181</v>
      </c>
      <c r="F42" s="73">
        <v>203</v>
      </c>
      <c r="G42" s="72">
        <v>252</v>
      </c>
      <c r="H42" s="74"/>
      <c r="J42" s="71"/>
    </row>
    <row r="43" spans="1:10" ht="15.4">
      <c r="A43" s="75"/>
      <c r="B43" s="46"/>
      <c r="C43" s="76"/>
      <c r="D43" s="46"/>
      <c r="E43" s="46"/>
      <c r="F43" s="46"/>
      <c r="G43" s="46"/>
      <c r="H43" s="77"/>
      <c r="I43" s="78"/>
      <c r="J43" s="71"/>
    </row>
    <row r="44" spans="1:10" ht="15.4">
      <c r="A44" s="48"/>
      <c r="B44" s="46"/>
      <c r="C44" s="46"/>
      <c r="D44" s="46"/>
      <c r="E44" s="46" t="s">
        <v>116</v>
      </c>
      <c r="F44" s="79">
        <f>SUM(B42:G42)</f>
        <v>816</v>
      </c>
      <c r="G44" s="46"/>
      <c r="J44" s="71"/>
    </row>
    <row r="45" spans="1:10" ht="15.4">
      <c r="A45" s="48"/>
      <c r="B45" s="46"/>
      <c r="C45" s="46"/>
      <c r="D45" s="46"/>
      <c r="E45" s="46"/>
      <c r="F45" s="76"/>
      <c r="G45" s="46"/>
      <c r="H45" s="46"/>
      <c r="I45" s="46"/>
      <c r="J45" s="50"/>
    </row>
    <row r="46" spans="1:10" ht="15.4">
      <c r="A46" s="80" t="s">
        <v>174</v>
      </c>
      <c r="B46" s="46"/>
      <c r="C46" s="46"/>
      <c r="D46" s="46"/>
      <c r="E46" s="46"/>
      <c r="F46" s="76"/>
      <c r="G46" s="46"/>
      <c r="H46" s="46"/>
      <c r="I46" s="46"/>
      <c r="J46" s="50"/>
    </row>
    <row r="47" spans="1:10" ht="15.75" thickBot="1">
      <c r="A47" s="81"/>
      <c r="B47" s="82"/>
      <c r="C47" s="82"/>
      <c r="D47" s="82"/>
      <c r="E47" s="82"/>
      <c r="F47" s="82"/>
      <c r="G47" s="82"/>
      <c r="H47" s="82"/>
      <c r="I47" s="82"/>
      <c r="J47" s="83"/>
    </row>
  </sheetData>
  <mergeCells count="11">
    <mergeCell ref="A38:B38"/>
    <mergeCell ref="C38:D38"/>
    <mergeCell ref="F38:H38"/>
    <mergeCell ref="I38:J38"/>
    <mergeCell ref="A2:J2"/>
    <mergeCell ref="A3:J3"/>
    <mergeCell ref="F17:J17"/>
    <mergeCell ref="A37:B37"/>
    <mergeCell ref="C37:D37"/>
    <mergeCell ref="F37:H37"/>
    <mergeCell ref="I37:J37"/>
  </mergeCells>
  <hyperlinks>
    <hyperlink ref="B9" r:id="rId1" display="jenny@yy-dc.com.cn"/>
    <hyperlink ref="B6" r:id="rId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5" workbookViewId="0">
      <selection activeCell="H19" sqref="H19"/>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189</v>
      </c>
      <c r="C19" s="14"/>
      <c r="D19" s="14" t="s">
        <v>91</v>
      </c>
      <c r="E19" s="45">
        <v>44868</v>
      </c>
      <c r="F19" s="14" t="s">
        <v>92</v>
      </c>
      <c r="G19" s="96">
        <v>44882</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187</v>
      </c>
      <c r="B36" s="118"/>
      <c r="C36" s="119" t="s">
        <v>188</v>
      </c>
      <c r="D36" s="118"/>
      <c r="E36" s="59" t="s">
        <v>166</v>
      </c>
      <c r="F36" s="120" t="s">
        <v>159</v>
      </c>
      <c r="G36" s="121"/>
      <c r="H36" s="122"/>
      <c r="I36" s="123">
        <v>44961</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252</v>
      </c>
      <c r="C40" s="73">
        <v>295</v>
      </c>
      <c r="D40" s="73">
        <v>327</v>
      </c>
      <c r="E40" s="73">
        <v>425</v>
      </c>
      <c r="F40" s="101">
        <v>271</v>
      </c>
      <c r="G40" s="73">
        <v>170</v>
      </c>
      <c r="H40" s="73">
        <v>197</v>
      </c>
      <c r="I40" s="73">
        <v>138</v>
      </c>
      <c r="J40" s="71"/>
    </row>
    <row r="41" spans="1:10" ht="15.4">
      <c r="A41" s="75"/>
      <c r="B41" s="46"/>
      <c r="C41" s="76"/>
      <c r="D41" s="46"/>
      <c r="E41" s="46"/>
      <c r="F41" s="46"/>
      <c r="G41" s="46"/>
      <c r="H41" s="97"/>
      <c r="I41" s="46"/>
      <c r="J41" s="50"/>
    </row>
    <row r="42" spans="1:10" ht="15.4">
      <c r="A42" s="48"/>
      <c r="B42" s="46"/>
      <c r="C42" s="46"/>
      <c r="D42" s="46"/>
      <c r="E42" s="46" t="s">
        <v>116</v>
      </c>
      <c r="F42" s="79">
        <f>SUM(B40:I40)</f>
        <v>2075</v>
      </c>
      <c r="G42" s="46"/>
      <c r="H42" s="46"/>
      <c r="I42" s="46"/>
      <c r="J42" s="50"/>
    </row>
    <row r="43" spans="1:10" ht="15.4">
      <c r="A43" s="48"/>
      <c r="B43" s="46"/>
      <c r="C43" s="46"/>
      <c r="D43" s="46"/>
      <c r="E43" s="46"/>
      <c r="F43" s="76"/>
      <c r="G43" s="46"/>
      <c r="H43" s="46"/>
      <c r="I43" s="46"/>
      <c r="J43" s="50"/>
    </row>
    <row r="44" spans="1:10" ht="15.4">
      <c r="A44" s="80" t="s">
        <v>186</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19" workbookViewId="0">
      <selection activeCell="H19" sqref="H19"/>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191</v>
      </c>
      <c r="C19" s="14"/>
      <c r="D19" s="14" t="s">
        <v>91</v>
      </c>
      <c r="E19" s="45">
        <v>44868</v>
      </c>
      <c r="F19" s="14" t="s">
        <v>92</v>
      </c>
      <c r="G19" s="96">
        <v>44900</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187</v>
      </c>
      <c r="B36" s="118"/>
      <c r="C36" s="119">
        <v>100</v>
      </c>
      <c r="D36" s="118"/>
      <c r="E36" s="59" t="s">
        <v>166</v>
      </c>
      <c r="F36" s="120" t="s">
        <v>159</v>
      </c>
      <c r="G36" s="121"/>
      <c r="H36" s="122"/>
      <c r="I36" s="123">
        <v>44961</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339</v>
      </c>
      <c r="C40" s="73">
        <v>1189</v>
      </c>
      <c r="D40" s="73">
        <v>610</v>
      </c>
      <c r="E40" s="73">
        <v>1468</v>
      </c>
      <c r="F40" s="101">
        <v>610</v>
      </c>
      <c r="G40" s="73">
        <v>975</v>
      </c>
      <c r="H40" s="73">
        <v>257</v>
      </c>
      <c r="I40" s="73">
        <v>570</v>
      </c>
      <c r="J40" s="71"/>
    </row>
    <row r="41" spans="1:10" ht="15.4">
      <c r="A41" s="75"/>
      <c r="B41" s="46"/>
      <c r="C41" s="76"/>
      <c r="D41" s="46"/>
      <c r="E41" s="46"/>
      <c r="F41" s="46"/>
      <c r="G41" s="46"/>
      <c r="H41" s="97"/>
      <c r="I41" s="46"/>
      <c r="J41" s="50"/>
    </row>
    <row r="42" spans="1:10" ht="15.4">
      <c r="A42" s="48"/>
      <c r="B42" s="46"/>
      <c r="C42" s="46"/>
      <c r="D42" s="46"/>
      <c r="E42" s="46" t="s">
        <v>116</v>
      </c>
      <c r="F42" s="79">
        <f>SUM(B40:I40)</f>
        <v>6018</v>
      </c>
      <c r="G42" s="46"/>
      <c r="H42" s="46"/>
      <c r="I42" s="46"/>
      <c r="J42" s="50"/>
    </row>
    <row r="43" spans="1:10" ht="15.4">
      <c r="A43" s="48"/>
      <c r="B43" s="46"/>
      <c r="C43" s="46"/>
      <c r="D43" s="46"/>
      <c r="E43" s="46"/>
      <c r="F43" s="76"/>
      <c r="G43" s="46"/>
      <c r="H43" s="46"/>
      <c r="I43" s="46"/>
      <c r="J43" s="50"/>
    </row>
    <row r="44" spans="1:10" ht="15.4">
      <c r="A44" s="80" t="s">
        <v>190</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8" workbookViewId="0">
      <selection activeCell="H19" sqref="H19"/>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193</v>
      </c>
      <c r="C19" s="14"/>
      <c r="D19" s="14" t="s">
        <v>91</v>
      </c>
      <c r="E19" s="45">
        <v>44868</v>
      </c>
      <c r="F19" s="14" t="s">
        <v>92</v>
      </c>
      <c r="G19" s="96">
        <v>44902</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187</v>
      </c>
      <c r="B36" s="118"/>
      <c r="C36" s="119">
        <v>100</v>
      </c>
      <c r="D36" s="118"/>
      <c r="E36" s="59" t="s">
        <v>166</v>
      </c>
      <c r="F36" s="120" t="s">
        <v>159</v>
      </c>
      <c r="G36" s="121"/>
      <c r="H36" s="122"/>
      <c r="I36" s="123">
        <v>44961</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1104</v>
      </c>
      <c r="C40" s="73">
        <v>1294</v>
      </c>
      <c r="D40" s="73">
        <v>1425</v>
      </c>
      <c r="E40" s="73">
        <v>1851</v>
      </c>
      <c r="F40" s="101">
        <v>1189</v>
      </c>
      <c r="G40" s="73">
        <v>754</v>
      </c>
      <c r="H40" s="73">
        <v>866</v>
      </c>
      <c r="I40" s="73">
        <v>642</v>
      </c>
      <c r="J40" s="71"/>
    </row>
    <row r="41" spans="1:10" ht="15.4">
      <c r="A41" s="75"/>
      <c r="B41" s="46"/>
      <c r="C41" s="76"/>
      <c r="D41" s="46"/>
      <c r="E41" s="46"/>
      <c r="F41" s="46"/>
      <c r="G41" s="46"/>
      <c r="H41" s="97"/>
      <c r="I41" s="46"/>
      <c r="J41" s="50"/>
    </row>
    <row r="42" spans="1:10" ht="15.4">
      <c r="A42" s="48"/>
      <c r="B42" s="46"/>
      <c r="C42" s="46"/>
      <c r="D42" s="46"/>
      <c r="E42" s="46" t="s">
        <v>116</v>
      </c>
      <c r="F42" s="79">
        <f>SUM(B40:I40)</f>
        <v>9125</v>
      </c>
      <c r="G42" s="46"/>
      <c r="H42" s="46"/>
      <c r="I42" s="46"/>
      <c r="J42" s="50"/>
    </row>
    <row r="43" spans="1:10" ht="15.4">
      <c r="A43" s="48"/>
      <c r="B43" s="46"/>
      <c r="C43" s="46"/>
      <c r="D43" s="46"/>
      <c r="E43" s="46"/>
      <c r="F43" s="76"/>
      <c r="G43" s="46"/>
      <c r="H43" s="46"/>
      <c r="I43" s="46"/>
      <c r="J43" s="50"/>
    </row>
    <row r="44" spans="1:10" ht="15.4">
      <c r="A44" s="80" t="s">
        <v>192</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5" workbookViewId="0">
      <selection activeCell="H19" sqref="H19"/>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196</v>
      </c>
      <c r="C19" s="14"/>
      <c r="D19" s="14" t="s">
        <v>91</v>
      </c>
      <c r="E19" s="45">
        <v>44868</v>
      </c>
      <c r="F19" s="14" t="s">
        <v>92</v>
      </c>
      <c r="G19" s="96">
        <v>44896</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195</v>
      </c>
      <c r="B36" s="118"/>
      <c r="C36" s="119">
        <v>191</v>
      </c>
      <c r="D36" s="118"/>
      <c r="E36" s="59" t="s">
        <v>166</v>
      </c>
      <c r="F36" s="120" t="s">
        <v>160</v>
      </c>
      <c r="G36" s="121"/>
      <c r="H36" s="122"/>
      <c r="I36" s="123">
        <v>44954</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494</v>
      </c>
      <c r="C40" s="73">
        <v>576</v>
      </c>
      <c r="D40" s="73">
        <v>637</v>
      </c>
      <c r="E40" s="73">
        <v>829</v>
      </c>
      <c r="F40" s="101">
        <v>530</v>
      </c>
      <c r="G40" s="73">
        <v>333</v>
      </c>
      <c r="H40" s="73">
        <v>384</v>
      </c>
      <c r="I40" s="73">
        <v>270</v>
      </c>
      <c r="J40" s="71"/>
    </row>
    <row r="41" spans="1:10" ht="15.4">
      <c r="A41" s="75"/>
      <c r="B41" s="46"/>
      <c r="C41" s="76"/>
      <c r="D41" s="46"/>
      <c r="E41" s="46"/>
      <c r="F41" s="46"/>
      <c r="G41" s="46"/>
      <c r="H41" s="97"/>
      <c r="I41" s="46"/>
      <c r="J41" s="50"/>
    </row>
    <row r="42" spans="1:10" ht="15.4">
      <c r="A42" s="48"/>
      <c r="B42" s="46"/>
      <c r="C42" s="46"/>
      <c r="D42" s="46"/>
      <c r="E42" s="46" t="s">
        <v>116</v>
      </c>
      <c r="F42" s="79">
        <f>SUM(B40:I40)</f>
        <v>4053</v>
      </c>
      <c r="G42" s="46"/>
      <c r="H42" s="46"/>
      <c r="I42" s="46"/>
      <c r="J42" s="50"/>
    </row>
    <row r="43" spans="1:10" ht="15.4">
      <c r="A43" s="48"/>
      <c r="B43" s="46"/>
      <c r="C43" s="46"/>
      <c r="D43" s="46"/>
      <c r="E43" s="46"/>
      <c r="F43" s="76"/>
      <c r="G43" s="46"/>
      <c r="H43" s="46"/>
      <c r="I43" s="46"/>
      <c r="J43" s="50"/>
    </row>
    <row r="44" spans="1:10" ht="15.4">
      <c r="A44" s="80" t="s">
        <v>194</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6" workbookViewId="0">
      <selection activeCell="A36" sqref="A36:B36"/>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198</v>
      </c>
      <c r="C19" s="14"/>
      <c r="D19" s="14" t="s">
        <v>91</v>
      </c>
      <c r="E19" s="45">
        <v>44868</v>
      </c>
      <c r="F19" s="14" t="s">
        <v>92</v>
      </c>
      <c r="G19" s="96">
        <v>44896</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195</v>
      </c>
      <c r="B36" s="118"/>
      <c r="C36" s="119">
        <v>191</v>
      </c>
      <c r="D36" s="118"/>
      <c r="E36" s="59" t="s">
        <v>166</v>
      </c>
      <c r="F36" s="120" t="s">
        <v>160</v>
      </c>
      <c r="G36" s="121"/>
      <c r="H36" s="122"/>
      <c r="I36" s="123">
        <v>44961</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289</v>
      </c>
      <c r="C40" s="73">
        <v>342</v>
      </c>
      <c r="D40" s="73">
        <v>372</v>
      </c>
      <c r="E40" s="73">
        <v>481</v>
      </c>
      <c r="F40" s="101">
        <v>314</v>
      </c>
      <c r="G40" s="73">
        <v>205</v>
      </c>
      <c r="H40" s="73">
        <v>231</v>
      </c>
      <c r="I40" s="73">
        <v>196</v>
      </c>
      <c r="J40" s="71"/>
    </row>
    <row r="41" spans="1:10" ht="15.4">
      <c r="A41" s="75"/>
      <c r="B41" s="46"/>
      <c r="C41" s="76"/>
      <c r="D41" s="46"/>
      <c r="E41" s="46"/>
      <c r="F41" s="46"/>
      <c r="G41" s="46"/>
      <c r="H41" s="97"/>
      <c r="I41" s="46"/>
      <c r="J41" s="50"/>
    </row>
    <row r="42" spans="1:10" ht="15.4">
      <c r="A42" s="48"/>
      <c r="B42" s="46"/>
      <c r="C42" s="46"/>
      <c r="D42" s="46"/>
      <c r="E42" s="46" t="s">
        <v>116</v>
      </c>
      <c r="F42" s="79">
        <f>SUM(B40:I40)</f>
        <v>2430</v>
      </c>
      <c r="G42" s="46"/>
      <c r="H42" s="46"/>
      <c r="I42" s="46"/>
      <c r="J42" s="50"/>
    </row>
    <row r="43" spans="1:10" ht="15.4">
      <c r="A43" s="48"/>
      <c r="B43" s="46"/>
      <c r="C43" s="46"/>
      <c r="D43" s="46"/>
      <c r="E43" s="46"/>
      <c r="F43" s="76"/>
      <c r="G43" s="46"/>
      <c r="H43" s="46"/>
      <c r="I43" s="46"/>
      <c r="J43" s="50"/>
    </row>
    <row r="44" spans="1:10" ht="15.4">
      <c r="A44" s="80" t="s">
        <v>197</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32" workbookViewId="0">
      <selection activeCell="H19" sqref="H19"/>
    </sheetView>
  </sheetViews>
  <sheetFormatPr defaultRowHeight="14.25"/>
  <cols>
    <col min="2" max="2" width="11.265625" customWidth="1"/>
    <col min="3" max="4" width="9.73046875" customWidth="1"/>
    <col min="5" max="5" width="11.86328125" customWidth="1"/>
    <col min="6" max="6" width="17" customWidth="1"/>
    <col min="7" max="7" width="12.265625" customWidth="1"/>
    <col min="8" max="9" width="9.73046875" customWidth="1"/>
    <col min="258" max="258" width="11.265625" customWidth="1"/>
    <col min="259" max="260" width="9.73046875" customWidth="1"/>
    <col min="261" max="261" width="11.86328125" customWidth="1"/>
    <col min="262" max="262" width="17" customWidth="1"/>
    <col min="263" max="263" width="12.265625" customWidth="1"/>
    <col min="264" max="265" width="9.73046875" customWidth="1"/>
    <col min="514" max="514" width="11.265625" customWidth="1"/>
    <col min="515" max="516" width="9.73046875" customWidth="1"/>
    <col min="517" max="517" width="11.86328125" customWidth="1"/>
    <col min="518" max="518" width="17" customWidth="1"/>
    <col min="519" max="519" width="12.265625" customWidth="1"/>
    <col min="520" max="521" width="9.73046875" customWidth="1"/>
    <col min="770" max="770" width="11.265625" customWidth="1"/>
    <col min="771" max="772" width="9.73046875" customWidth="1"/>
    <col min="773" max="773" width="11.86328125" customWidth="1"/>
    <col min="774" max="774" width="17" customWidth="1"/>
    <col min="775" max="775" width="12.265625" customWidth="1"/>
    <col min="776" max="777" width="9.73046875" customWidth="1"/>
    <col min="1026" max="1026" width="11.265625" customWidth="1"/>
    <col min="1027" max="1028" width="9.73046875" customWidth="1"/>
    <col min="1029" max="1029" width="11.86328125" customWidth="1"/>
    <col min="1030" max="1030" width="17" customWidth="1"/>
    <col min="1031" max="1031" width="12.265625" customWidth="1"/>
    <col min="1032" max="1033" width="9.73046875" customWidth="1"/>
    <col min="1282" max="1282" width="11.265625" customWidth="1"/>
    <col min="1283" max="1284" width="9.73046875" customWidth="1"/>
    <col min="1285" max="1285" width="11.86328125" customWidth="1"/>
    <col min="1286" max="1286" width="17" customWidth="1"/>
    <col min="1287" max="1287" width="12.265625" customWidth="1"/>
    <col min="1288" max="1289" width="9.73046875" customWidth="1"/>
    <col min="1538" max="1538" width="11.265625" customWidth="1"/>
    <col min="1539" max="1540" width="9.73046875" customWidth="1"/>
    <col min="1541" max="1541" width="11.86328125" customWidth="1"/>
    <col min="1542" max="1542" width="17" customWidth="1"/>
    <col min="1543" max="1543" width="12.265625" customWidth="1"/>
    <col min="1544" max="1545" width="9.73046875" customWidth="1"/>
    <col min="1794" max="1794" width="11.265625" customWidth="1"/>
    <col min="1795" max="1796" width="9.73046875" customWidth="1"/>
    <col min="1797" max="1797" width="11.86328125" customWidth="1"/>
    <col min="1798" max="1798" width="17" customWidth="1"/>
    <col min="1799" max="1799" width="12.265625" customWidth="1"/>
    <col min="1800" max="1801" width="9.73046875" customWidth="1"/>
    <col min="2050" max="2050" width="11.265625" customWidth="1"/>
    <col min="2051" max="2052" width="9.73046875" customWidth="1"/>
    <col min="2053" max="2053" width="11.86328125" customWidth="1"/>
    <col min="2054" max="2054" width="17" customWidth="1"/>
    <col min="2055" max="2055" width="12.265625" customWidth="1"/>
    <col min="2056" max="2057" width="9.73046875" customWidth="1"/>
    <col min="2306" max="2306" width="11.265625" customWidth="1"/>
    <col min="2307" max="2308" width="9.73046875" customWidth="1"/>
    <col min="2309" max="2309" width="11.86328125" customWidth="1"/>
    <col min="2310" max="2310" width="17" customWidth="1"/>
    <col min="2311" max="2311" width="12.265625" customWidth="1"/>
    <col min="2312" max="2313" width="9.73046875" customWidth="1"/>
    <col min="2562" max="2562" width="11.265625" customWidth="1"/>
    <col min="2563" max="2564" width="9.73046875" customWidth="1"/>
    <col min="2565" max="2565" width="11.86328125" customWidth="1"/>
    <col min="2566" max="2566" width="17" customWidth="1"/>
    <col min="2567" max="2567" width="12.265625" customWidth="1"/>
    <col min="2568" max="2569" width="9.73046875" customWidth="1"/>
    <col min="2818" max="2818" width="11.265625" customWidth="1"/>
    <col min="2819" max="2820" width="9.73046875" customWidth="1"/>
    <col min="2821" max="2821" width="11.86328125" customWidth="1"/>
    <col min="2822" max="2822" width="17" customWidth="1"/>
    <col min="2823" max="2823" width="12.265625" customWidth="1"/>
    <col min="2824" max="2825" width="9.73046875" customWidth="1"/>
    <col min="3074" max="3074" width="11.265625" customWidth="1"/>
    <col min="3075" max="3076" width="9.73046875" customWidth="1"/>
    <col min="3077" max="3077" width="11.86328125" customWidth="1"/>
    <col min="3078" max="3078" width="17" customWidth="1"/>
    <col min="3079" max="3079" width="12.265625" customWidth="1"/>
    <col min="3080" max="3081" width="9.73046875" customWidth="1"/>
    <col min="3330" max="3330" width="11.265625" customWidth="1"/>
    <col min="3331" max="3332" width="9.73046875" customWidth="1"/>
    <col min="3333" max="3333" width="11.86328125" customWidth="1"/>
    <col min="3334" max="3334" width="17" customWidth="1"/>
    <col min="3335" max="3335" width="12.265625" customWidth="1"/>
    <col min="3336" max="3337" width="9.73046875" customWidth="1"/>
    <col min="3586" max="3586" width="11.265625" customWidth="1"/>
    <col min="3587" max="3588" width="9.73046875" customWidth="1"/>
    <col min="3589" max="3589" width="11.86328125" customWidth="1"/>
    <col min="3590" max="3590" width="17" customWidth="1"/>
    <col min="3591" max="3591" width="12.265625" customWidth="1"/>
    <col min="3592" max="3593" width="9.73046875" customWidth="1"/>
    <col min="3842" max="3842" width="11.265625" customWidth="1"/>
    <col min="3843" max="3844" width="9.73046875" customWidth="1"/>
    <col min="3845" max="3845" width="11.86328125" customWidth="1"/>
    <col min="3846" max="3846" width="17" customWidth="1"/>
    <col min="3847" max="3847" width="12.265625" customWidth="1"/>
    <col min="3848" max="3849" width="9.73046875" customWidth="1"/>
    <col min="4098" max="4098" width="11.265625" customWidth="1"/>
    <col min="4099" max="4100" width="9.73046875" customWidth="1"/>
    <col min="4101" max="4101" width="11.86328125" customWidth="1"/>
    <col min="4102" max="4102" width="17" customWidth="1"/>
    <col min="4103" max="4103" width="12.265625" customWidth="1"/>
    <col min="4104" max="4105" width="9.73046875" customWidth="1"/>
    <col min="4354" max="4354" width="11.265625" customWidth="1"/>
    <col min="4355" max="4356" width="9.73046875" customWidth="1"/>
    <col min="4357" max="4357" width="11.86328125" customWidth="1"/>
    <col min="4358" max="4358" width="17" customWidth="1"/>
    <col min="4359" max="4359" width="12.265625" customWidth="1"/>
    <col min="4360" max="4361" width="9.73046875" customWidth="1"/>
    <col min="4610" max="4610" width="11.265625" customWidth="1"/>
    <col min="4611" max="4612" width="9.73046875" customWidth="1"/>
    <col min="4613" max="4613" width="11.86328125" customWidth="1"/>
    <col min="4614" max="4614" width="17" customWidth="1"/>
    <col min="4615" max="4615" width="12.265625" customWidth="1"/>
    <col min="4616" max="4617" width="9.73046875" customWidth="1"/>
    <col min="4866" max="4866" width="11.265625" customWidth="1"/>
    <col min="4867" max="4868" width="9.73046875" customWidth="1"/>
    <col min="4869" max="4869" width="11.86328125" customWidth="1"/>
    <col min="4870" max="4870" width="17" customWidth="1"/>
    <col min="4871" max="4871" width="12.265625" customWidth="1"/>
    <col min="4872" max="4873" width="9.73046875" customWidth="1"/>
    <col min="5122" max="5122" width="11.265625" customWidth="1"/>
    <col min="5123" max="5124" width="9.73046875" customWidth="1"/>
    <col min="5125" max="5125" width="11.86328125" customWidth="1"/>
    <col min="5126" max="5126" width="17" customWidth="1"/>
    <col min="5127" max="5127" width="12.265625" customWidth="1"/>
    <col min="5128" max="5129" width="9.73046875" customWidth="1"/>
    <col min="5378" max="5378" width="11.265625" customWidth="1"/>
    <col min="5379" max="5380" width="9.73046875" customWidth="1"/>
    <col min="5381" max="5381" width="11.86328125" customWidth="1"/>
    <col min="5382" max="5382" width="17" customWidth="1"/>
    <col min="5383" max="5383" width="12.265625" customWidth="1"/>
    <col min="5384" max="5385" width="9.73046875" customWidth="1"/>
    <col min="5634" max="5634" width="11.265625" customWidth="1"/>
    <col min="5635" max="5636" width="9.73046875" customWidth="1"/>
    <col min="5637" max="5637" width="11.86328125" customWidth="1"/>
    <col min="5638" max="5638" width="17" customWidth="1"/>
    <col min="5639" max="5639" width="12.265625" customWidth="1"/>
    <col min="5640" max="5641" width="9.73046875" customWidth="1"/>
    <col min="5890" max="5890" width="11.265625" customWidth="1"/>
    <col min="5891" max="5892" width="9.73046875" customWidth="1"/>
    <col min="5893" max="5893" width="11.86328125" customWidth="1"/>
    <col min="5894" max="5894" width="17" customWidth="1"/>
    <col min="5895" max="5895" width="12.265625" customWidth="1"/>
    <col min="5896" max="5897" width="9.73046875" customWidth="1"/>
    <col min="6146" max="6146" width="11.265625" customWidth="1"/>
    <col min="6147" max="6148" width="9.73046875" customWidth="1"/>
    <col min="6149" max="6149" width="11.86328125" customWidth="1"/>
    <col min="6150" max="6150" width="17" customWidth="1"/>
    <col min="6151" max="6151" width="12.265625" customWidth="1"/>
    <col min="6152" max="6153" width="9.73046875" customWidth="1"/>
    <col min="6402" max="6402" width="11.265625" customWidth="1"/>
    <col min="6403" max="6404" width="9.73046875" customWidth="1"/>
    <col min="6405" max="6405" width="11.86328125" customWidth="1"/>
    <col min="6406" max="6406" width="17" customWidth="1"/>
    <col min="6407" max="6407" width="12.265625" customWidth="1"/>
    <col min="6408" max="6409" width="9.73046875" customWidth="1"/>
    <col min="6658" max="6658" width="11.265625" customWidth="1"/>
    <col min="6659" max="6660" width="9.73046875" customWidth="1"/>
    <col min="6661" max="6661" width="11.86328125" customWidth="1"/>
    <col min="6662" max="6662" width="17" customWidth="1"/>
    <col min="6663" max="6663" width="12.265625" customWidth="1"/>
    <col min="6664" max="6665" width="9.73046875" customWidth="1"/>
    <col min="6914" max="6914" width="11.265625" customWidth="1"/>
    <col min="6915" max="6916" width="9.73046875" customWidth="1"/>
    <col min="6917" max="6917" width="11.86328125" customWidth="1"/>
    <col min="6918" max="6918" width="17" customWidth="1"/>
    <col min="6919" max="6919" width="12.265625" customWidth="1"/>
    <col min="6920" max="6921" width="9.73046875" customWidth="1"/>
    <col min="7170" max="7170" width="11.265625" customWidth="1"/>
    <col min="7171" max="7172" width="9.73046875" customWidth="1"/>
    <col min="7173" max="7173" width="11.86328125" customWidth="1"/>
    <col min="7174" max="7174" width="17" customWidth="1"/>
    <col min="7175" max="7175" width="12.265625" customWidth="1"/>
    <col min="7176" max="7177" width="9.73046875" customWidth="1"/>
    <col min="7426" max="7426" width="11.265625" customWidth="1"/>
    <col min="7427" max="7428" width="9.73046875" customWidth="1"/>
    <col min="7429" max="7429" width="11.86328125" customWidth="1"/>
    <col min="7430" max="7430" width="17" customWidth="1"/>
    <col min="7431" max="7431" width="12.265625" customWidth="1"/>
    <col min="7432" max="7433" width="9.73046875" customWidth="1"/>
    <col min="7682" max="7682" width="11.265625" customWidth="1"/>
    <col min="7683" max="7684" width="9.73046875" customWidth="1"/>
    <col min="7685" max="7685" width="11.86328125" customWidth="1"/>
    <col min="7686" max="7686" width="17" customWidth="1"/>
    <col min="7687" max="7687" width="12.265625" customWidth="1"/>
    <col min="7688" max="7689" width="9.73046875" customWidth="1"/>
    <col min="7938" max="7938" width="11.265625" customWidth="1"/>
    <col min="7939" max="7940" width="9.73046875" customWidth="1"/>
    <col min="7941" max="7941" width="11.86328125" customWidth="1"/>
    <col min="7942" max="7942" width="17" customWidth="1"/>
    <col min="7943" max="7943" width="12.265625" customWidth="1"/>
    <col min="7944" max="7945" width="9.73046875" customWidth="1"/>
    <col min="8194" max="8194" width="11.265625" customWidth="1"/>
    <col min="8195" max="8196" width="9.73046875" customWidth="1"/>
    <col min="8197" max="8197" width="11.86328125" customWidth="1"/>
    <col min="8198" max="8198" width="17" customWidth="1"/>
    <col min="8199" max="8199" width="12.265625" customWidth="1"/>
    <col min="8200" max="8201" width="9.73046875" customWidth="1"/>
    <col min="8450" max="8450" width="11.265625" customWidth="1"/>
    <col min="8451" max="8452" width="9.73046875" customWidth="1"/>
    <col min="8453" max="8453" width="11.86328125" customWidth="1"/>
    <col min="8454" max="8454" width="17" customWidth="1"/>
    <col min="8455" max="8455" width="12.265625" customWidth="1"/>
    <col min="8456" max="8457" width="9.73046875" customWidth="1"/>
    <col min="8706" max="8706" width="11.265625" customWidth="1"/>
    <col min="8707" max="8708" width="9.73046875" customWidth="1"/>
    <col min="8709" max="8709" width="11.86328125" customWidth="1"/>
    <col min="8710" max="8710" width="17" customWidth="1"/>
    <col min="8711" max="8711" width="12.265625" customWidth="1"/>
    <col min="8712" max="8713" width="9.73046875" customWidth="1"/>
    <col min="8962" max="8962" width="11.265625" customWidth="1"/>
    <col min="8963" max="8964" width="9.73046875" customWidth="1"/>
    <col min="8965" max="8965" width="11.86328125" customWidth="1"/>
    <col min="8966" max="8966" width="17" customWidth="1"/>
    <col min="8967" max="8967" width="12.265625" customWidth="1"/>
    <col min="8968" max="8969" width="9.73046875" customWidth="1"/>
    <col min="9218" max="9218" width="11.265625" customWidth="1"/>
    <col min="9219" max="9220" width="9.73046875" customWidth="1"/>
    <col min="9221" max="9221" width="11.86328125" customWidth="1"/>
    <col min="9222" max="9222" width="17" customWidth="1"/>
    <col min="9223" max="9223" width="12.265625" customWidth="1"/>
    <col min="9224" max="9225" width="9.73046875" customWidth="1"/>
    <col min="9474" max="9474" width="11.265625" customWidth="1"/>
    <col min="9475" max="9476" width="9.73046875" customWidth="1"/>
    <col min="9477" max="9477" width="11.86328125" customWidth="1"/>
    <col min="9478" max="9478" width="17" customWidth="1"/>
    <col min="9479" max="9479" width="12.265625" customWidth="1"/>
    <col min="9480" max="9481" width="9.73046875" customWidth="1"/>
    <col min="9730" max="9730" width="11.265625" customWidth="1"/>
    <col min="9731" max="9732" width="9.73046875" customWidth="1"/>
    <col min="9733" max="9733" width="11.86328125" customWidth="1"/>
    <col min="9734" max="9734" width="17" customWidth="1"/>
    <col min="9735" max="9735" width="12.265625" customWidth="1"/>
    <col min="9736" max="9737" width="9.73046875" customWidth="1"/>
    <col min="9986" max="9986" width="11.265625" customWidth="1"/>
    <col min="9987" max="9988" width="9.73046875" customWidth="1"/>
    <col min="9989" max="9989" width="11.86328125" customWidth="1"/>
    <col min="9990" max="9990" width="17" customWidth="1"/>
    <col min="9991" max="9991" width="12.265625" customWidth="1"/>
    <col min="9992" max="9993" width="9.73046875" customWidth="1"/>
    <col min="10242" max="10242" width="11.265625" customWidth="1"/>
    <col min="10243" max="10244" width="9.73046875" customWidth="1"/>
    <col min="10245" max="10245" width="11.86328125" customWidth="1"/>
    <col min="10246" max="10246" width="17" customWidth="1"/>
    <col min="10247" max="10247" width="12.265625" customWidth="1"/>
    <col min="10248" max="10249" width="9.73046875" customWidth="1"/>
    <col min="10498" max="10498" width="11.265625" customWidth="1"/>
    <col min="10499" max="10500" width="9.73046875" customWidth="1"/>
    <col min="10501" max="10501" width="11.86328125" customWidth="1"/>
    <col min="10502" max="10502" width="17" customWidth="1"/>
    <col min="10503" max="10503" width="12.265625" customWidth="1"/>
    <col min="10504" max="10505" width="9.73046875" customWidth="1"/>
    <col min="10754" max="10754" width="11.265625" customWidth="1"/>
    <col min="10755" max="10756" width="9.73046875" customWidth="1"/>
    <col min="10757" max="10757" width="11.86328125" customWidth="1"/>
    <col min="10758" max="10758" width="17" customWidth="1"/>
    <col min="10759" max="10759" width="12.265625" customWidth="1"/>
    <col min="10760" max="10761" width="9.73046875" customWidth="1"/>
    <col min="11010" max="11010" width="11.265625" customWidth="1"/>
    <col min="11011" max="11012" width="9.73046875" customWidth="1"/>
    <col min="11013" max="11013" width="11.86328125" customWidth="1"/>
    <col min="11014" max="11014" width="17" customWidth="1"/>
    <col min="11015" max="11015" width="12.265625" customWidth="1"/>
    <col min="11016" max="11017" width="9.73046875" customWidth="1"/>
    <col min="11266" max="11266" width="11.265625" customWidth="1"/>
    <col min="11267" max="11268" width="9.73046875" customWidth="1"/>
    <col min="11269" max="11269" width="11.86328125" customWidth="1"/>
    <col min="11270" max="11270" width="17" customWidth="1"/>
    <col min="11271" max="11271" width="12.265625" customWidth="1"/>
    <col min="11272" max="11273" width="9.73046875" customWidth="1"/>
    <col min="11522" max="11522" width="11.265625" customWidth="1"/>
    <col min="11523" max="11524" width="9.73046875" customWidth="1"/>
    <col min="11525" max="11525" width="11.86328125" customWidth="1"/>
    <col min="11526" max="11526" width="17" customWidth="1"/>
    <col min="11527" max="11527" width="12.265625" customWidth="1"/>
    <col min="11528" max="11529" width="9.73046875" customWidth="1"/>
    <col min="11778" max="11778" width="11.265625" customWidth="1"/>
    <col min="11779" max="11780" width="9.73046875" customWidth="1"/>
    <col min="11781" max="11781" width="11.86328125" customWidth="1"/>
    <col min="11782" max="11782" width="17" customWidth="1"/>
    <col min="11783" max="11783" width="12.265625" customWidth="1"/>
    <col min="11784" max="11785" width="9.73046875" customWidth="1"/>
    <col min="12034" max="12034" width="11.265625" customWidth="1"/>
    <col min="12035" max="12036" width="9.73046875" customWidth="1"/>
    <col min="12037" max="12037" width="11.86328125" customWidth="1"/>
    <col min="12038" max="12038" width="17" customWidth="1"/>
    <col min="12039" max="12039" width="12.265625" customWidth="1"/>
    <col min="12040" max="12041" width="9.73046875" customWidth="1"/>
    <col min="12290" max="12290" width="11.265625" customWidth="1"/>
    <col min="12291" max="12292" width="9.73046875" customWidth="1"/>
    <col min="12293" max="12293" width="11.86328125" customWidth="1"/>
    <col min="12294" max="12294" width="17" customWidth="1"/>
    <col min="12295" max="12295" width="12.265625" customWidth="1"/>
    <col min="12296" max="12297" width="9.73046875" customWidth="1"/>
    <col min="12546" max="12546" width="11.265625" customWidth="1"/>
    <col min="12547" max="12548" width="9.73046875" customWidth="1"/>
    <col min="12549" max="12549" width="11.86328125" customWidth="1"/>
    <col min="12550" max="12550" width="17" customWidth="1"/>
    <col min="12551" max="12551" width="12.265625" customWidth="1"/>
    <col min="12552" max="12553" width="9.73046875" customWidth="1"/>
    <col min="12802" max="12802" width="11.265625" customWidth="1"/>
    <col min="12803" max="12804" width="9.73046875" customWidth="1"/>
    <col min="12805" max="12805" width="11.86328125" customWidth="1"/>
    <col min="12806" max="12806" width="17" customWidth="1"/>
    <col min="12807" max="12807" width="12.265625" customWidth="1"/>
    <col min="12808" max="12809" width="9.73046875" customWidth="1"/>
    <col min="13058" max="13058" width="11.265625" customWidth="1"/>
    <col min="13059" max="13060" width="9.73046875" customWidth="1"/>
    <col min="13061" max="13061" width="11.86328125" customWidth="1"/>
    <col min="13062" max="13062" width="17" customWidth="1"/>
    <col min="13063" max="13063" width="12.265625" customWidth="1"/>
    <col min="13064" max="13065" width="9.73046875" customWidth="1"/>
    <col min="13314" max="13314" width="11.265625" customWidth="1"/>
    <col min="13315" max="13316" width="9.73046875" customWidth="1"/>
    <col min="13317" max="13317" width="11.86328125" customWidth="1"/>
    <col min="13318" max="13318" width="17" customWidth="1"/>
    <col min="13319" max="13319" width="12.265625" customWidth="1"/>
    <col min="13320" max="13321" width="9.73046875" customWidth="1"/>
    <col min="13570" max="13570" width="11.265625" customWidth="1"/>
    <col min="13571" max="13572" width="9.73046875" customWidth="1"/>
    <col min="13573" max="13573" width="11.86328125" customWidth="1"/>
    <col min="13574" max="13574" width="17" customWidth="1"/>
    <col min="13575" max="13575" width="12.265625" customWidth="1"/>
    <col min="13576" max="13577" width="9.73046875" customWidth="1"/>
    <col min="13826" max="13826" width="11.265625" customWidth="1"/>
    <col min="13827" max="13828" width="9.73046875" customWidth="1"/>
    <col min="13829" max="13829" width="11.86328125" customWidth="1"/>
    <col min="13830" max="13830" width="17" customWidth="1"/>
    <col min="13831" max="13831" width="12.265625" customWidth="1"/>
    <col min="13832" max="13833" width="9.73046875" customWidth="1"/>
    <col min="14082" max="14082" width="11.265625" customWidth="1"/>
    <col min="14083" max="14084" width="9.73046875" customWidth="1"/>
    <col min="14085" max="14085" width="11.86328125" customWidth="1"/>
    <col min="14086" max="14086" width="17" customWidth="1"/>
    <col min="14087" max="14087" width="12.265625" customWidth="1"/>
    <col min="14088" max="14089" width="9.73046875" customWidth="1"/>
    <col min="14338" max="14338" width="11.265625" customWidth="1"/>
    <col min="14339" max="14340" width="9.73046875" customWidth="1"/>
    <col min="14341" max="14341" width="11.86328125" customWidth="1"/>
    <col min="14342" max="14342" width="17" customWidth="1"/>
    <col min="14343" max="14343" width="12.265625" customWidth="1"/>
    <col min="14344" max="14345" width="9.73046875" customWidth="1"/>
    <col min="14594" max="14594" width="11.265625" customWidth="1"/>
    <col min="14595" max="14596" width="9.73046875" customWidth="1"/>
    <col min="14597" max="14597" width="11.86328125" customWidth="1"/>
    <col min="14598" max="14598" width="17" customWidth="1"/>
    <col min="14599" max="14599" width="12.265625" customWidth="1"/>
    <col min="14600" max="14601" width="9.73046875" customWidth="1"/>
    <col min="14850" max="14850" width="11.265625" customWidth="1"/>
    <col min="14851" max="14852" width="9.73046875" customWidth="1"/>
    <col min="14853" max="14853" width="11.86328125" customWidth="1"/>
    <col min="14854" max="14854" width="17" customWidth="1"/>
    <col min="14855" max="14855" width="12.265625" customWidth="1"/>
    <col min="14856" max="14857" width="9.73046875" customWidth="1"/>
    <col min="15106" max="15106" width="11.265625" customWidth="1"/>
    <col min="15107" max="15108" width="9.73046875" customWidth="1"/>
    <col min="15109" max="15109" width="11.86328125" customWidth="1"/>
    <col min="15110" max="15110" width="17" customWidth="1"/>
    <col min="15111" max="15111" width="12.265625" customWidth="1"/>
    <col min="15112" max="15113" width="9.73046875" customWidth="1"/>
    <col min="15362" max="15362" width="11.265625" customWidth="1"/>
    <col min="15363" max="15364" width="9.73046875" customWidth="1"/>
    <col min="15365" max="15365" width="11.86328125" customWidth="1"/>
    <col min="15366" max="15366" width="17" customWidth="1"/>
    <col min="15367" max="15367" width="12.265625" customWidth="1"/>
    <col min="15368" max="15369" width="9.73046875" customWidth="1"/>
    <col min="15618" max="15618" width="11.265625" customWidth="1"/>
    <col min="15619" max="15620" width="9.73046875" customWidth="1"/>
    <col min="15621" max="15621" width="11.86328125" customWidth="1"/>
    <col min="15622" max="15622" width="17" customWidth="1"/>
    <col min="15623" max="15623" width="12.265625" customWidth="1"/>
    <col min="15624" max="15625" width="9.73046875" customWidth="1"/>
    <col min="15874" max="15874" width="11.265625" customWidth="1"/>
    <col min="15875" max="15876" width="9.73046875" customWidth="1"/>
    <col min="15877" max="15877" width="11.86328125" customWidth="1"/>
    <col min="15878" max="15878" width="17" customWidth="1"/>
    <col min="15879" max="15879" width="12.265625" customWidth="1"/>
    <col min="15880" max="15881" width="9.73046875" customWidth="1"/>
    <col min="16130" max="16130" width="11.265625" customWidth="1"/>
    <col min="16131" max="16132" width="9.73046875" customWidth="1"/>
    <col min="16133" max="16133" width="11.86328125" customWidth="1"/>
    <col min="16134" max="16134" width="17" customWidth="1"/>
    <col min="16135" max="16135" width="12.265625" customWidth="1"/>
    <col min="16136" max="16137" width="9.7304687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200</v>
      </c>
      <c r="C19" s="14"/>
      <c r="D19" s="14" t="s">
        <v>91</v>
      </c>
      <c r="E19" s="45">
        <v>44868</v>
      </c>
      <c r="F19" s="14" t="s">
        <v>92</v>
      </c>
      <c r="G19" s="96">
        <v>44902</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60.75" customHeight="1">
      <c r="A36" s="117" t="s">
        <v>195</v>
      </c>
      <c r="B36" s="118"/>
      <c r="C36" s="119">
        <v>191</v>
      </c>
      <c r="D36" s="118"/>
      <c r="E36" s="59" t="s">
        <v>166</v>
      </c>
      <c r="F36" s="120" t="s">
        <v>160</v>
      </c>
      <c r="G36" s="121"/>
      <c r="H36" s="122"/>
      <c r="I36" s="123">
        <v>44954</v>
      </c>
      <c r="J36" s="124"/>
    </row>
    <row r="37" spans="1:10" ht="15.4">
      <c r="A37" s="60"/>
      <c r="B37" s="61"/>
      <c r="C37" s="61"/>
      <c r="D37" s="61"/>
      <c r="E37" s="62"/>
      <c r="F37" s="62"/>
      <c r="G37" s="62"/>
      <c r="H37" s="62"/>
      <c r="I37" s="63"/>
      <c r="J37" s="64"/>
    </row>
    <row r="38" spans="1:10" ht="15.4">
      <c r="A38" s="75" t="s">
        <v>106</v>
      </c>
      <c r="B38" s="46"/>
      <c r="C38" s="76" t="s">
        <v>177</v>
      </c>
      <c r="D38" s="46"/>
      <c r="E38" s="46"/>
      <c r="F38" s="46"/>
      <c r="G38" s="46"/>
      <c r="H38" s="97"/>
      <c r="I38" s="46"/>
      <c r="J38" s="50"/>
    </row>
    <row r="39" spans="1:10" ht="15.4">
      <c r="A39" s="98" t="s">
        <v>108</v>
      </c>
      <c r="B39" s="99" t="s">
        <v>178</v>
      </c>
      <c r="C39" s="99" t="s">
        <v>179</v>
      </c>
      <c r="D39" s="99" t="s">
        <v>180</v>
      </c>
      <c r="E39" s="99" t="s">
        <v>181</v>
      </c>
      <c r="F39" s="99" t="s">
        <v>182</v>
      </c>
      <c r="G39" s="99" t="s">
        <v>183</v>
      </c>
      <c r="H39" s="99" t="s">
        <v>184</v>
      </c>
      <c r="I39" s="99" t="s">
        <v>185</v>
      </c>
      <c r="J39" s="71"/>
    </row>
    <row r="40" spans="1:10" ht="15.4">
      <c r="A40" s="100" t="s">
        <v>115</v>
      </c>
      <c r="B40" s="73">
        <v>342</v>
      </c>
      <c r="C40" s="73">
        <v>1809</v>
      </c>
      <c r="D40" s="73">
        <v>757</v>
      </c>
      <c r="E40" s="73">
        <v>2655</v>
      </c>
      <c r="F40" s="101">
        <v>778</v>
      </c>
      <c r="G40" s="73">
        <v>2193</v>
      </c>
      <c r="H40" s="73">
        <v>278</v>
      </c>
      <c r="I40" s="73">
        <v>1501</v>
      </c>
      <c r="J40" s="71"/>
    </row>
    <row r="41" spans="1:10" ht="15.4">
      <c r="A41" s="75"/>
      <c r="B41" s="46"/>
      <c r="C41" s="76"/>
      <c r="D41" s="46"/>
      <c r="E41" s="46"/>
      <c r="F41" s="46"/>
      <c r="G41" s="46"/>
      <c r="H41" s="97"/>
      <c r="I41" s="46"/>
      <c r="J41" s="50"/>
    </row>
    <row r="42" spans="1:10" ht="15.4">
      <c r="A42" s="48"/>
      <c r="B42" s="46"/>
      <c r="C42" s="46"/>
      <c r="D42" s="46"/>
      <c r="E42" s="46" t="s">
        <v>116</v>
      </c>
      <c r="F42" s="79">
        <f>SUM(B40:I40)</f>
        <v>10313</v>
      </c>
      <c r="G42" s="46"/>
      <c r="H42" s="46"/>
      <c r="I42" s="46"/>
      <c r="J42" s="50"/>
    </row>
    <row r="43" spans="1:10" ht="15.4">
      <c r="A43" s="48"/>
      <c r="B43" s="46"/>
      <c r="C43" s="46"/>
      <c r="D43" s="46"/>
      <c r="E43" s="46"/>
      <c r="F43" s="76"/>
      <c r="G43" s="46"/>
      <c r="H43" s="46"/>
      <c r="I43" s="46"/>
      <c r="J43" s="50"/>
    </row>
    <row r="44" spans="1:10" ht="15.4">
      <c r="A44" s="80" t="s">
        <v>199</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opLeftCell="A25" workbookViewId="0">
      <selection activeCell="H19" sqref="H19"/>
    </sheetView>
  </sheetViews>
  <sheetFormatPr defaultRowHeight="14.25"/>
  <cols>
    <col min="2" max="7" width="11.26562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208</v>
      </c>
      <c r="C19" s="14"/>
      <c r="D19" s="14" t="s">
        <v>91</v>
      </c>
      <c r="E19" s="45">
        <v>44868</v>
      </c>
      <c r="F19" s="14" t="s">
        <v>92</v>
      </c>
      <c r="G19" s="96">
        <v>44907</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42" customHeight="1">
      <c r="A36" s="117">
        <v>322359</v>
      </c>
      <c r="B36" s="118"/>
      <c r="C36" s="119" t="s">
        <v>104</v>
      </c>
      <c r="D36" s="118"/>
      <c r="E36" s="59" t="s">
        <v>166</v>
      </c>
      <c r="F36" s="120" t="s">
        <v>105</v>
      </c>
      <c r="G36" s="121"/>
      <c r="H36" s="122"/>
      <c r="I36" s="123">
        <v>44954</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336</v>
      </c>
      <c r="C40" s="73">
        <v>463</v>
      </c>
      <c r="D40" s="73">
        <v>463</v>
      </c>
      <c r="E40" s="73">
        <v>463</v>
      </c>
      <c r="F40" s="73">
        <v>505</v>
      </c>
      <c r="G40" s="73">
        <v>547</v>
      </c>
      <c r="H40" s="105"/>
      <c r="I40" s="77"/>
      <c r="J40" s="71"/>
    </row>
    <row r="41" spans="1:10" ht="15.4">
      <c r="A41" s="106"/>
      <c r="B41" s="77"/>
      <c r="C41" s="77"/>
      <c r="D41" s="77"/>
      <c r="E41" s="77"/>
      <c r="F41" s="77"/>
      <c r="G41" s="77"/>
      <c r="H41" s="105"/>
      <c r="I41" s="77"/>
      <c r="J41" s="71"/>
    </row>
    <row r="42" spans="1:10" ht="15.4">
      <c r="A42" s="58" t="s">
        <v>108</v>
      </c>
      <c r="B42" s="58" t="s">
        <v>179</v>
      </c>
      <c r="C42" s="58" t="s">
        <v>181</v>
      </c>
      <c r="D42" s="58" t="s">
        <v>183</v>
      </c>
      <c r="E42" s="77"/>
      <c r="F42" s="77"/>
      <c r="G42" s="77"/>
      <c r="H42" s="105"/>
      <c r="I42" s="77"/>
      <c r="J42" s="71"/>
    </row>
    <row r="43" spans="1:10" ht="15.4">
      <c r="A43" s="101" t="s">
        <v>115</v>
      </c>
      <c r="B43" s="73">
        <v>421</v>
      </c>
      <c r="C43" s="73">
        <v>505</v>
      </c>
      <c r="D43" s="73">
        <v>505</v>
      </c>
      <c r="E43" s="77"/>
      <c r="F43" s="77"/>
      <c r="G43" s="77"/>
      <c r="H43" s="105"/>
      <c r="I43" s="77"/>
      <c r="J43" s="71"/>
    </row>
    <row r="44" spans="1:10" ht="15.4">
      <c r="A44" s="75"/>
      <c r="B44" s="46"/>
      <c r="C44" s="76"/>
      <c r="D44" s="46"/>
      <c r="E44" s="46"/>
      <c r="F44" s="46"/>
      <c r="G44" s="46"/>
      <c r="H44" s="97"/>
      <c r="I44" s="46"/>
      <c r="J44" s="50"/>
    </row>
    <row r="45" spans="1:10" ht="15.4">
      <c r="A45" s="48"/>
      <c r="B45" s="46"/>
      <c r="C45" s="46"/>
      <c r="D45" s="46"/>
      <c r="E45" s="46" t="s">
        <v>116</v>
      </c>
      <c r="F45" s="79">
        <f>SUM(B40:G40,B43:D43)</f>
        <v>4208</v>
      </c>
      <c r="G45" s="46"/>
      <c r="H45" s="46"/>
      <c r="I45" s="46"/>
      <c r="J45" s="50"/>
    </row>
    <row r="46" spans="1:10" ht="15.4">
      <c r="A46" s="48"/>
      <c r="B46" s="46"/>
      <c r="C46" s="46"/>
      <c r="D46" s="46"/>
      <c r="E46" s="46"/>
      <c r="F46" s="76"/>
      <c r="G46" s="46"/>
      <c r="H46" s="46"/>
      <c r="I46" s="46"/>
      <c r="J46" s="50"/>
    </row>
    <row r="47" spans="1:10" ht="15.4">
      <c r="A47" s="80" t="s">
        <v>207</v>
      </c>
      <c r="B47" s="46"/>
      <c r="C47" s="46"/>
      <c r="D47" s="46"/>
      <c r="E47" s="46"/>
      <c r="F47" s="76"/>
      <c r="G47" s="46"/>
      <c r="H47" s="46"/>
      <c r="I47" s="46"/>
      <c r="J47" s="50"/>
    </row>
    <row r="48" spans="1:10" ht="15.75" thickBot="1">
      <c r="A48" s="81"/>
      <c r="B48" s="82"/>
      <c r="C48" s="82"/>
      <c r="D48" s="82"/>
      <c r="E48" s="82"/>
      <c r="F48" s="82"/>
      <c r="G48" s="82"/>
      <c r="H48" s="82"/>
      <c r="I48" s="82"/>
      <c r="J48"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opLeftCell="B24" workbookViewId="0">
      <selection activeCell="I36" sqref="I36:J36"/>
    </sheetView>
  </sheetViews>
  <sheetFormatPr defaultRowHeight="14.25"/>
  <cols>
    <col min="2" max="7" width="11.26562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210</v>
      </c>
      <c r="C19" s="14"/>
      <c r="D19" s="14" t="s">
        <v>91</v>
      </c>
      <c r="E19" s="45">
        <v>44868</v>
      </c>
      <c r="F19" s="14" t="s">
        <v>92</v>
      </c>
      <c r="G19" s="96">
        <v>44913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42" customHeight="1">
      <c r="A36" s="117">
        <v>322359</v>
      </c>
      <c r="B36" s="118"/>
      <c r="C36" s="119">
        <v>111</v>
      </c>
      <c r="D36" s="118"/>
      <c r="E36" s="59" t="s">
        <v>166</v>
      </c>
      <c r="F36" s="120" t="s">
        <v>105</v>
      </c>
      <c r="G36" s="121"/>
      <c r="H36" s="122"/>
      <c r="I36" s="123">
        <v>44947</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213</v>
      </c>
      <c r="C40" s="73">
        <v>278</v>
      </c>
      <c r="D40" s="73">
        <v>305</v>
      </c>
      <c r="E40" s="73">
        <v>348</v>
      </c>
      <c r="F40" s="73">
        <v>317</v>
      </c>
      <c r="G40" s="73">
        <v>304</v>
      </c>
      <c r="H40" s="105"/>
      <c r="I40" s="77"/>
      <c r="J40" s="71"/>
    </row>
    <row r="41" spans="1:10" ht="15.4">
      <c r="A41" s="106"/>
      <c r="B41" s="77"/>
      <c r="C41" s="77"/>
      <c r="D41" s="77"/>
      <c r="E41" s="77"/>
      <c r="F41" s="77"/>
      <c r="G41" s="77"/>
      <c r="H41" s="105"/>
      <c r="I41" s="77"/>
      <c r="J41" s="71"/>
    </row>
    <row r="42" spans="1:10" ht="15.4">
      <c r="A42" s="58" t="s">
        <v>108</v>
      </c>
      <c r="B42" s="58" t="s">
        <v>179</v>
      </c>
      <c r="C42" s="58" t="s">
        <v>181</v>
      </c>
      <c r="D42" s="58" t="s">
        <v>183</v>
      </c>
      <c r="E42" s="77"/>
      <c r="F42" s="77"/>
      <c r="G42" s="77"/>
      <c r="H42" s="105"/>
      <c r="I42" s="77"/>
      <c r="J42" s="71"/>
    </row>
    <row r="43" spans="1:10" ht="15.4">
      <c r="A43" s="101" t="s">
        <v>115</v>
      </c>
      <c r="B43" s="73">
        <v>83</v>
      </c>
      <c r="C43" s="73">
        <v>91</v>
      </c>
      <c r="D43" s="73">
        <v>68</v>
      </c>
      <c r="E43" s="77"/>
      <c r="F43" s="77"/>
      <c r="G43" s="77"/>
      <c r="H43" s="105"/>
      <c r="I43" s="77"/>
      <c r="J43" s="71"/>
    </row>
    <row r="44" spans="1:10" ht="15.4">
      <c r="A44" s="75"/>
      <c r="B44" s="46"/>
      <c r="C44" s="76"/>
      <c r="D44" s="46"/>
      <c r="E44" s="46"/>
      <c r="F44" s="46"/>
      <c r="G44" s="46"/>
      <c r="H44" s="97"/>
      <c r="I44" s="46"/>
      <c r="J44" s="50"/>
    </row>
    <row r="45" spans="1:10" ht="15.4">
      <c r="A45" s="48"/>
      <c r="B45" s="46"/>
      <c r="C45" s="46"/>
      <c r="D45" s="46"/>
      <c r="E45" s="46" t="s">
        <v>116</v>
      </c>
      <c r="F45" s="79">
        <f>SUM(B40:G40,B43:D43)</f>
        <v>2007</v>
      </c>
      <c r="G45" s="46"/>
      <c r="H45" s="46"/>
      <c r="I45" s="46"/>
      <c r="J45" s="50"/>
    </row>
    <row r="46" spans="1:10" ht="15.4">
      <c r="A46" s="48"/>
      <c r="B46" s="46"/>
      <c r="C46" s="46"/>
      <c r="D46" s="46"/>
      <c r="E46" s="46"/>
      <c r="F46" s="76"/>
      <c r="G46" s="46"/>
      <c r="H46" s="46"/>
      <c r="I46" s="46"/>
      <c r="J46" s="50"/>
    </row>
    <row r="47" spans="1:10" ht="15.4">
      <c r="A47" s="80" t="s">
        <v>209</v>
      </c>
      <c r="B47" s="46"/>
      <c r="C47" s="46"/>
      <c r="D47" s="46"/>
      <c r="E47" s="46"/>
      <c r="F47" s="76"/>
      <c r="G47" s="46"/>
      <c r="H47" s="46"/>
      <c r="I47" s="46"/>
      <c r="J47" s="50"/>
    </row>
    <row r="48" spans="1:10" ht="15.75" thickBot="1">
      <c r="A48" s="81"/>
      <c r="B48" s="82"/>
      <c r="C48" s="82"/>
      <c r="D48" s="82"/>
      <c r="E48" s="82"/>
      <c r="F48" s="82"/>
      <c r="G48" s="82"/>
      <c r="H48" s="82"/>
      <c r="I48" s="82"/>
      <c r="J48"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8"/>
  <sheetViews>
    <sheetView topLeftCell="B24" workbookViewId="0">
      <selection activeCell="G19" sqref="G19"/>
    </sheetView>
  </sheetViews>
  <sheetFormatPr defaultRowHeight="14.25"/>
  <cols>
    <col min="2" max="7" width="11.26562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212</v>
      </c>
      <c r="C19" s="14"/>
      <c r="D19" s="14" t="s">
        <v>91</v>
      </c>
      <c r="E19" s="45">
        <v>44868</v>
      </c>
      <c r="F19" s="14" t="s">
        <v>92</v>
      </c>
      <c r="G19" s="96">
        <v>44913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42" customHeight="1">
      <c r="A36" s="117">
        <v>322359</v>
      </c>
      <c r="B36" s="118"/>
      <c r="C36" s="119">
        <v>111</v>
      </c>
      <c r="D36" s="118"/>
      <c r="E36" s="59" t="s">
        <v>166</v>
      </c>
      <c r="F36" s="120" t="s">
        <v>105</v>
      </c>
      <c r="G36" s="121"/>
      <c r="H36" s="122"/>
      <c r="I36" s="123">
        <v>44954</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98</v>
      </c>
      <c r="C40" s="73">
        <v>135</v>
      </c>
      <c r="D40" s="73">
        <v>135</v>
      </c>
      <c r="E40" s="73">
        <v>135</v>
      </c>
      <c r="F40" s="73">
        <v>148</v>
      </c>
      <c r="G40" s="73">
        <v>159</v>
      </c>
      <c r="H40" s="105"/>
      <c r="I40" s="77"/>
      <c r="J40" s="71"/>
    </row>
    <row r="41" spans="1:10" ht="15.4">
      <c r="A41" s="106"/>
      <c r="B41" s="77"/>
      <c r="C41" s="77"/>
      <c r="D41" s="77"/>
      <c r="E41" s="77"/>
      <c r="F41" s="77"/>
      <c r="G41" s="77"/>
      <c r="H41" s="105"/>
      <c r="I41" s="77"/>
      <c r="J41" s="71"/>
    </row>
    <row r="42" spans="1:10" ht="15.4">
      <c r="A42" s="58" t="s">
        <v>108</v>
      </c>
      <c r="B42" s="58" t="s">
        <v>179</v>
      </c>
      <c r="C42" s="58" t="s">
        <v>181</v>
      </c>
      <c r="D42" s="58" t="s">
        <v>183</v>
      </c>
      <c r="E42" s="77"/>
      <c r="F42" s="77"/>
      <c r="G42" s="77"/>
      <c r="H42" s="105"/>
      <c r="I42" s="77"/>
      <c r="J42" s="71"/>
    </row>
    <row r="43" spans="1:10" ht="15.4">
      <c r="A43" s="101" t="s">
        <v>115</v>
      </c>
      <c r="B43" s="73">
        <v>123</v>
      </c>
      <c r="C43" s="73">
        <v>148</v>
      </c>
      <c r="D43" s="73">
        <v>147</v>
      </c>
      <c r="E43" s="77"/>
      <c r="F43" s="77"/>
      <c r="G43" s="77"/>
      <c r="H43" s="105"/>
      <c r="I43" s="77"/>
      <c r="J43" s="71"/>
    </row>
    <row r="44" spans="1:10" ht="15.4">
      <c r="A44" s="75"/>
      <c r="B44" s="46"/>
      <c r="C44" s="76"/>
      <c r="D44" s="46"/>
      <c r="E44" s="46"/>
      <c r="F44" s="46"/>
      <c r="G44" s="46"/>
      <c r="H44" s="97"/>
      <c r="I44" s="46"/>
      <c r="J44" s="50"/>
    </row>
    <row r="45" spans="1:10" ht="15.4">
      <c r="A45" s="48"/>
      <c r="B45" s="46"/>
      <c r="C45" s="46"/>
      <c r="D45" s="46"/>
      <c r="E45" s="46" t="s">
        <v>116</v>
      </c>
      <c r="F45" s="79">
        <f>SUM(B40:G40,B43:D43)</f>
        <v>1228</v>
      </c>
      <c r="G45" s="46"/>
      <c r="H45" s="46"/>
      <c r="I45" s="46"/>
      <c r="J45" s="50"/>
    </row>
    <row r="46" spans="1:10" ht="15.4">
      <c r="A46" s="48"/>
      <c r="B46" s="46"/>
      <c r="C46" s="46"/>
      <c r="D46" s="46"/>
      <c r="E46" s="46"/>
      <c r="F46" s="76"/>
      <c r="G46" s="46"/>
      <c r="H46" s="46"/>
      <c r="I46" s="46"/>
      <c r="J46" s="50"/>
    </row>
    <row r="47" spans="1:10" ht="15.4">
      <c r="A47" s="80" t="s">
        <v>211</v>
      </c>
      <c r="B47" s="46"/>
      <c r="C47" s="46"/>
      <c r="D47" s="46"/>
      <c r="E47" s="46"/>
      <c r="F47" s="76"/>
      <c r="G47" s="46"/>
      <c r="H47" s="46"/>
      <c r="I47" s="46"/>
      <c r="J47" s="50"/>
    </row>
    <row r="48" spans="1:10" ht="15.75" thickBot="1">
      <c r="A48" s="81"/>
      <c r="B48" s="82"/>
      <c r="C48" s="82"/>
      <c r="D48" s="82"/>
      <c r="E48" s="82"/>
      <c r="F48" s="82"/>
      <c r="G48" s="82"/>
      <c r="H48" s="82"/>
      <c r="I48" s="82"/>
      <c r="J48"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7" workbookViewId="0">
      <selection activeCell="H19" sqref="H19"/>
    </sheetView>
  </sheetViews>
  <sheetFormatPr defaultRowHeight="14.25"/>
  <cols>
    <col min="2" max="7" width="11.265625" customWidth="1"/>
    <col min="8" max="8" width="10.7304687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215</v>
      </c>
      <c r="C19" s="14"/>
      <c r="D19" s="14" t="s">
        <v>91</v>
      </c>
      <c r="E19" s="45">
        <v>44868</v>
      </c>
      <c r="F19" s="14" t="s">
        <v>92</v>
      </c>
      <c r="G19" s="96">
        <v>44899</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77.25" customHeight="1">
      <c r="A36" s="117" t="s">
        <v>214</v>
      </c>
      <c r="B36" s="118"/>
      <c r="C36" s="119">
        <v>100</v>
      </c>
      <c r="D36" s="118"/>
      <c r="E36" s="59" t="s">
        <v>165</v>
      </c>
      <c r="F36" s="120" t="s">
        <v>161</v>
      </c>
      <c r="G36" s="121"/>
      <c r="H36" s="122"/>
      <c r="I36" s="123">
        <v>44947</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29</v>
      </c>
      <c r="C40" s="73">
        <v>30</v>
      </c>
      <c r="D40" s="73">
        <v>35</v>
      </c>
      <c r="E40" s="73">
        <v>38</v>
      </c>
      <c r="F40" s="73">
        <v>56</v>
      </c>
      <c r="G40" s="73">
        <v>52</v>
      </c>
      <c r="H40" s="105"/>
      <c r="I40" s="77"/>
      <c r="J40" s="71"/>
    </row>
    <row r="41" spans="1:10" ht="15.4">
      <c r="A41" s="106"/>
      <c r="B41" s="77"/>
      <c r="C41" s="77"/>
      <c r="D41" s="77"/>
      <c r="E41" s="77"/>
      <c r="F41" s="77"/>
      <c r="G41" s="77"/>
      <c r="H41" s="105"/>
      <c r="I41" s="77"/>
      <c r="J41" s="71"/>
    </row>
    <row r="42" spans="1:10" ht="15.4">
      <c r="A42" s="48"/>
      <c r="B42" s="46"/>
      <c r="C42" s="46"/>
      <c r="D42" s="46"/>
      <c r="E42" s="46" t="s">
        <v>116</v>
      </c>
      <c r="F42" s="79">
        <f>SUM(B40:G40)</f>
        <v>240</v>
      </c>
      <c r="G42" s="46"/>
      <c r="H42" s="46"/>
      <c r="I42" s="46"/>
      <c r="J42" s="50"/>
    </row>
    <row r="43" spans="1:10" ht="15.4">
      <c r="A43" s="48"/>
      <c r="B43" s="46"/>
      <c r="C43" s="46"/>
      <c r="D43" s="46"/>
      <c r="E43" s="46"/>
      <c r="F43" s="76"/>
      <c r="G43" s="46"/>
      <c r="H43" s="46"/>
      <c r="I43" s="46"/>
      <c r="J43" s="50"/>
    </row>
    <row r="44" spans="1:10" ht="15.4">
      <c r="A44" s="80" t="s">
        <v>213</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B27" workbookViewId="0">
      <selection activeCell="C19" sqref="C19"/>
    </sheetView>
  </sheetViews>
  <sheetFormatPr defaultRowHeight="14.25"/>
  <cols>
    <col min="2" max="7" width="11.265625" customWidth="1"/>
    <col min="8" max="8" width="10.7304687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217</v>
      </c>
      <c r="C19" s="14"/>
      <c r="D19" s="14" t="s">
        <v>91</v>
      </c>
      <c r="E19" s="45">
        <v>44868</v>
      </c>
      <c r="F19" s="14" t="s">
        <v>92</v>
      </c>
      <c r="G19" s="96">
        <v>44899</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77.25" customHeight="1">
      <c r="A36" s="117" t="s">
        <v>214</v>
      </c>
      <c r="B36" s="118"/>
      <c r="C36" s="119">
        <v>100</v>
      </c>
      <c r="D36" s="118"/>
      <c r="E36" s="59" t="s">
        <v>165</v>
      </c>
      <c r="F36" s="120" t="s">
        <v>161</v>
      </c>
      <c r="G36" s="121"/>
      <c r="H36" s="122"/>
      <c r="I36" s="123">
        <v>44961</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942</v>
      </c>
      <c r="C40" s="73">
        <v>960</v>
      </c>
      <c r="D40" s="73">
        <v>1109</v>
      </c>
      <c r="E40" s="73">
        <v>1235</v>
      </c>
      <c r="F40" s="73">
        <v>1817</v>
      </c>
      <c r="G40" s="73">
        <v>1697</v>
      </c>
      <c r="H40" s="105"/>
      <c r="I40" s="77"/>
      <c r="J40" s="71"/>
    </row>
    <row r="41" spans="1:10" ht="15.4">
      <c r="A41" s="106"/>
      <c r="B41" s="77"/>
      <c r="C41" s="77"/>
      <c r="D41" s="77"/>
      <c r="E41" s="77"/>
      <c r="F41" s="77"/>
      <c r="G41" s="77"/>
      <c r="H41" s="105"/>
      <c r="I41" s="77"/>
      <c r="J41" s="71"/>
    </row>
    <row r="42" spans="1:10" ht="15.4">
      <c r="A42" s="48"/>
      <c r="B42" s="46"/>
      <c r="C42" s="46"/>
      <c r="D42" s="46"/>
      <c r="E42" s="46" t="s">
        <v>116</v>
      </c>
      <c r="F42" s="79">
        <f>SUM(B40:G40)</f>
        <v>7760</v>
      </c>
      <c r="G42" s="46"/>
      <c r="H42" s="46"/>
      <c r="I42" s="46"/>
      <c r="J42" s="50"/>
    </row>
    <row r="43" spans="1:10" ht="15.4">
      <c r="A43" s="48"/>
      <c r="B43" s="46"/>
      <c r="C43" s="46"/>
      <c r="D43" s="46"/>
      <c r="E43" s="46"/>
      <c r="F43" s="76"/>
      <c r="G43" s="46"/>
      <c r="H43" s="46"/>
      <c r="I43" s="46"/>
      <c r="J43" s="50"/>
    </row>
    <row r="44" spans="1:10" ht="15.4">
      <c r="A44" s="80" t="s">
        <v>216</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7" workbookViewId="0">
      <selection activeCell="H19" sqref="H19"/>
    </sheetView>
  </sheetViews>
  <sheetFormatPr defaultRowHeight="14.25"/>
  <cols>
    <col min="2" max="7" width="11.265625" customWidth="1"/>
    <col min="8" max="8" width="10.7304687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221</v>
      </c>
      <c r="C19" s="14"/>
      <c r="D19" s="14" t="s">
        <v>91</v>
      </c>
      <c r="E19" s="45">
        <v>44868</v>
      </c>
      <c r="F19" s="14" t="s">
        <v>92</v>
      </c>
      <c r="G19" s="96">
        <v>44903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77.25" customHeight="1">
      <c r="A36" s="117" t="s">
        <v>219</v>
      </c>
      <c r="B36" s="118"/>
      <c r="C36" s="119" t="s">
        <v>220</v>
      </c>
      <c r="D36" s="118"/>
      <c r="E36" s="59" t="s">
        <v>165</v>
      </c>
      <c r="F36" s="120" t="s">
        <v>162</v>
      </c>
      <c r="G36" s="121"/>
      <c r="H36" s="122"/>
      <c r="I36" s="123">
        <v>44940</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29</v>
      </c>
      <c r="C40" s="73">
        <v>30</v>
      </c>
      <c r="D40" s="73">
        <v>34</v>
      </c>
      <c r="E40" s="73">
        <v>38</v>
      </c>
      <c r="F40" s="73">
        <v>57</v>
      </c>
      <c r="G40" s="73">
        <v>52</v>
      </c>
      <c r="H40" s="105"/>
      <c r="I40" s="77"/>
      <c r="J40" s="71"/>
    </row>
    <row r="41" spans="1:10" ht="15.4">
      <c r="A41" s="106"/>
      <c r="B41" s="77"/>
      <c r="C41" s="77"/>
      <c r="D41" s="77"/>
      <c r="E41" s="77"/>
      <c r="F41" s="77"/>
      <c r="G41" s="77"/>
      <c r="H41" s="105"/>
      <c r="I41" s="77"/>
      <c r="J41" s="71"/>
    </row>
    <row r="42" spans="1:10" ht="15.4">
      <c r="A42" s="48"/>
      <c r="B42" s="46"/>
      <c r="C42" s="46"/>
      <c r="D42" s="46"/>
      <c r="E42" s="46" t="s">
        <v>116</v>
      </c>
      <c r="F42" s="79">
        <f>SUM(B40:G40)</f>
        <v>240</v>
      </c>
      <c r="G42" s="46"/>
      <c r="H42" s="46"/>
      <c r="I42" s="46"/>
      <c r="J42" s="50"/>
    </row>
    <row r="43" spans="1:10" ht="15.4">
      <c r="A43" s="48"/>
      <c r="B43" s="46"/>
      <c r="C43" s="46"/>
      <c r="D43" s="46"/>
      <c r="E43" s="46"/>
      <c r="F43" s="76"/>
      <c r="G43" s="46"/>
      <c r="H43" s="46"/>
      <c r="I43" s="46"/>
      <c r="J43" s="50"/>
    </row>
    <row r="44" spans="1:10" ht="15.4">
      <c r="A44" s="80" t="s">
        <v>218</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B27" workbookViewId="0">
      <selection activeCell="G19" sqref="G19"/>
    </sheetView>
  </sheetViews>
  <sheetFormatPr defaultRowHeight="14.25"/>
  <cols>
    <col min="2" max="7" width="11.265625" customWidth="1"/>
    <col min="8" max="8" width="10.7304687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223</v>
      </c>
      <c r="C19" s="14"/>
      <c r="D19" s="14" t="s">
        <v>91</v>
      </c>
      <c r="E19" s="45">
        <v>44868</v>
      </c>
      <c r="F19" s="14" t="s">
        <v>92</v>
      </c>
      <c r="G19" s="96">
        <v>44903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77.25" customHeight="1">
      <c r="A36" s="117" t="s">
        <v>219</v>
      </c>
      <c r="B36" s="118"/>
      <c r="C36" s="119" t="s">
        <v>220</v>
      </c>
      <c r="D36" s="118"/>
      <c r="E36" s="59" t="s">
        <v>165</v>
      </c>
      <c r="F36" s="120" t="s">
        <v>162</v>
      </c>
      <c r="G36" s="121"/>
      <c r="H36" s="122"/>
      <c r="I36" s="123">
        <v>44961</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457</v>
      </c>
      <c r="C40" s="73">
        <v>465</v>
      </c>
      <c r="D40" s="73">
        <v>538</v>
      </c>
      <c r="E40" s="73">
        <v>599</v>
      </c>
      <c r="F40" s="73">
        <v>881</v>
      </c>
      <c r="G40" s="73">
        <v>823</v>
      </c>
      <c r="H40" s="105"/>
      <c r="I40" s="77"/>
      <c r="J40" s="71"/>
    </row>
    <row r="41" spans="1:10" ht="15.4">
      <c r="A41" s="106"/>
      <c r="B41" s="77"/>
      <c r="C41" s="77"/>
      <c r="D41" s="77"/>
      <c r="E41" s="77"/>
      <c r="F41" s="77"/>
      <c r="G41" s="77"/>
      <c r="H41" s="105"/>
      <c r="I41" s="77"/>
      <c r="J41" s="71"/>
    </row>
    <row r="42" spans="1:10" ht="15.4">
      <c r="A42" s="48"/>
      <c r="B42" s="46"/>
      <c r="C42" s="46"/>
      <c r="D42" s="46"/>
      <c r="E42" s="46" t="s">
        <v>116</v>
      </c>
      <c r="F42" s="79">
        <f>SUM(B40:G40)</f>
        <v>3763</v>
      </c>
      <c r="G42" s="46"/>
      <c r="H42" s="46"/>
      <c r="I42" s="46"/>
      <c r="J42" s="50"/>
    </row>
    <row r="43" spans="1:10" ht="15.4">
      <c r="A43" s="48"/>
      <c r="B43" s="46"/>
      <c r="C43" s="46"/>
      <c r="D43" s="46"/>
      <c r="E43" s="46"/>
      <c r="F43" s="76"/>
      <c r="G43" s="46"/>
      <c r="H43" s="46"/>
      <c r="I43" s="46"/>
      <c r="J43" s="50"/>
    </row>
    <row r="44" spans="1:10" ht="15.4">
      <c r="A44" s="80" t="s">
        <v>222</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topLeftCell="A25" workbookViewId="0">
      <selection activeCell="H19" sqref="H19"/>
    </sheetView>
  </sheetViews>
  <sheetFormatPr defaultRowHeight="14.25"/>
  <cols>
    <col min="2" max="7" width="11.265625" customWidth="1"/>
    <col min="8" max="8" width="10.73046875" customWidth="1"/>
    <col min="258" max="263" width="11.265625" customWidth="1"/>
    <col min="514" max="519" width="11.265625" customWidth="1"/>
    <col min="770" max="775" width="11.265625" customWidth="1"/>
    <col min="1026" max="1031" width="11.265625" customWidth="1"/>
    <col min="1282" max="1287" width="11.265625" customWidth="1"/>
    <col min="1538" max="1543" width="11.265625" customWidth="1"/>
    <col min="1794" max="1799" width="11.265625" customWidth="1"/>
    <col min="2050" max="2055" width="11.265625" customWidth="1"/>
    <col min="2306" max="2311" width="11.265625" customWidth="1"/>
    <col min="2562" max="2567" width="11.265625" customWidth="1"/>
    <col min="2818" max="2823" width="11.265625" customWidth="1"/>
    <col min="3074" max="3079" width="11.265625" customWidth="1"/>
    <col min="3330" max="3335" width="11.265625" customWidth="1"/>
    <col min="3586" max="3591" width="11.265625" customWidth="1"/>
    <col min="3842" max="3847" width="11.265625" customWidth="1"/>
    <col min="4098" max="4103" width="11.265625" customWidth="1"/>
    <col min="4354" max="4359" width="11.265625" customWidth="1"/>
    <col min="4610" max="4615" width="11.265625" customWidth="1"/>
    <col min="4866" max="4871" width="11.265625" customWidth="1"/>
    <col min="5122" max="5127" width="11.265625" customWidth="1"/>
    <col min="5378" max="5383" width="11.265625" customWidth="1"/>
    <col min="5634" max="5639" width="11.265625" customWidth="1"/>
    <col min="5890" max="5895" width="11.265625" customWidth="1"/>
    <col min="6146" max="6151" width="11.265625" customWidth="1"/>
    <col min="6402" max="6407" width="11.265625" customWidth="1"/>
    <col min="6658" max="6663" width="11.265625" customWidth="1"/>
    <col min="6914" max="6919" width="11.265625" customWidth="1"/>
    <col min="7170" max="7175" width="11.265625" customWidth="1"/>
    <col min="7426" max="7431" width="11.265625" customWidth="1"/>
    <col min="7682" max="7687" width="11.265625" customWidth="1"/>
    <col min="7938" max="7943" width="11.265625" customWidth="1"/>
    <col min="8194" max="8199" width="11.265625" customWidth="1"/>
    <col min="8450" max="8455" width="11.265625" customWidth="1"/>
    <col min="8706" max="8711" width="11.265625" customWidth="1"/>
    <col min="8962" max="8967" width="11.265625" customWidth="1"/>
    <col min="9218" max="9223" width="11.265625" customWidth="1"/>
    <col min="9474" max="9479" width="11.265625" customWidth="1"/>
    <col min="9730" max="9735" width="11.265625" customWidth="1"/>
    <col min="9986" max="9991" width="11.265625" customWidth="1"/>
    <col min="10242" max="10247" width="11.265625" customWidth="1"/>
    <col min="10498" max="10503" width="11.265625" customWidth="1"/>
    <col min="10754" max="10759" width="11.265625" customWidth="1"/>
    <col min="11010" max="11015" width="11.265625" customWidth="1"/>
    <col min="11266" max="11271" width="11.265625" customWidth="1"/>
    <col min="11522" max="11527" width="11.265625" customWidth="1"/>
    <col min="11778" max="11783" width="11.265625" customWidth="1"/>
    <col min="12034" max="12039" width="11.265625" customWidth="1"/>
    <col min="12290" max="12295" width="11.265625" customWidth="1"/>
    <col min="12546" max="12551" width="11.265625" customWidth="1"/>
    <col min="12802" max="12807" width="11.265625" customWidth="1"/>
    <col min="13058" max="13063" width="11.265625" customWidth="1"/>
    <col min="13314" max="13319" width="11.265625" customWidth="1"/>
    <col min="13570" max="13575" width="11.265625" customWidth="1"/>
    <col min="13826" max="13831" width="11.265625" customWidth="1"/>
    <col min="14082" max="14087" width="11.265625" customWidth="1"/>
    <col min="14338" max="14343" width="11.265625" customWidth="1"/>
    <col min="14594" max="14599" width="11.265625" customWidth="1"/>
    <col min="14850" max="14855" width="11.265625" customWidth="1"/>
    <col min="15106" max="15111" width="11.265625" customWidth="1"/>
    <col min="15362" max="15367" width="11.265625" customWidth="1"/>
    <col min="15618" max="15623" width="11.265625" customWidth="1"/>
    <col min="15874" max="15879" width="11.265625" customWidth="1"/>
    <col min="16130" max="16135" width="11.265625" customWidth="1"/>
  </cols>
  <sheetData>
    <row r="1" spans="1:10" ht="15.4">
      <c r="A1" s="7"/>
      <c r="B1" s="8"/>
      <c r="C1" s="8"/>
      <c r="D1" s="8"/>
      <c r="E1" s="8"/>
      <c r="F1" s="8"/>
      <c r="G1" s="8"/>
      <c r="H1" s="8"/>
      <c r="I1" s="8"/>
      <c r="J1" s="9"/>
    </row>
    <row r="2" spans="1:10" ht="30">
      <c r="A2" s="125" t="s">
        <v>60</v>
      </c>
      <c r="B2" s="126"/>
      <c r="C2" s="126"/>
      <c r="D2" s="126"/>
      <c r="E2" s="126"/>
      <c r="F2" s="126"/>
      <c r="G2" s="126"/>
      <c r="H2" s="126"/>
      <c r="I2" s="126"/>
      <c r="J2" s="127"/>
    </row>
    <row r="3" spans="1:10" ht="22.15">
      <c r="A3" s="128" t="s">
        <v>61</v>
      </c>
      <c r="B3" s="129"/>
      <c r="C3" s="129"/>
      <c r="D3" s="129"/>
      <c r="E3" s="129"/>
      <c r="F3" s="129"/>
      <c r="G3" s="129"/>
      <c r="H3" s="129"/>
      <c r="I3" s="129"/>
      <c r="J3" s="130"/>
    </row>
    <row r="4" spans="1:10" ht="22.15">
      <c r="A4" s="10"/>
      <c r="B4" s="11"/>
      <c r="C4" s="11"/>
      <c r="D4" s="11"/>
      <c r="E4" s="11"/>
      <c r="F4" s="11"/>
      <c r="G4" s="11"/>
      <c r="H4" s="11"/>
      <c r="I4" s="11"/>
      <c r="J4" s="12"/>
    </row>
    <row r="5" spans="1:10" ht="15.4">
      <c r="A5" s="13" t="s">
        <v>62</v>
      </c>
      <c r="B5" s="14"/>
      <c r="C5" s="14"/>
      <c r="D5" s="15"/>
      <c r="E5" s="15"/>
      <c r="F5" s="16" t="s">
        <v>63</v>
      </c>
      <c r="G5" s="17" t="s">
        <v>64</v>
      </c>
      <c r="H5" s="18"/>
      <c r="I5" s="18"/>
      <c r="J5" s="19"/>
    </row>
    <row r="6" spans="1:10" ht="15.4">
      <c r="A6" s="20" t="s">
        <v>65</v>
      </c>
      <c r="B6" s="21" t="s">
        <v>66</v>
      </c>
      <c r="C6" s="14"/>
      <c r="D6" s="15"/>
      <c r="E6" s="15"/>
      <c r="F6" s="16" t="s">
        <v>67</v>
      </c>
      <c r="G6" s="17" t="s">
        <v>68</v>
      </c>
      <c r="H6" s="18"/>
      <c r="I6" s="18"/>
      <c r="J6" s="19"/>
    </row>
    <row r="7" spans="1:10" ht="15.4">
      <c r="A7" s="22" t="s">
        <v>69</v>
      </c>
      <c r="B7" s="23"/>
      <c r="C7" s="16" t="s">
        <v>70</v>
      </c>
      <c r="D7" s="15"/>
      <c r="E7" s="15"/>
      <c r="F7" s="16" t="s">
        <v>71</v>
      </c>
      <c r="G7" s="17" t="s">
        <v>72</v>
      </c>
      <c r="H7" s="18"/>
      <c r="I7" s="18"/>
      <c r="J7" s="19"/>
    </row>
    <row r="8" spans="1:10" ht="15.4">
      <c r="A8" s="20"/>
      <c r="B8" s="24"/>
      <c r="C8" s="14"/>
      <c r="D8" s="15"/>
      <c r="E8" s="15"/>
      <c r="F8" s="16" t="s">
        <v>73</v>
      </c>
      <c r="G8" s="17" t="s">
        <v>74</v>
      </c>
      <c r="H8" s="18"/>
      <c r="I8" s="18"/>
      <c r="J8" s="19"/>
    </row>
    <row r="9" spans="1:10" ht="15.4">
      <c r="A9" s="25"/>
      <c r="B9" s="26"/>
      <c r="C9" s="14"/>
      <c r="D9" s="15"/>
      <c r="E9" s="15"/>
      <c r="F9" s="16" t="s">
        <v>75</v>
      </c>
      <c r="G9" s="17" t="s">
        <v>76</v>
      </c>
      <c r="H9" s="18"/>
      <c r="I9" s="18"/>
      <c r="J9" s="19"/>
    </row>
    <row r="10" spans="1:10" ht="15.4">
      <c r="A10" s="25"/>
      <c r="B10" s="26"/>
      <c r="C10" s="14"/>
      <c r="D10" s="15"/>
      <c r="E10" s="15"/>
      <c r="F10" s="14"/>
      <c r="G10" s="27"/>
      <c r="H10" s="15"/>
      <c r="I10" s="15"/>
      <c r="J10" s="28"/>
    </row>
    <row r="11" spans="1:10" ht="15">
      <c r="A11" s="29" t="s">
        <v>77</v>
      </c>
      <c r="B11" s="30"/>
      <c r="C11" s="31"/>
      <c r="D11" s="15"/>
      <c r="E11" s="15"/>
      <c r="F11" s="32" t="s">
        <v>78</v>
      </c>
      <c r="G11" s="15"/>
      <c r="H11" s="15"/>
      <c r="I11" s="15"/>
      <c r="J11" s="28"/>
    </row>
    <row r="12" spans="1:10" ht="15.4">
      <c r="A12" s="29" t="s">
        <v>79</v>
      </c>
      <c r="B12" s="33" t="s">
        <v>80</v>
      </c>
      <c r="C12" s="31"/>
      <c r="D12" s="15"/>
      <c r="E12" s="15"/>
      <c r="F12" s="34" t="s">
        <v>81</v>
      </c>
      <c r="G12" s="33" t="s">
        <v>80</v>
      </c>
      <c r="H12" s="34"/>
      <c r="I12" s="34"/>
      <c r="J12" s="35"/>
    </row>
    <row r="13" spans="1:10" ht="15.4">
      <c r="A13" s="29" t="s">
        <v>82</v>
      </c>
      <c r="B13" s="33" t="s">
        <v>83</v>
      </c>
      <c r="C13" s="31"/>
      <c r="D13" s="15"/>
      <c r="E13" s="15"/>
      <c r="F13" s="36" t="s">
        <v>84</v>
      </c>
      <c r="G13" s="33" t="s">
        <v>83</v>
      </c>
      <c r="H13" s="37"/>
      <c r="I13" s="36"/>
      <c r="J13" s="38"/>
    </row>
    <row r="14" spans="1:10" ht="15.4">
      <c r="A14" s="29" t="s">
        <v>85</v>
      </c>
      <c r="B14" s="33" t="s">
        <v>86</v>
      </c>
      <c r="C14" s="31"/>
      <c r="D14" s="14"/>
      <c r="E14" s="15"/>
      <c r="F14" s="39"/>
      <c r="G14" s="39"/>
      <c r="H14" s="39"/>
      <c r="I14" s="39"/>
      <c r="J14" s="40"/>
    </row>
    <row r="15" spans="1:10" ht="15.4">
      <c r="A15" s="41" t="s">
        <v>87</v>
      </c>
      <c r="B15" s="33" t="s">
        <v>88</v>
      </c>
      <c r="C15" s="16" t="s">
        <v>70</v>
      </c>
      <c r="D15" s="14"/>
      <c r="E15" s="14"/>
      <c r="F15" s="14"/>
      <c r="G15" s="27"/>
      <c r="H15" s="14"/>
      <c r="I15" s="14"/>
      <c r="J15" s="42"/>
    </row>
    <row r="16" spans="1:10" ht="15.4">
      <c r="A16" s="41"/>
      <c r="B16" s="33"/>
      <c r="C16" s="16"/>
      <c r="D16" s="14"/>
      <c r="E16" s="14"/>
      <c r="F16" s="14"/>
      <c r="G16" s="27"/>
      <c r="H16" s="14"/>
      <c r="I16" s="14"/>
      <c r="J16" s="42"/>
    </row>
    <row r="17" spans="1:10" ht="15.4">
      <c r="A17" s="29"/>
      <c r="B17" s="31"/>
      <c r="C17" s="31"/>
      <c r="D17" s="14"/>
      <c r="E17" s="14"/>
      <c r="F17" s="131"/>
      <c r="G17" s="131"/>
      <c r="H17" s="131"/>
      <c r="I17" s="131"/>
      <c r="J17" s="132"/>
    </row>
    <row r="18" spans="1:10" ht="15.4">
      <c r="A18" s="13" t="s">
        <v>89</v>
      </c>
      <c r="B18" s="43"/>
      <c r="C18" s="14"/>
      <c r="D18" s="14"/>
      <c r="E18" s="14"/>
      <c r="F18" s="14"/>
      <c r="G18" s="27"/>
      <c r="H18" s="14"/>
      <c r="I18" s="14"/>
      <c r="J18" s="42"/>
    </row>
    <row r="19" spans="1:10" ht="15.4">
      <c r="A19" s="13" t="s">
        <v>90</v>
      </c>
      <c r="B19" s="44" t="s">
        <v>226</v>
      </c>
      <c r="C19" s="14"/>
      <c r="D19" s="14" t="s">
        <v>91</v>
      </c>
      <c r="E19" s="45">
        <v>44868</v>
      </c>
      <c r="F19" s="14" t="s">
        <v>92</v>
      </c>
      <c r="G19" s="96">
        <v>44893</v>
      </c>
      <c r="H19" s="46"/>
      <c r="I19" s="14"/>
      <c r="J19" s="42"/>
    </row>
    <row r="20" spans="1:10" ht="15.4">
      <c r="A20" s="13"/>
      <c r="B20" s="33"/>
      <c r="C20" s="14"/>
      <c r="D20" s="14"/>
      <c r="E20" s="47"/>
      <c r="F20" s="14"/>
      <c r="G20" s="47"/>
      <c r="H20" s="46"/>
      <c r="I20" s="14"/>
      <c r="J20" s="42"/>
    </row>
    <row r="21" spans="1:10" ht="15.4">
      <c r="A21" s="48" t="s">
        <v>93</v>
      </c>
      <c r="B21" s="46"/>
      <c r="C21" s="46"/>
      <c r="D21" s="46"/>
      <c r="E21" s="46"/>
      <c r="F21" s="46"/>
      <c r="G21" s="46"/>
      <c r="H21" s="49"/>
      <c r="I21" s="46"/>
      <c r="J21" s="50"/>
    </row>
    <row r="22" spans="1:10" ht="15.4">
      <c r="A22" s="51"/>
      <c r="B22" s="52"/>
      <c r="C22" s="52"/>
      <c r="D22" s="52"/>
      <c r="E22" s="52"/>
      <c r="F22" s="52"/>
      <c r="G22" s="52"/>
      <c r="H22" s="52"/>
      <c r="I22" s="52"/>
      <c r="J22" s="53"/>
    </row>
    <row r="23" spans="1:10" ht="15.4">
      <c r="A23" s="51"/>
      <c r="B23" s="52"/>
      <c r="C23" s="52"/>
      <c r="D23" s="52"/>
      <c r="E23" s="52"/>
      <c r="F23" s="52"/>
      <c r="G23" s="52"/>
      <c r="H23" s="52"/>
      <c r="I23" s="52"/>
      <c r="J23" s="53"/>
    </row>
    <row r="24" spans="1:10" ht="15.4">
      <c r="A24" s="48" t="s">
        <v>94</v>
      </c>
      <c r="B24" s="46"/>
      <c r="C24" s="46"/>
      <c r="D24" s="54"/>
      <c r="E24" s="54"/>
      <c r="F24" s="46"/>
      <c r="G24" s="46"/>
      <c r="H24" s="46"/>
      <c r="I24" s="46"/>
      <c r="J24" s="50"/>
    </row>
    <row r="25" spans="1:10" ht="17.649999999999999">
      <c r="A25" s="48"/>
      <c r="B25" s="46"/>
      <c r="C25" s="55"/>
      <c r="D25" s="54"/>
      <c r="E25" s="54"/>
      <c r="F25" s="46"/>
      <c r="G25" s="46"/>
      <c r="H25" s="56"/>
      <c r="I25" s="46"/>
      <c r="J25" s="50"/>
    </row>
    <row r="26" spans="1:10" ht="17.649999999999999">
      <c r="A26" s="48"/>
      <c r="B26" s="55" t="s">
        <v>95</v>
      </c>
      <c r="C26" s="55"/>
      <c r="D26" s="55"/>
      <c r="E26" s="54"/>
      <c r="F26" s="46"/>
      <c r="G26" s="14" t="s">
        <v>96</v>
      </c>
      <c r="H26" s="33" t="s">
        <v>97</v>
      </c>
      <c r="I26" s="46"/>
      <c r="J26" s="50"/>
    </row>
    <row r="27" spans="1:10" ht="17.649999999999999">
      <c r="A27" s="48"/>
      <c r="B27" s="57"/>
      <c r="C27" s="55"/>
      <c r="D27" s="55"/>
      <c r="E27" s="54"/>
      <c r="F27" s="46"/>
      <c r="G27" s="46"/>
      <c r="H27" s="46"/>
      <c r="I27" s="46"/>
      <c r="J27" s="50"/>
    </row>
    <row r="28" spans="1:10" ht="17.649999999999999">
      <c r="A28" s="48"/>
      <c r="B28" s="57"/>
      <c r="C28" s="55"/>
      <c r="D28" s="55"/>
      <c r="E28" s="54"/>
      <c r="F28" s="46"/>
      <c r="G28" s="46"/>
      <c r="H28" s="54"/>
      <c r="I28" s="46"/>
      <c r="J28" s="50"/>
    </row>
    <row r="29" spans="1:10" ht="17.649999999999999">
      <c r="A29" s="48"/>
      <c r="B29" s="57"/>
      <c r="C29" s="55"/>
      <c r="D29" s="55"/>
      <c r="E29" s="54"/>
      <c r="F29" s="46"/>
      <c r="G29" s="46"/>
      <c r="H29" s="56"/>
      <c r="I29" s="46"/>
      <c r="J29" s="50"/>
    </row>
    <row r="30" spans="1:10" ht="17.649999999999999">
      <c r="A30" s="48"/>
      <c r="B30" s="57" t="s">
        <v>98</v>
      </c>
      <c r="C30" s="55"/>
      <c r="D30" s="55"/>
      <c r="E30" s="54"/>
      <c r="F30" s="46"/>
      <c r="G30" s="46"/>
      <c r="H30" s="54"/>
      <c r="I30" s="46"/>
      <c r="J30" s="50"/>
    </row>
    <row r="31" spans="1:10" ht="17.649999999999999">
      <c r="A31" s="48"/>
      <c r="B31" s="46"/>
      <c r="C31" s="55"/>
      <c r="D31" s="54"/>
      <c r="E31" s="54"/>
      <c r="F31" s="46"/>
      <c r="G31" s="14" t="s">
        <v>96</v>
      </c>
      <c r="H31" s="33" t="s">
        <v>97</v>
      </c>
      <c r="I31" s="46"/>
      <c r="J31" s="50"/>
    </row>
    <row r="32" spans="1:10" ht="17.649999999999999">
      <c r="A32" s="48"/>
      <c r="B32" s="46"/>
      <c r="C32" s="55"/>
      <c r="D32" s="55"/>
      <c r="E32" s="54"/>
      <c r="F32" s="46"/>
      <c r="G32" s="46"/>
      <c r="H32" s="56"/>
      <c r="I32" s="46"/>
      <c r="J32" s="50"/>
    </row>
    <row r="33" spans="1:10" ht="15.4">
      <c r="A33" s="48"/>
      <c r="B33" s="46"/>
      <c r="C33" s="46"/>
      <c r="D33" s="46"/>
      <c r="E33" s="46"/>
      <c r="F33" s="46"/>
      <c r="G33" s="46"/>
      <c r="H33" s="46"/>
      <c r="I33" s="46"/>
      <c r="J33" s="50"/>
    </row>
    <row r="34" spans="1:10" ht="15.4">
      <c r="A34" s="48"/>
      <c r="B34" s="46"/>
      <c r="C34" s="46"/>
      <c r="D34" s="46"/>
      <c r="E34" s="46"/>
      <c r="F34" s="46"/>
      <c r="G34" s="46"/>
      <c r="H34" s="46"/>
      <c r="I34" s="46"/>
      <c r="J34" s="50"/>
    </row>
    <row r="35" spans="1:10" ht="15.75">
      <c r="A35" s="133" t="s">
        <v>99</v>
      </c>
      <c r="B35" s="134"/>
      <c r="C35" s="135" t="s">
        <v>100</v>
      </c>
      <c r="D35" s="134"/>
      <c r="E35" s="58" t="s">
        <v>101</v>
      </c>
      <c r="F35" s="136" t="s">
        <v>102</v>
      </c>
      <c r="G35" s="136"/>
      <c r="H35" s="136"/>
      <c r="I35" s="136" t="s">
        <v>103</v>
      </c>
      <c r="J35" s="137"/>
    </row>
    <row r="36" spans="1:10" ht="77.25" customHeight="1">
      <c r="A36" s="117" t="s">
        <v>225</v>
      </c>
      <c r="B36" s="118"/>
      <c r="C36" s="119">
        <v>200</v>
      </c>
      <c r="D36" s="118"/>
      <c r="E36" s="59" t="s">
        <v>166</v>
      </c>
      <c r="F36" s="120" t="s">
        <v>163</v>
      </c>
      <c r="G36" s="121"/>
      <c r="H36" s="122"/>
      <c r="I36" s="123">
        <v>44961</v>
      </c>
      <c r="J36" s="124"/>
    </row>
    <row r="37" spans="1:10" ht="15.4">
      <c r="A37" s="60"/>
      <c r="B37" s="61"/>
      <c r="C37" s="61"/>
      <c r="D37" s="61"/>
      <c r="E37" s="62"/>
      <c r="F37" s="62"/>
      <c r="G37" s="62"/>
      <c r="H37" s="62"/>
      <c r="I37" s="63"/>
      <c r="J37" s="64"/>
    </row>
    <row r="38" spans="1:10" ht="15.4">
      <c r="A38" s="102" t="s">
        <v>106</v>
      </c>
      <c r="B38" s="46"/>
      <c r="C38" s="76" t="s">
        <v>177</v>
      </c>
      <c r="D38" s="46"/>
      <c r="E38" s="46"/>
      <c r="F38" s="46"/>
      <c r="G38" s="46"/>
      <c r="H38" s="68"/>
      <c r="I38" s="66"/>
      <c r="J38" s="50"/>
    </row>
    <row r="39" spans="1:10" ht="15.4">
      <c r="A39" s="58" t="s">
        <v>108</v>
      </c>
      <c r="B39" s="58" t="s">
        <v>201</v>
      </c>
      <c r="C39" s="58" t="s">
        <v>202</v>
      </c>
      <c r="D39" s="58" t="s">
        <v>203</v>
      </c>
      <c r="E39" s="58" t="s">
        <v>204</v>
      </c>
      <c r="F39" s="58" t="s">
        <v>205</v>
      </c>
      <c r="G39" s="58" t="s">
        <v>206</v>
      </c>
      <c r="H39" s="103"/>
      <c r="I39" s="104"/>
      <c r="J39" s="71"/>
    </row>
    <row r="40" spans="1:10" ht="15.4">
      <c r="A40" s="101" t="s">
        <v>115</v>
      </c>
      <c r="B40" s="73">
        <v>99</v>
      </c>
      <c r="C40" s="73">
        <v>98</v>
      </c>
      <c r="D40" s="73">
        <v>115</v>
      </c>
      <c r="E40" s="73">
        <v>128</v>
      </c>
      <c r="F40" s="73">
        <v>186</v>
      </c>
      <c r="G40" s="73">
        <v>191</v>
      </c>
      <c r="H40" s="105"/>
      <c r="I40" s="77"/>
      <c r="J40" s="71"/>
    </row>
    <row r="41" spans="1:10" ht="15.4">
      <c r="A41" s="106"/>
      <c r="B41" s="77"/>
      <c r="C41" s="77"/>
      <c r="D41" s="77"/>
      <c r="E41" s="77"/>
      <c r="F41" s="77"/>
      <c r="G41" s="77"/>
      <c r="H41" s="105"/>
      <c r="I41" s="77"/>
      <c r="J41" s="71"/>
    </row>
    <row r="42" spans="1:10" ht="15.4">
      <c r="A42" s="48"/>
      <c r="B42" s="46"/>
      <c r="C42" s="46"/>
      <c r="D42" s="46"/>
      <c r="E42" s="46" t="s">
        <v>116</v>
      </c>
      <c r="F42" s="79">
        <f>SUM(B40:G40)</f>
        <v>817</v>
      </c>
      <c r="G42" s="46"/>
      <c r="H42" s="46"/>
      <c r="I42" s="46"/>
      <c r="J42" s="50"/>
    </row>
    <row r="43" spans="1:10" ht="15.4">
      <c r="A43" s="48"/>
      <c r="B43" s="46"/>
      <c r="C43" s="46"/>
      <c r="D43" s="46"/>
      <c r="E43" s="46"/>
      <c r="F43" s="76"/>
      <c r="G43" s="46"/>
      <c r="H43" s="46"/>
      <c r="I43" s="46"/>
      <c r="J43" s="50"/>
    </row>
    <row r="44" spans="1:10" ht="15.4">
      <c r="A44" s="80" t="s">
        <v>224</v>
      </c>
      <c r="B44" s="46"/>
      <c r="C44" s="46"/>
      <c r="D44" s="46"/>
      <c r="E44" s="46"/>
      <c r="F44" s="76"/>
      <c r="G44" s="46"/>
      <c r="H44" s="46"/>
      <c r="I44" s="46"/>
      <c r="J44" s="50"/>
    </row>
    <row r="45" spans="1:10" ht="15.75" thickBot="1">
      <c r="A45" s="81"/>
      <c r="B45" s="82"/>
      <c r="C45" s="82"/>
      <c r="D45" s="82"/>
      <c r="E45" s="82"/>
      <c r="F45" s="82"/>
      <c r="G45" s="82"/>
      <c r="H45" s="82"/>
      <c r="I45" s="82"/>
      <c r="J45" s="83"/>
    </row>
  </sheetData>
  <mergeCells count="11">
    <mergeCell ref="A36:B36"/>
    <mergeCell ref="C36:D36"/>
    <mergeCell ref="F36:H36"/>
    <mergeCell ref="I36:J36"/>
    <mergeCell ref="A2:J2"/>
    <mergeCell ref="A3:J3"/>
    <mergeCell ref="F17:J17"/>
    <mergeCell ref="A35:B35"/>
    <mergeCell ref="C35:D35"/>
    <mergeCell ref="F35:H35"/>
    <mergeCell ref="I35:J35"/>
  </mergeCells>
  <hyperlinks>
    <hyperlink ref="B9" r:id="rId1" display="jenny@yy-dc.com.cn"/>
    <hyperlink ref="B6"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LBL PROC CN BD 1026</vt:lpstr>
      <vt:lpstr>NTN</vt:lpstr>
      <vt:lpstr>PT</vt:lpstr>
      <vt:lpstr>I3A6602</vt:lpstr>
      <vt:lpstr>I3A6705</vt:lpstr>
      <vt:lpstr>I3A7305</vt:lpstr>
      <vt:lpstr>I3A7701</vt:lpstr>
      <vt:lpstr>I3A7801</vt:lpstr>
      <vt:lpstr>I3A9402</vt:lpstr>
      <vt:lpstr>I3A9404</vt:lpstr>
      <vt:lpstr>I3A9501</vt:lpstr>
      <vt:lpstr>I3A6807</vt:lpstr>
      <vt:lpstr>I3A6902</vt:lpstr>
      <vt:lpstr>I3A6905</vt:lpstr>
      <vt:lpstr>I3A7101</vt:lpstr>
      <vt:lpstr>I3A7102</vt:lpstr>
      <vt:lpstr>I3A8101</vt:lpstr>
      <vt:lpstr>I3A8201</vt:lpstr>
      <vt:lpstr>I3A8802</vt:lpstr>
    </vt:vector>
  </TitlesOfParts>
  <Company>IW ERP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IW ERP</dc:creator>
  <cp:lastModifiedBy>Quyen</cp:lastModifiedBy>
  <dcterms:created xsi:type="dcterms:W3CDTF">2022-11-03T04:43:08Z</dcterms:created>
  <dcterms:modified xsi:type="dcterms:W3CDTF">2022-12-26T04:12:52Z</dcterms:modified>
</cp:coreProperties>
</file>