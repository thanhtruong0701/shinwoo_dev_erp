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help_label\Taiwan-indo\china-japan\PO CHINA DESEMBER\IY\"/>
    </mc:Choice>
  </mc:AlternateContent>
  <bookViews>
    <workbookView xWindow="-120" yWindow="-120" windowWidth="21840" windowHeight="13140" tabRatio="500"/>
  </bookViews>
  <sheets>
    <sheet name="SIZE RUN" sheetId="3" r:id="rId1"/>
    <sheet name="DATA TRACKING CHINA" sheetId="2" r:id="rId2"/>
    <sheet name="PO" sheetId="1" r:id="rId3"/>
    <sheet name="MCL" sheetId="4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3" l="1"/>
  <c r="K34" i="2"/>
</calcChain>
</file>

<file path=xl/sharedStrings.xml><?xml version="1.0" encoding="utf-8"?>
<sst xmlns="http://schemas.openxmlformats.org/spreadsheetml/2006/main" count="716" uniqueCount="232">
  <si>
    <t>CHINA QUALITY QR 72x136mm</t>
  </si>
  <si>
    <t>Harga 412</t>
  </si>
  <si>
    <t>SIZE QUALITY LABEL 17.5mm</t>
  </si>
  <si>
    <t>sudah dikali 2</t>
  </si>
  <si>
    <t>Harga 46</t>
  </si>
  <si>
    <t>DOC DATE</t>
  </si>
  <si>
    <t>PO. NO #</t>
  </si>
  <si>
    <t>ITEM</t>
  </si>
  <si>
    <t>SO</t>
  </si>
  <si>
    <t>FACTORY</t>
  </si>
  <si>
    <t xml:space="preserve">MATERIAL </t>
  </si>
  <si>
    <t>DESCRIPTION</t>
  </si>
  <si>
    <t>PLANT</t>
  </si>
  <si>
    <t>SHIPP ID</t>
  </si>
  <si>
    <t>X-REF</t>
  </si>
  <si>
    <t>QTY</t>
  </si>
  <si>
    <t>MOLD</t>
  </si>
  <si>
    <t>Country</t>
  </si>
  <si>
    <t>Upper</t>
  </si>
  <si>
    <t>OGAC</t>
  </si>
  <si>
    <t>Production Date</t>
  </si>
  <si>
    <t>Season</t>
  </si>
  <si>
    <t>AFS Category</t>
  </si>
  <si>
    <t>IY04</t>
  </si>
  <si>
    <t>AQ7734-002</t>
  </si>
  <si>
    <t>JORDAN COURTSIDE 23 (PS)</t>
  </si>
  <si>
    <t>#</t>
  </si>
  <si>
    <t>JDB-938PS</t>
  </si>
  <si>
    <t>China</t>
  </si>
  <si>
    <r>
      <rPr>
        <sz val="10"/>
        <color indexed="8"/>
        <rFont val="Calibri"/>
        <family val="2"/>
        <charset val="1"/>
      </rPr>
      <t xml:space="preserve">Leather(Split Grain Cow Leather) / Synthetic(Synthetic Leather) / Textile </t>
    </r>
    <r>
      <rPr>
        <b/>
        <sz val="10"/>
        <color indexed="12"/>
        <rFont val="Microsoft YaHei"/>
        <family val="2"/>
      </rPr>
      <t>牛剖层革</t>
    </r>
    <r>
      <rPr>
        <b/>
        <sz val="10"/>
        <color indexed="12"/>
        <rFont val="Calibri"/>
        <family val="2"/>
        <charset val="1"/>
      </rPr>
      <t>+</t>
    </r>
    <r>
      <rPr>
        <b/>
        <sz val="10"/>
        <color indexed="12"/>
        <rFont val="Microsoft YaHei"/>
        <family val="2"/>
      </rPr>
      <t>合成革</t>
    </r>
    <r>
      <rPr>
        <b/>
        <sz val="10"/>
        <color indexed="12"/>
        <rFont val="Calibri"/>
        <family val="2"/>
        <charset val="1"/>
      </rPr>
      <t>+</t>
    </r>
    <r>
      <rPr>
        <b/>
        <sz val="10"/>
        <color indexed="12"/>
        <rFont val="Microsoft YaHei"/>
        <family val="2"/>
      </rPr>
      <t>织物</t>
    </r>
  </si>
  <si>
    <t>SU23</t>
  </si>
  <si>
    <t>01000</t>
  </si>
  <si>
    <t>AQ7734-104</t>
  </si>
  <si>
    <t>IY18</t>
  </si>
  <si>
    <t>DD1869-103</t>
  </si>
  <si>
    <t>W NIKE DUNK HIGH</t>
  </si>
  <si>
    <t>SWB-1458WS</t>
  </si>
  <si>
    <r>
      <rPr>
        <sz val="10"/>
        <color indexed="8"/>
        <rFont val="Calibri"/>
        <family val="2"/>
        <charset val="1"/>
      </rPr>
      <t xml:space="preserve">Leather(Full Grain Cow Leather) </t>
    </r>
    <r>
      <rPr>
        <b/>
        <sz val="10"/>
        <color indexed="12"/>
        <rFont val="Microsoft YaHei"/>
        <family val="2"/>
      </rPr>
      <t>牛皮革</t>
    </r>
  </si>
  <si>
    <t>IY08</t>
  </si>
  <si>
    <t>DV4024-002</t>
  </si>
  <si>
    <t>W NIKE DUNK LOW DISRUPT 2</t>
  </si>
  <si>
    <r>
      <rPr>
        <sz val="10"/>
        <color indexed="8"/>
        <rFont val="Calibri"/>
        <family val="2"/>
        <charset val="1"/>
      </rPr>
      <t xml:space="preserve">Synthetic(Synthetic Leather) </t>
    </r>
    <r>
      <rPr>
        <b/>
        <sz val="10"/>
        <color indexed="12"/>
        <rFont val="Microsoft YaHei"/>
        <family val="2"/>
      </rPr>
      <t>合成革</t>
    </r>
  </si>
  <si>
    <t>IY16</t>
  </si>
  <si>
    <t>DV7411-200</t>
  </si>
  <si>
    <t>W NIKE DUNK LOW LX</t>
  </si>
  <si>
    <r>
      <rPr>
        <sz val="10"/>
        <color indexed="8"/>
        <rFont val="Calibri"/>
        <family val="2"/>
        <charset val="1"/>
      </rPr>
      <t xml:space="preserve">Leather(Split Grain Cow Leather) </t>
    </r>
    <r>
      <rPr>
        <b/>
        <sz val="10"/>
        <color indexed="12"/>
        <rFont val="Microsoft YaHei"/>
        <family val="2"/>
      </rPr>
      <t>牛剖层革</t>
    </r>
  </si>
  <si>
    <t>IY10</t>
  </si>
  <si>
    <t>DX5928-100</t>
  </si>
  <si>
    <t>W NIKE DUNK HIGH SE</t>
  </si>
  <si>
    <r>
      <rPr>
        <sz val="10"/>
        <color indexed="8"/>
        <rFont val="Calibri"/>
        <family val="2"/>
        <charset val="1"/>
      </rPr>
      <t xml:space="preserve">Leather(Full Grain Cow Leather) / Synthetic(Synthetic Plastic) </t>
    </r>
    <r>
      <rPr>
        <b/>
        <sz val="10"/>
        <color indexed="12"/>
        <rFont val="Microsoft YaHei"/>
        <family val="2"/>
      </rPr>
      <t>牛皮革</t>
    </r>
    <r>
      <rPr>
        <b/>
        <sz val="10"/>
        <color indexed="12"/>
        <rFont val="Calibri"/>
        <family val="2"/>
        <charset val="1"/>
      </rPr>
      <t>+</t>
    </r>
    <r>
      <rPr>
        <b/>
        <sz val="10"/>
        <color indexed="12"/>
        <rFont val="Microsoft YaHei"/>
        <family val="2"/>
      </rPr>
      <t>橡塑材料</t>
    </r>
  </si>
  <si>
    <t>DX5930-001</t>
  </si>
  <si>
    <t>W NIKE DUNK LOW ESS TREND</t>
  </si>
  <si>
    <r>
      <rPr>
        <sz val="10"/>
        <color indexed="8"/>
        <rFont val="Calibri"/>
        <family val="2"/>
        <charset val="1"/>
      </rPr>
      <t xml:space="preserve">Leather(Split Grain Cow Leather) / Synthetic(Synthetic Leather) </t>
    </r>
    <r>
      <rPr>
        <b/>
        <sz val="10"/>
        <color indexed="12"/>
        <rFont val="Microsoft YaHei"/>
        <family val="2"/>
      </rPr>
      <t>牛剖层革</t>
    </r>
    <r>
      <rPr>
        <b/>
        <sz val="10"/>
        <color indexed="12"/>
        <rFont val="Calibri"/>
        <family val="2"/>
        <charset val="1"/>
      </rPr>
      <t>+</t>
    </r>
    <r>
      <rPr>
        <b/>
        <sz val="10"/>
        <color indexed="12"/>
        <rFont val="Microsoft YaHei"/>
        <family val="2"/>
      </rPr>
      <t>合成革</t>
    </r>
  </si>
  <si>
    <t>DX5931-001</t>
  </si>
  <si>
    <t>W NIKE DUNK LOW ESS SNKR</t>
  </si>
  <si>
    <r>
      <rPr>
        <sz val="10"/>
        <color indexed="8"/>
        <rFont val="Calibri"/>
        <family val="2"/>
        <charset val="1"/>
      </rPr>
      <t xml:space="preserve">Textile </t>
    </r>
    <r>
      <rPr>
        <b/>
        <sz val="10"/>
        <color indexed="12"/>
        <rFont val="Microsoft YaHei"/>
        <family val="2"/>
      </rPr>
      <t>织物</t>
    </r>
  </si>
  <si>
    <t>IY07</t>
  </si>
  <si>
    <t>FJ4553-133</t>
  </si>
  <si>
    <t>W NIKE DUNK LOW</t>
  </si>
  <si>
    <t>FJ4555-100</t>
  </si>
  <si>
    <t>W NIKE DUNK LOW PRM</t>
  </si>
  <si>
    <r>
      <rPr>
        <sz val="10"/>
        <color indexed="8"/>
        <rFont val="Calibri"/>
        <family val="2"/>
        <charset val="1"/>
      </rPr>
      <t xml:space="preserve">Leather(Full Grain Cow Leather)  </t>
    </r>
    <r>
      <rPr>
        <b/>
        <sz val="10"/>
        <color indexed="12"/>
        <rFont val="Microsoft YaHei"/>
        <family val="2"/>
      </rPr>
      <t>牛皮革</t>
    </r>
  </si>
  <si>
    <t>FJ7745-181</t>
  </si>
  <si>
    <r>
      <rPr>
        <sz val="10"/>
        <color indexed="8"/>
        <rFont val="Calibri"/>
        <family val="2"/>
        <charset val="1"/>
      </rPr>
      <t xml:space="preserve">Textile / Leather(Full Grain Cow Leather) </t>
    </r>
    <r>
      <rPr>
        <b/>
        <sz val="10"/>
        <color indexed="12"/>
        <rFont val="Microsoft YaHei"/>
        <family val="2"/>
      </rPr>
      <t>织物</t>
    </r>
    <r>
      <rPr>
        <b/>
        <sz val="10"/>
        <color indexed="12"/>
        <rFont val="Calibri"/>
        <family val="2"/>
        <charset val="1"/>
      </rPr>
      <t>+</t>
    </r>
    <r>
      <rPr>
        <b/>
        <sz val="10"/>
        <color indexed="12"/>
        <rFont val="Microsoft YaHei"/>
        <family val="2"/>
      </rPr>
      <t>牛皮革</t>
    </r>
  </si>
  <si>
    <t>IY03</t>
  </si>
  <si>
    <t>DR6444-002</t>
  </si>
  <si>
    <t>JORDAN SERIES ES ALT (TD)</t>
  </si>
  <si>
    <t>JDB-1520TD</t>
  </si>
  <si>
    <t>943759-003</t>
  </si>
  <si>
    <t>NIKE AQUA SOCK 360 (TD)</t>
  </si>
  <si>
    <t>KDBT-1280TD</t>
  </si>
  <si>
    <t>IY15</t>
  </si>
  <si>
    <t>CI7849-100</t>
  </si>
  <si>
    <t>JORDAN FLARE (PS)</t>
  </si>
  <si>
    <t>JDB-1379PS</t>
  </si>
  <si>
    <t>CI7849-610</t>
  </si>
  <si>
    <t>CI7850-610</t>
  </si>
  <si>
    <t>JORDAN FLARE (TD)</t>
  </si>
  <si>
    <t>JDB-1379TD</t>
  </si>
  <si>
    <t>TOTAL</t>
  </si>
  <si>
    <t>Product Code</t>
  </si>
  <si>
    <t>Product Name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</si>
  <si>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</si>
  <si>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</si>
  <si>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</si>
  <si>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</si>
  <si>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</si>
  <si>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</si>
  <si>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</si>
  <si>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</si>
  <si>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</si>
  <si>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</si>
  <si>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</si>
  <si>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</si>
  <si>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</si>
  <si>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</si>
  <si>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</si>
  <si>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</si>
  <si>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</si>
  <si>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</si>
  <si>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</si>
  <si>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</si>
  <si>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</si>
  <si>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</si>
  <si>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</si>
  <si>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</si>
  <si>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</si>
  <si>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</si>
  <si>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</si>
  <si>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</si>
  <si>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</si>
  <si>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3.5</t>
  </si>
  <si>
    <t>4</t>
  </si>
  <si>
    <t>4.5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</si>
  <si>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</si>
  <si>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</si>
  <si>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</si>
  <si>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</si>
  <si>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</si>
  <si>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</si>
  <si>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</si>
  <si>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</si>
  <si>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</si>
  <si>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</si>
  <si>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</si>
  <si>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</si>
  <si>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</si>
  <si>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</si>
  <si>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</si>
  <si>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12.5</t>
  </si>
  <si>
    <t>13</t>
  </si>
  <si>
    <t>14</t>
  </si>
  <si>
    <t>15</t>
  </si>
  <si>
    <t>16</t>
  </si>
  <si>
    <t>17</t>
  </si>
  <si>
    <t>18</t>
  </si>
  <si>
    <t>IY</t>
  </si>
  <si>
    <t>BOYS PRE SCHOOL</t>
  </si>
  <si>
    <t>SU</t>
  </si>
  <si>
    <t>1</t>
  </si>
  <si>
    <t>WOMENS</t>
  </si>
  <si>
    <t>BOYS TODDLER</t>
  </si>
  <si>
    <t>XY</t>
  </si>
  <si>
    <t>MCL Status</t>
  </si>
  <si>
    <t>Product Type</t>
  </si>
  <si>
    <t>Translation</t>
  </si>
  <si>
    <t>Factory Location</t>
  </si>
  <si>
    <t>Factory Code</t>
  </si>
  <si>
    <t>Import Country</t>
  </si>
  <si>
    <t>Label</t>
  </si>
  <si>
    <t>Label Type</t>
  </si>
  <si>
    <t>Leather %</t>
  </si>
  <si>
    <t>Coated Leather %</t>
  </si>
  <si>
    <t>Synthetic %</t>
  </si>
  <si>
    <t>Rubber-Japan %</t>
  </si>
  <si>
    <t>Plastic-Japan %</t>
  </si>
  <si>
    <t>Textile %</t>
  </si>
  <si>
    <t>Other %</t>
  </si>
  <si>
    <t>Outsole</t>
  </si>
  <si>
    <t>Midsole</t>
  </si>
  <si>
    <t>Lining</t>
  </si>
  <si>
    <t>Sock Liner/Insole</t>
  </si>
  <si>
    <t>Other</t>
  </si>
  <si>
    <t>Footwear Purpose</t>
  </si>
  <si>
    <t>Global Category</t>
  </si>
  <si>
    <t xml:space="preserve">Last Modified
Date </t>
  </si>
  <si>
    <t>Company</t>
  </si>
  <si>
    <t>Brand Logo</t>
  </si>
  <si>
    <t>APPROVED</t>
  </si>
  <si>
    <t>Inline</t>
  </si>
  <si>
    <t>ID</t>
  </si>
  <si>
    <t>CN</t>
  </si>
  <si>
    <t>CERT</t>
  </si>
  <si>
    <t>Leather(Split Grain Cow Leather) / Synthetic(Synthetic Leather) / Textile</t>
  </si>
  <si>
    <t>BASKETBALL</t>
  </si>
  <si>
    <t>NIKE</t>
  </si>
  <si>
    <t>Leather(Full Grain Cow Leather)</t>
  </si>
  <si>
    <t>NIKE SPORTSWEAR</t>
  </si>
  <si>
    <t>2</t>
  </si>
  <si>
    <t>Synthetic(Synthetic Leather)</t>
  </si>
  <si>
    <t>Leather(Split Grain Cow Leather)</t>
  </si>
  <si>
    <t>Leather(Full Grain Cow Leather) / Synthetic(Synthetic Plastic)</t>
  </si>
  <si>
    <t>Leather(Split Grain Cow Leather) / Synthetic(Synthetic Leather)</t>
  </si>
  <si>
    <t>Textile</t>
  </si>
  <si>
    <t xml:space="preserve">W NIKE DUNK LOW  </t>
  </si>
  <si>
    <t xml:space="preserve">W NIKE DUNK LOW PRM </t>
  </si>
  <si>
    <t>Textile / Leather(Full Grain Cow Leather)</t>
  </si>
  <si>
    <t>YOUNG ATHLETES</t>
  </si>
  <si>
    <t>PO Number</t>
  </si>
  <si>
    <t>PO Item</t>
  </si>
  <si>
    <t>PO</t>
  </si>
  <si>
    <t>Material</t>
  </si>
  <si>
    <t>Gender Age</t>
  </si>
  <si>
    <t>Planning Season</t>
  </si>
  <si>
    <t>Year</t>
  </si>
  <si>
    <t>OGAC Date</t>
  </si>
  <si>
    <t>RTA</t>
  </si>
  <si>
    <t>13.5</t>
  </si>
  <si>
    <t>14.5</t>
  </si>
  <si>
    <t>15.5</t>
  </si>
  <si>
    <t>4001239287 10288848</t>
  </si>
  <si>
    <t>4001239287 10289007</t>
  </si>
  <si>
    <t>4001239287 10289185</t>
  </si>
  <si>
    <t>4001239287 10289066</t>
  </si>
  <si>
    <t>4001239287 10289116</t>
  </si>
  <si>
    <t>4001239287 10289067</t>
  </si>
  <si>
    <t>4001239287 10288843</t>
  </si>
  <si>
    <t>4001239287 10289177</t>
  </si>
  <si>
    <t>4001239287 10288844</t>
  </si>
  <si>
    <t>4001239287 10289117</t>
  </si>
  <si>
    <t>4001239287 10289245</t>
  </si>
  <si>
    <t>4001239287 10289107</t>
  </si>
  <si>
    <t>4001239287 10289014</t>
  </si>
  <si>
    <t>4001239287 10289015</t>
  </si>
  <si>
    <t>4001239287 10289008</t>
  </si>
  <si>
    <t>4001239287 10289118</t>
  </si>
  <si>
    <t>4001239287 10289108</t>
  </si>
  <si>
    <t>4001239287 10289006</t>
  </si>
  <si>
    <t>4001239287 10289239</t>
  </si>
  <si>
    <t>4001239287 10288841</t>
  </si>
  <si>
    <t>4001239287 10289176</t>
  </si>
  <si>
    <t>4001239287 10288896</t>
  </si>
  <si>
    <t>4001239287 10288956</t>
  </si>
  <si>
    <t>4001239287 10289115</t>
  </si>
  <si>
    <t>4001239287 10289087</t>
  </si>
  <si>
    <t>4001239287 10288926</t>
  </si>
  <si>
    <t>4001239287 10288699</t>
  </si>
  <si>
    <t>4001239287 10288813</t>
  </si>
  <si>
    <t>4001239287 10288983</t>
  </si>
  <si>
    <t>4001239287 10288927</t>
  </si>
  <si>
    <t>4001239287 10289000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</si>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</sst>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m/d/yy;@"/>
    <numFmt numFmtId="165" formatCode="d\-mmm\-yy;@"/>
    <numFmt numFmtId="166" formatCode="#,##0\ ;[Red]\(#,##0\)"/>
    <numFmt numFmtId="167" formatCode="m/d;@"/>
    <numFmt numFmtId="168" formatCode="yy/mm/dd;@"/>
    <numFmt numFmtId="169" formatCode="yyyy/mm/dd"/>
    <numFmt numFmtId="170" formatCode="yyyy\-mm\-dd"/>
    <numFmt numFmtId="171" formatCode="[$-409]d\-mmm;@"/>
  </numFmts>
  <fonts count="18">
    <font>
      <sz val="10"/>
      <name val="Arial"/>
      <family val="2"/>
    </font>
    <font>
      <sz val="12"/>
      <color indexed="8"/>
      <name val="Calibri"/>
      <family val="2"/>
      <charset val="136"/>
    </font>
    <font>
      <b/>
      <sz val="11"/>
      <color indexed="62"/>
      <name val="Calibri"/>
      <family val="2"/>
    </font>
    <font>
      <sz val="11"/>
      <color indexed="8"/>
      <name val="Calibri"/>
      <family val="2"/>
      <charset val="1"/>
    </font>
    <font>
      <b/>
      <sz val="12"/>
      <name val="Times New Roman"/>
      <family val="1"/>
    </font>
    <font>
      <b/>
      <sz val="10"/>
      <name val="Arial"/>
      <family val="2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color indexed="8"/>
      <name val="Calibri"/>
      <family val="2"/>
      <charset val="1"/>
    </font>
    <font>
      <sz val="10"/>
      <color indexed="10"/>
      <name val="Calibri"/>
      <family val="2"/>
      <charset val="1"/>
    </font>
    <font>
      <b/>
      <sz val="10"/>
      <color indexed="12"/>
      <name val="Microsoft YaHei"/>
      <family val="2"/>
    </font>
    <font>
      <b/>
      <sz val="10"/>
      <color indexed="12"/>
      <name val="Calibri"/>
      <family val="2"/>
      <charset val="1"/>
    </font>
    <font>
      <sz val="10"/>
      <color indexed="53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微軟正黑體"/>
      <family val="2"/>
      <charset val="136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2" fillId="0" borderId="0" applyNumberFormat="0" applyFill="0" applyBorder="0" applyAlignment="0" applyProtection="0"/>
    <xf numFmtId="0" fontId="3" fillId="0" borderId="0"/>
    <xf numFmtId="0" fontId="15" fillId="0" borderId="0"/>
    <xf numFmtId="0" fontId="16" fillId="0" borderId="0"/>
  </cellStyleXfs>
  <cellXfs count="41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49" fontId="6" fillId="3" borderId="1" xfId="3" applyNumberFormat="1" applyFont="1" applyFill="1" applyBorder="1" applyAlignment="1">
      <alignment horizontal="center" vertical="center" wrapText="1"/>
    </xf>
    <xf numFmtId="166" fontId="6" fillId="3" borderId="1" xfId="3" applyNumberFormat="1" applyFont="1" applyFill="1" applyBorder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 wrapText="1"/>
    </xf>
    <xf numFmtId="164" fontId="6" fillId="3" borderId="1" xfId="3" applyNumberFormat="1" applyFont="1" applyFill="1" applyBorder="1" applyAlignment="1">
      <alignment horizontal="center" vertical="center" wrapText="1"/>
    </xf>
    <xf numFmtId="165" fontId="9" fillId="2" borderId="0" xfId="3" applyNumberFormat="1" applyFont="1" applyFill="1" applyAlignment="1">
      <alignment horizontal="center" vertical="center" wrapText="1"/>
    </xf>
    <xf numFmtId="0" fontId="7" fillId="2" borderId="0" xfId="3" applyFont="1" applyFill="1" applyAlignment="1">
      <alignment horizontal="center" vertical="center" wrapText="1"/>
    </xf>
    <xf numFmtId="14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3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67" fontId="8" fillId="0" borderId="1" xfId="1" applyNumberFormat="1" applyFont="1" applyBorder="1" applyAlignment="1">
      <alignment horizontal="center" vertical="center"/>
    </xf>
    <xf numFmtId="168" fontId="8" fillId="0" borderId="1" xfId="3" applyNumberFormat="1" applyFont="1" applyBorder="1" applyAlignment="1">
      <alignment horizontal="center" vertical="center" wrapText="1"/>
    </xf>
    <xf numFmtId="49" fontId="8" fillId="0" borderId="1" xfId="3" applyNumberFormat="1" applyFont="1" applyBorder="1" applyAlignment="1">
      <alignment horizontal="center" vertical="center"/>
    </xf>
    <xf numFmtId="165" fontId="9" fillId="0" borderId="0" xfId="3" applyNumberFormat="1" applyFont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center" vertical="center"/>
    </xf>
    <xf numFmtId="0" fontId="13" fillId="5" borderId="0" xfId="0" applyFont="1" applyFill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170" fontId="14" fillId="0" borderId="0" xfId="0" applyNumberFormat="1" applyFont="1" applyAlignment="1">
      <alignment horizontal="left" vertical="top" wrapText="1"/>
    </xf>
    <xf numFmtId="3" fontId="5" fillId="0" borderId="0" xfId="0" applyNumberFormat="1" applyFont="1" applyAlignment="1">
      <alignment horizontal="center"/>
    </xf>
    <xf numFmtId="0" fontId="5" fillId="6" borderId="0" xfId="5" applyFont="1" applyFill="1" applyAlignment="1">
      <alignment horizontal="center" vertical="center" wrapText="1"/>
    </xf>
    <xf numFmtId="1" fontId="5" fillId="6" borderId="0" xfId="5" applyNumberFormat="1" applyFont="1" applyFill="1" applyAlignment="1">
      <alignment horizontal="center" vertical="center" wrapText="1"/>
    </xf>
    <xf numFmtId="169" fontId="5" fillId="6" borderId="0" xfId="5" applyNumberFormat="1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6">
    <cellStyle name="Excel Built-in Normal 1" xfId="4"/>
    <cellStyle name="Heading 4 2 5 2" xfId="2"/>
    <cellStyle name="Normal" xfId="0" builtinId="0"/>
    <cellStyle name="Normal 2 10" xfId="1"/>
    <cellStyle name="Valuta (0)_pldt" xfId="3"/>
    <cellStyle name="壞_0710 Lasting Plan" xf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FF3333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34"/>
  <sheetViews>
    <sheetView tabSelected="1" workbookViewId="0">
      <pane ySplit="1" topLeftCell="A5" activePane="bottomLeft" state="frozen"/>
      <selection pane="bottomLeft" activeCell="L18" sqref="L18"/>
    </sheetView>
  </sheetViews>
  <sheetFormatPr defaultColWidth="11.59765625" defaultRowHeight="12.75"/>
  <cols>
    <col min="1" max="3" width="11.59765625" style="33"/>
    <col min="4" max="4" width="19.86328125" style="33" bestFit="1" customWidth="1"/>
    <col min="5" max="5" width="11.59765625" style="33"/>
    <col min="6" max="6" width="19.265625" style="33" bestFit="1" customWidth="1"/>
    <col min="7" max="257" width="11.59765625" style="33"/>
  </cols>
  <sheetData>
    <row r="1" spans="1:112" s="19" customFormat="1" ht="33.75" customHeight="1">
      <c r="A1" s="26" t="s">
        <v>8</v>
      </c>
      <c r="B1" s="26" t="s">
        <v>188</v>
      </c>
      <c r="C1" s="26" t="s">
        <v>189</v>
      </c>
      <c r="D1" s="26" t="s">
        <v>190</v>
      </c>
      <c r="E1" s="27" t="s">
        <v>191</v>
      </c>
      <c r="F1" s="26" t="s">
        <v>192</v>
      </c>
      <c r="G1" s="26" t="s">
        <v>193</v>
      </c>
      <c r="H1" s="26" t="s">
        <v>194</v>
      </c>
      <c r="I1" s="28" t="s">
        <v>195</v>
      </c>
      <c r="J1" s="28" t="s">
        <v>196</v>
      </c>
      <c r="K1" s="26" t="s">
        <v>79</v>
      </c>
      <c r="L1" s="32" t="s">
        <v>82</v>
      </c>
      <c r="M1" s="30" t="s">
        <v>83</v>
      </c>
      <c r="N1" s="30" t="s">
        <v>84</v>
      </c>
      <c r="O1" s="30" t="s">
        <v>85</v>
      </c>
      <c r="P1" s="30" t="s">
        <v>86</v>
      </c>
      <c r="Q1" s="30" t="s">
        <v>87</v>
      </c>
      <c r="R1" s="30" t="s">
        <v>88</v>
      </c>
      <c r="S1" s="30" t="s">
        <v>89</v>
      </c>
      <c r="T1" s="30" t="s">
        <v>90</v>
      </c>
      <c r="U1" s="30" t="s">
        <v>91</v>
      </c>
      <c r="V1" s="30" t="s">
        <v>92</v>
      </c>
      <c r="W1" s="30" t="s">
        <v>93</v>
      </c>
      <c r="X1" s="30" t="s">
        <v>94</v>
      </c>
      <c r="Y1" s="30" t="s">
        <v>95</v>
      </c>
      <c r="Z1" s="30" t="s">
        <v>96</v>
      </c>
      <c r="AA1" s="30" t="s">
        <v>97</v>
      </c>
      <c r="AB1" s="30" t="s">
        <v>98</v>
      </c>
      <c r="AC1" s="30" t="s">
        <v>99</v>
      </c>
      <c r="AD1" s="30" t="s">
        <v>100</v>
      </c>
      <c r="AE1" s="30" t="s">
        <v>101</v>
      </c>
      <c r="AF1" s="30" t="s">
        <v>102</v>
      </c>
      <c r="AG1" s="30" t="s">
        <v>103</v>
      </c>
      <c r="AH1" s="30" t="s">
        <v>104</v>
      </c>
      <c r="AI1" s="30" t="s">
        <v>105</v>
      </c>
      <c r="AJ1" s="30" t="s">
        <v>106</v>
      </c>
      <c r="AK1" s="30" t="s">
        <v>107</v>
      </c>
      <c r="AL1" s="30" t="s">
        <v>108</v>
      </c>
      <c r="AM1" s="30" t="s">
        <v>109</v>
      </c>
      <c r="AN1" s="30" t="s">
        <v>110</v>
      </c>
      <c r="AO1" s="30" t="s">
        <v>111</v>
      </c>
      <c r="AP1" s="30" t="s">
        <v>112</v>
      </c>
      <c r="AQ1" s="30" t="s">
        <v>113</v>
      </c>
      <c r="AR1" s="30" t="s">
        <v>114</v>
      </c>
      <c r="AS1" s="30" t="s">
        <v>115</v>
      </c>
      <c r="AT1" s="30" t="s">
        <v>116</v>
      </c>
      <c r="AU1" s="30" t="s">
        <v>117</v>
      </c>
      <c r="AV1" s="30" t="s">
        <v>118</v>
      </c>
      <c r="AW1" s="30" t="s">
        <v>119</v>
      </c>
      <c r="AX1" s="30" t="s">
        <v>120</v>
      </c>
      <c r="AY1" s="30" t="s">
        <v>121</v>
      </c>
      <c r="AZ1" s="30" t="s">
        <v>122</v>
      </c>
      <c r="BA1" s="30" t="s">
        <v>123</v>
      </c>
      <c r="BB1" s="30" t="s">
        <v>124</v>
      </c>
      <c r="BC1" s="30" t="s">
        <v>125</v>
      </c>
      <c r="BD1" s="30" t="s">
        <v>126</v>
      </c>
      <c r="BE1" s="30" t="s">
        <v>127</v>
      </c>
      <c r="BF1" s="30" t="s">
        <v>128</v>
      </c>
      <c r="BG1" s="30" t="s">
        <v>129</v>
      </c>
      <c r="BH1" s="30" t="s">
        <v>130</v>
      </c>
      <c r="BI1" s="29" t="s">
        <v>197</v>
      </c>
      <c r="BJ1" s="29" t="s">
        <v>131</v>
      </c>
      <c r="BK1" s="29" t="s">
        <v>198</v>
      </c>
      <c r="BL1" s="29" t="s">
        <v>132</v>
      </c>
      <c r="BM1" s="29" t="s">
        <v>199</v>
      </c>
      <c r="BN1" s="29" t="s">
        <v>133</v>
      </c>
      <c r="BO1" s="29" t="s">
        <v>134</v>
      </c>
      <c r="BP1" s="29" t="s">
        <v>135</v>
      </c>
      <c r="BQ1" s="31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</row>
    <row r="2" spans="1:112" s="20" customFormat="1">
      <c r="A2" s="33">
        <v>10288848</v>
      </c>
      <c r="B2" s="33">
        <v>6000281226</v>
      </c>
      <c r="C2" s="33">
        <v>100</v>
      </c>
      <c r="D2" s="33" t="s">
        <v>200</v>
      </c>
      <c r="E2" s="33" t="s">
        <v>34</v>
      </c>
      <c r="F2" s="33" t="s">
        <v>140</v>
      </c>
      <c r="G2" s="33" t="s">
        <v>138</v>
      </c>
      <c r="H2" s="33">
        <v>2023</v>
      </c>
      <c r="I2" s="34">
        <v>44975</v>
      </c>
      <c r="J2" s="39">
        <v>44921</v>
      </c>
      <c r="K2" s="21">
        <v>4711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>
        <v>364</v>
      </c>
      <c r="AS2" s="21">
        <v>396</v>
      </c>
      <c r="AT2" s="21">
        <v>727</v>
      </c>
      <c r="AU2" s="21">
        <v>1026</v>
      </c>
      <c r="AV2" s="21">
        <v>614</v>
      </c>
      <c r="AW2" s="21">
        <v>452</v>
      </c>
      <c r="AX2" s="21">
        <v>428</v>
      </c>
      <c r="AY2" s="21">
        <v>372</v>
      </c>
      <c r="AZ2" s="21">
        <v>162</v>
      </c>
      <c r="BA2" s="21">
        <v>89</v>
      </c>
      <c r="BB2" s="21">
        <v>81</v>
      </c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33"/>
      <c r="BO2" s="33"/>
      <c r="BP2" s="35"/>
      <c r="BQ2" s="21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</row>
    <row r="3" spans="1:112" s="20" customFormat="1">
      <c r="A3" s="33">
        <v>10289007</v>
      </c>
      <c r="B3" s="33">
        <v>6000281216</v>
      </c>
      <c r="C3" s="33">
        <v>100</v>
      </c>
      <c r="D3" s="33" t="s">
        <v>201</v>
      </c>
      <c r="E3" s="33" t="s">
        <v>34</v>
      </c>
      <c r="F3" s="33" t="s">
        <v>140</v>
      </c>
      <c r="G3" s="33" t="s">
        <v>138</v>
      </c>
      <c r="H3" s="33">
        <v>2023</v>
      </c>
      <c r="I3" s="34">
        <v>44982</v>
      </c>
      <c r="J3" s="39">
        <v>44921</v>
      </c>
      <c r="K3" s="21">
        <v>533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>
        <v>10</v>
      </c>
      <c r="AS3" s="21">
        <v>47</v>
      </c>
      <c r="AT3" s="21">
        <v>90</v>
      </c>
      <c r="AU3" s="21">
        <v>120</v>
      </c>
      <c r="AV3" s="21">
        <v>106</v>
      </c>
      <c r="AW3" s="21">
        <v>90</v>
      </c>
      <c r="AX3" s="21">
        <v>36</v>
      </c>
      <c r="AY3" s="21">
        <v>23</v>
      </c>
      <c r="AZ3" s="21">
        <v>1</v>
      </c>
      <c r="BA3" s="21">
        <v>2</v>
      </c>
      <c r="BB3" s="21">
        <v>2</v>
      </c>
      <c r="BC3" s="21">
        <v>2</v>
      </c>
      <c r="BD3" s="21">
        <v>1</v>
      </c>
      <c r="BE3" s="21">
        <v>2</v>
      </c>
      <c r="BF3" s="21">
        <v>1</v>
      </c>
      <c r="BG3" s="21"/>
      <c r="BH3" s="21"/>
      <c r="BI3" s="21"/>
      <c r="BJ3" s="21"/>
      <c r="BK3" s="21"/>
      <c r="BL3" s="21"/>
      <c r="BM3" s="21"/>
      <c r="BN3" s="33"/>
      <c r="BO3" s="33"/>
      <c r="BP3" s="35"/>
      <c r="BQ3" s="21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</row>
    <row r="4" spans="1:112" s="20" customFormat="1">
      <c r="A4" s="33">
        <v>10289185</v>
      </c>
      <c r="B4" s="33">
        <v>6000281226</v>
      </c>
      <c r="C4" s="33">
        <v>200</v>
      </c>
      <c r="D4" s="33" t="s">
        <v>202</v>
      </c>
      <c r="E4" s="33" t="s">
        <v>34</v>
      </c>
      <c r="F4" s="33" t="s">
        <v>140</v>
      </c>
      <c r="G4" s="33" t="s">
        <v>138</v>
      </c>
      <c r="H4" s="33">
        <v>2023</v>
      </c>
      <c r="I4" s="34">
        <v>44982</v>
      </c>
      <c r="J4" s="39">
        <v>44921</v>
      </c>
      <c r="K4" s="21">
        <v>1239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>
        <v>88</v>
      </c>
      <c r="AS4" s="21">
        <v>105</v>
      </c>
      <c r="AT4" s="21">
        <v>181</v>
      </c>
      <c r="AU4" s="21">
        <v>261</v>
      </c>
      <c r="AV4" s="21">
        <v>169</v>
      </c>
      <c r="AW4" s="21">
        <v>123</v>
      </c>
      <c r="AX4" s="21">
        <v>125</v>
      </c>
      <c r="AY4" s="21">
        <v>100</v>
      </c>
      <c r="AZ4" s="21">
        <v>45</v>
      </c>
      <c r="BA4" s="21">
        <v>22</v>
      </c>
      <c r="BB4" s="21">
        <v>20</v>
      </c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33"/>
      <c r="BO4" s="33"/>
      <c r="BP4" s="35"/>
      <c r="BQ4" s="21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</row>
    <row r="5" spans="1:112" s="20" customFormat="1">
      <c r="A5" s="33">
        <v>10289066</v>
      </c>
      <c r="B5" s="33">
        <v>6000281229</v>
      </c>
      <c r="C5" s="33">
        <v>100</v>
      </c>
      <c r="D5" s="33" t="s">
        <v>203</v>
      </c>
      <c r="E5" s="33" t="s">
        <v>39</v>
      </c>
      <c r="F5" s="33" t="s">
        <v>140</v>
      </c>
      <c r="G5" s="33" t="s">
        <v>138</v>
      </c>
      <c r="H5" s="33">
        <v>2023</v>
      </c>
      <c r="I5" s="34">
        <v>44975</v>
      </c>
      <c r="J5" s="39">
        <v>44921</v>
      </c>
      <c r="K5" s="21">
        <v>6809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>
        <v>545</v>
      </c>
      <c r="AS5" s="21">
        <v>595</v>
      </c>
      <c r="AT5" s="21">
        <v>1104</v>
      </c>
      <c r="AU5" s="21">
        <v>1429</v>
      </c>
      <c r="AV5" s="21">
        <v>910</v>
      </c>
      <c r="AW5" s="21">
        <v>693</v>
      </c>
      <c r="AX5" s="21">
        <v>652</v>
      </c>
      <c r="AY5" s="21">
        <v>473</v>
      </c>
      <c r="AZ5" s="21">
        <v>160</v>
      </c>
      <c r="BA5" s="21">
        <v>124</v>
      </c>
      <c r="BB5" s="21">
        <v>124</v>
      </c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33"/>
      <c r="BO5" s="36"/>
      <c r="BP5" s="35"/>
      <c r="BQ5" s="21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</row>
    <row r="6" spans="1:112" s="20" customFormat="1">
      <c r="A6" s="33">
        <v>10289116</v>
      </c>
      <c r="B6" s="33">
        <v>6000281229</v>
      </c>
      <c r="C6" s="33">
        <v>200</v>
      </c>
      <c r="D6" s="33" t="s">
        <v>204</v>
      </c>
      <c r="E6" s="33" t="s">
        <v>39</v>
      </c>
      <c r="F6" s="33" t="s">
        <v>140</v>
      </c>
      <c r="G6" s="33" t="s">
        <v>138</v>
      </c>
      <c r="H6" s="33">
        <v>2023</v>
      </c>
      <c r="I6" s="34">
        <v>44982</v>
      </c>
      <c r="J6" s="39">
        <v>44921</v>
      </c>
      <c r="K6" s="21">
        <v>7059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>
        <v>545</v>
      </c>
      <c r="AS6" s="21">
        <v>593</v>
      </c>
      <c r="AT6" s="21">
        <v>1090</v>
      </c>
      <c r="AU6" s="21">
        <v>1538</v>
      </c>
      <c r="AV6" s="21">
        <v>920</v>
      </c>
      <c r="AW6" s="21">
        <v>678</v>
      </c>
      <c r="AX6" s="21">
        <v>642</v>
      </c>
      <c r="AY6" s="21">
        <v>557</v>
      </c>
      <c r="AZ6" s="21">
        <v>242</v>
      </c>
      <c r="BA6" s="21">
        <v>133</v>
      </c>
      <c r="BB6" s="21">
        <v>121</v>
      </c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33"/>
      <c r="BO6" s="33"/>
      <c r="BP6" s="35"/>
      <c r="BQ6" s="21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</row>
    <row r="7" spans="1:112" s="20" customFormat="1">
      <c r="A7" s="33">
        <v>10289067</v>
      </c>
      <c r="B7" s="33">
        <v>6000281230</v>
      </c>
      <c r="C7" s="33">
        <v>100</v>
      </c>
      <c r="D7" s="33" t="s">
        <v>205</v>
      </c>
      <c r="E7" s="33" t="s">
        <v>43</v>
      </c>
      <c r="F7" s="33" t="s">
        <v>140</v>
      </c>
      <c r="G7" s="33" t="s">
        <v>138</v>
      </c>
      <c r="H7" s="33">
        <v>2023</v>
      </c>
      <c r="I7" s="34">
        <v>44975</v>
      </c>
      <c r="J7" s="39">
        <v>44921</v>
      </c>
      <c r="K7" s="21">
        <v>5929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>
        <v>438</v>
      </c>
      <c r="AS7" s="21">
        <v>496</v>
      </c>
      <c r="AT7" s="21">
        <v>886</v>
      </c>
      <c r="AU7" s="21">
        <v>1267</v>
      </c>
      <c r="AV7" s="21">
        <v>795</v>
      </c>
      <c r="AW7" s="21">
        <v>578</v>
      </c>
      <c r="AX7" s="21">
        <v>574</v>
      </c>
      <c r="AY7" s="21">
        <v>476</v>
      </c>
      <c r="AZ7" s="21">
        <v>212</v>
      </c>
      <c r="BA7" s="21">
        <v>108</v>
      </c>
      <c r="BB7" s="21">
        <v>99</v>
      </c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33"/>
      <c r="BO7" s="33"/>
      <c r="BP7" s="35"/>
      <c r="BQ7" s="21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</row>
    <row r="8" spans="1:112" s="20" customFormat="1">
      <c r="A8" s="33">
        <v>10288843</v>
      </c>
      <c r="B8" s="33">
        <v>6000281219</v>
      </c>
      <c r="C8" s="33">
        <v>100</v>
      </c>
      <c r="D8" s="33" t="s">
        <v>206</v>
      </c>
      <c r="E8" s="33" t="s">
        <v>43</v>
      </c>
      <c r="F8" s="33" t="s">
        <v>140</v>
      </c>
      <c r="G8" s="33" t="s">
        <v>138</v>
      </c>
      <c r="H8" s="33">
        <v>2023</v>
      </c>
      <c r="I8" s="34">
        <v>44975</v>
      </c>
      <c r="J8" s="39">
        <v>44921</v>
      </c>
      <c r="K8" s="21">
        <v>1392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>
        <v>83</v>
      </c>
      <c r="AS8" s="21">
        <v>139</v>
      </c>
      <c r="AT8" s="21">
        <v>223</v>
      </c>
      <c r="AU8" s="21">
        <v>278</v>
      </c>
      <c r="AV8" s="21">
        <v>223</v>
      </c>
      <c r="AW8" s="21">
        <v>195</v>
      </c>
      <c r="AX8" s="21">
        <v>139</v>
      </c>
      <c r="AY8" s="21">
        <v>112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33"/>
      <c r="BO8" s="33"/>
      <c r="BP8" s="35"/>
      <c r="BQ8" s="21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</row>
    <row r="9" spans="1:112" s="20" customFormat="1">
      <c r="A9" s="33">
        <v>10289177</v>
      </c>
      <c r="B9" s="33">
        <v>6000281219</v>
      </c>
      <c r="C9" s="33">
        <v>300</v>
      </c>
      <c r="D9" s="33" t="s">
        <v>207</v>
      </c>
      <c r="E9" s="33" t="s">
        <v>43</v>
      </c>
      <c r="F9" s="33" t="s">
        <v>140</v>
      </c>
      <c r="G9" s="33" t="s">
        <v>138</v>
      </c>
      <c r="H9" s="33">
        <v>2023</v>
      </c>
      <c r="I9" s="34">
        <v>44989</v>
      </c>
      <c r="J9" s="39">
        <v>44921</v>
      </c>
      <c r="K9" s="21">
        <v>6121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>
        <v>409</v>
      </c>
      <c r="AS9" s="21">
        <v>717</v>
      </c>
      <c r="AT9" s="21">
        <v>977</v>
      </c>
      <c r="AU9" s="21">
        <v>1340</v>
      </c>
      <c r="AV9" s="21">
        <v>1063</v>
      </c>
      <c r="AW9" s="21">
        <v>693</v>
      </c>
      <c r="AX9" s="21">
        <v>528</v>
      </c>
      <c r="AY9" s="21">
        <v>236</v>
      </c>
      <c r="AZ9" s="21">
        <v>87</v>
      </c>
      <c r="BA9" s="21">
        <v>32</v>
      </c>
      <c r="BB9" s="21">
        <v>39</v>
      </c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33"/>
      <c r="BO9" s="33"/>
      <c r="BP9" s="35"/>
      <c r="BQ9" s="21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</row>
    <row r="10" spans="1:112" s="20" customFormat="1">
      <c r="A10" s="33">
        <v>10288844</v>
      </c>
      <c r="B10" s="33">
        <v>6000281220</v>
      </c>
      <c r="C10" s="33">
        <v>100</v>
      </c>
      <c r="D10" s="33" t="s">
        <v>208</v>
      </c>
      <c r="E10" s="33" t="s">
        <v>47</v>
      </c>
      <c r="F10" s="33" t="s">
        <v>140</v>
      </c>
      <c r="G10" s="33" t="s">
        <v>138</v>
      </c>
      <c r="H10" s="33">
        <v>2023</v>
      </c>
      <c r="I10" s="34">
        <v>44989</v>
      </c>
      <c r="J10" s="39">
        <v>44921</v>
      </c>
      <c r="K10" s="21">
        <v>2258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>
        <v>143</v>
      </c>
      <c r="AS10" s="21">
        <v>286</v>
      </c>
      <c r="AT10" s="21">
        <v>383</v>
      </c>
      <c r="AU10" s="21">
        <v>522</v>
      </c>
      <c r="AV10" s="21">
        <v>416</v>
      </c>
      <c r="AW10" s="21">
        <v>272</v>
      </c>
      <c r="AX10" s="21">
        <v>162</v>
      </c>
      <c r="AY10" s="21">
        <v>50</v>
      </c>
      <c r="AZ10" s="21">
        <v>13</v>
      </c>
      <c r="BA10" s="21">
        <v>4</v>
      </c>
      <c r="BB10" s="21">
        <v>7</v>
      </c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33"/>
      <c r="BO10" s="33"/>
      <c r="BP10" s="35"/>
      <c r="BQ10" s="21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</row>
    <row r="11" spans="1:112" s="20" customFormat="1">
      <c r="A11" s="33">
        <v>10289117</v>
      </c>
      <c r="B11" s="33">
        <v>6000281231</v>
      </c>
      <c r="C11" s="33">
        <v>100</v>
      </c>
      <c r="D11" s="33" t="s">
        <v>209</v>
      </c>
      <c r="E11" s="33" t="s">
        <v>47</v>
      </c>
      <c r="F11" s="33" t="s">
        <v>140</v>
      </c>
      <c r="G11" s="33" t="s">
        <v>138</v>
      </c>
      <c r="H11" s="33">
        <v>2023</v>
      </c>
      <c r="I11" s="34">
        <v>44989</v>
      </c>
      <c r="J11" s="39">
        <v>44921</v>
      </c>
      <c r="K11" s="21">
        <v>418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>
        <v>32</v>
      </c>
      <c r="AS11" s="21">
        <v>35</v>
      </c>
      <c r="AT11" s="21">
        <v>65</v>
      </c>
      <c r="AU11" s="21">
        <v>91</v>
      </c>
      <c r="AV11" s="21">
        <v>55</v>
      </c>
      <c r="AW11" s="21">
        <v>40</v>
      </c>
      <c r="AX11" s="21">
        <v>38</v>
      </c>
      <c r="AY11" s="21">
        <v>33</v>
      </c>
      <c r="AZ11" s="21">
        <v>14</v>
      </c>
      <c r="BA11" s="21">
        <v>8</v>
      </c>
      <c r="BB11" s="21">
        <v>7</v>
      </c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33"/>
      <c r="BO11" s="33"/>
      <c r="BP11" s="35"/>
      <c r="BQ11" s="21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</row>
    <row r="12" spans="1:112" s="20" customFormat="1">
      <c r="A12" s="33">
        <v>10289245</v>
      </c>
      <c r="B12" s="33">
        <v>6000281231</v>
      </c>
      <c r="C12" s="33">
        <v>200</v>
      </c>
      <c r="D12" s="33" t="s">
        <v>210</v>
      </c>
      <c r="E12" s="33" t="s">
        <v>47</v>
      </c>
      <c r="F12" s="33" t="s">
        <v>140</v>
      </c>
      <c r="G12" s="33" t="s">
        <v>138</v>
      </c>
      <c r="H12" s="33">
        <v>2023</v>
      </c>
      <c r="I12" s="34">
        <v>44996</v>
      </c>
      <c r="J12" s="39">
        <v>44921</v>
      </c>
      <c r="K12" s="21">
        <v>452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>
        <v>23</v>
      </c>
      <c r="AS12" s="21">
        <v>36</v>
      </c>
      <c r="AT12" s="21">
        <v>51</v>
      </c>
      <c r="AU12" s="21">
        <v>82</v>
      </c>
      <c r="AV12" s="21">
        <v>73</v>
      </c>
      <c r="AW12" s="21">
        <v>49</v>
      </c>
      <c r="AX12" s="21">
        <v>64</v>
      </c>
      <c r="AY12" s="21">
        <v>41</v>
      </c>
      <c r="AZ12" s="21">
        <v>21</v>
      </c>
      <c r="BA12" s="21">
        <v>6</v>
      </c>
      <c r="BB12" s="21">
        <v>6</v>
      </c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33"/>
      <c r="BO12" s="33"/>
      <c r="BP12" s="35"/>
      <c r="BQ12" s="21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</row>
    <row r="13" spans="1:112" s="20" customFormat="1">
      <c r="A13" s="33">
        <v>10289107</v>
      </c>
      <c r="B13" s="33">
        <v>6000281221</v>
      </c>
      <c r="C13" s="33">
        <v>100</v>
      </c>
      <c r="D13" s="33" t="s">
        <v>211</v>
      </c>
      <c r="E13" s="33" t="s">
        <v>50</v>
      </c>
      <c r="F13" s="33" t="s">
        <v>140</v>
      </c>
      <c r="G13" s="33" t="s">
        <v>138</v>
      </c>
      <c r="H13" s="33">
        <v>2023</v>
      </c>
      <c r="I13" s="34">
        <v>44989</v>
      </c>
      <c r="J13" s="39">
        <v>44921</v>
      </c>
      <c r="K13" s="21">
        <v>2156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>
        <v>142</v>
      </c>
      <c r="AS13" s="21">
        <v>291</v>
      </c>
      <c r="AT13" s="21">
        <v>414</v>
      </c>
      <c r="AU13" s="21">
        <v>525</v>
      </c>
      <c r="AV13" s="21">
        <v>393</v>
      </c>
      <c r="AW13" s="21">
        <v>222</v>
      </c>
      <c r="AX13" s="21">
        <v>134</v>
      </c>
      <c r="AY13" s="21">
        <v>19</v>
      </c>
      <c r="AZ13" s="21">
        <v>9</v>
      </c>
      <c r="BA13" s="21">
        <v>7</v>
      </c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33"/>
      <c r="BO13" s="33"/>
      <c r="BP13" s="35"/>
      <c r="BQ13" s="21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</row>
    <row r="14" spans="1:112" s="20" customFormat="1">
      <c r="A14" s="33">
        <v>10289014</v>
      </c>
      <c r="B14" s="33">
        <v>6000281232</v>
      </c>
      <c r="C14" s="33">
        <v>100</v>
      </c>
      <c r="D14" s="33" t="s">
        <v>212</v>
      </c>
      <c r="E14" s="33" t="s">
        <v>50</v>
      </c>
      <c r="F14" s="33" t="s">
        <v>140</v>
      </c>
      <c r="G14" s="33" t="s">
        <v>138</v>
      </c>
      <c r="H14" s="33">
        <v>2023</v>
      </c>
      <c r="I14" s="34">
        <v>44996</v>
      </c>
      <c r="J14" s="39">
        <v>44921</v>
      </c>
      <c r="K14" s="21">
        <v>3249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>
        <v>251</v>
      </c>
      <c r="AS14" s="21">
        <v>273</v>
      </c>
      <c r="AT14" s="21">
        <v>502</v>
      </c>
      <c r="AU14" s="21">
        <v>708</v>
      </c>
      <c r="AV14" s="21">
        <v>424</v>
      </c>
      <c r="AW14" s="21">
        <v>312</v>
      </c>
      <c r="AX14" s="21">
        <v>295</v>
      </c>
      <c r="AY14" s="21">
        <v>256</v>
      </c>
      <c r="AZ14" s="21">
        <v>111</v>
      </c>
      <c r="BA14" s="21">
        <v>61</v>
      </c>
      <c r="BB14" s="21">
        <v>56</v>
      </c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33"/>
      <c r="BO14" s="33"/>
      <c r="BP14" s="35"/>
      <c r="BQ14" s="21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</row>
    <row r="15" spans="1:112" s="20" customFormat="1">
      <c r="A15" s="33">
        <v>10289015</v>
      </c>
      <c r="B15" s="33">
        <v>6000281232</v>
      </c>
      <c r="C15" s="33">
        <v>200</v>
      </c>
      <c r="D15" s="33" t="s">
        <v>213</v>
      </c>
      <c r="E15" s="33" t="s">
        <v>50</v>
      </c>
      <c r="F15" s="33" t="s">
        <v>140</v>
      </c>
      <c r="G15" s="33" t="s">
        <v>138</v>
      </c>
      <c r="H15" s="33">
        <v>2023</v>
      </c>
      <c r="I15" s="34">
        <v>45003</v>
      </c>
      <c r="J15" s="39">
        <v>44921</v>
      </c>
      <c r="K15" s="21">
        <v>2031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>
        <v>157</v>
      </c>
      <c r="AS15" s="21">
        <v>171</v>
      </c>
      <c r="AT15" s="21">
        <v>313</v>
      </c>
      <c r="AU15" s="21">
        <v>442</v>
      </c>
      <c r="AV15" s="21">
        <v>265</v>
      </c>
      <c r="AW15" s="21">
        <v>195</v>
      </c>
      <c r="AX15" s="21">
        <v>185</v>
      </c>
      <c r="AY15" s="21">
        <v>160</v>
      </c>
      <c r="AZ15" s="21">
        <v>70</v>
      </c>
      <c r="BA15" s="21">
        <v>38</v>
      </c>
      <c r="BB15" s="21">
        <v>35</v>
      </c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33"/>
      <c r="BO15" s="33"/>
      <c r="BP15" s="35"/>
      <c r="BQ15" s="21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</row>
    <row r="16" spans="1:112" s="20" customFormat="1">
      <c r="A16" s="33">
        <v>10289008</v>
      </c>
      <c r="B16" s="33">
        <v>6000281222</v>
      </c>
      <c r="C16" s="33">
        <v>100</v>
      </c>
      <c r="D16" s="33" t="s">
        <v>214</v>
      </c>
      <c r="E16" s="33" t="s">
        <v>53</v>
      </c>
      <c r="F16" s="33" t="s">
        <v>140</v>
      </c>
      <c r="G16" s="33" t="s">
        <v>138</v>
      </c>
      <c r="H16" s="33">
        <v>2023</v>
      </c>
      <c r="I16" s="34">
        <v>44989</v>
      </c>
      <c r="J16" s="39">
        <v>44921</v>
      </c>
      <c r="K16" s="21">
        <v>495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>
        <v>33</v>
      </c>
      <c r="AS16" s="21">
        <v>58</v>
      </c>
      <c r="AT16" s="21">
        <v>79</v>
      </c>
      <c r="AU16" s="21">
        <v>108</v>
      </c>
      <c r="AV16" s="21">
        <v>86</v>
      </c>
      <c r="AW16" s="21">
        <v>56</v>
      </c>
      <c r="AX16" s="21">
        <v>43</v>
      </c>
      <c r="AY16" s="21">
        <v>19</v>
      </c>
      <c r="AZ16" s="21">
        <v>7</v>
      </c>
      <c r="BA16" s="21">
        <v>3</v>
      </c>
      <c r="BB16" s="21">
        <v>3</v>
      </c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33"/>
      <c r="BO16" s="33"/>
      <c r="BP16" s="35"/>
      <c r="BQ16" s="21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</row>
    <row r="17" spans="1:112" s="20" customFormat="1">
      <c r="A17" s="33">
        <v>10289118</v>
      </c>
      <c r="B17" s="33">
        <v>6000281233</v>
      </c>
      <c r="C17" s="33">
        <v>100</v>
      </c>
      <c r="D17" s="33" t="s">
        <v>215</v>
      </c>
      <c r="E17" s="33" t="s">
        <v>57</v>
      </c>
      <c r="F17" s="33" t="s">
        <v>140</v>
      </c>
      <c r="G17" s="33" t="s">
        <v>138</v>
      </c>
      <c r="H17" s="33">
        <v>2023</v>
      </c>
      <c r="I17" s="34">
        <v>44982</v>
      </c>
      <c r="J17" s="39">
        <v>44921</v>
      </c>
      <c r="K17" s="21">
        <v>16120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>
        <v>1244</v>
      </c>
      <c r="AS17" s="21">
        <v>1355</v>
      </c>
      <c r="AT17" s="21">
        <v>2489</v>
      </c>
      <c r="AU17" s="21">
        <v>3512</v>
      </c>
      <c r="AV17" s="21">
        <v>2101</v>
      </c>
      <c r="AW17" s="21">
        <v>1548</v>
      </c>
      <c r="AX17" s="21">
        <v>1465</v>
      </c>
      <c r="AY17" s="21">
        <v>1272</v>
      </c>
      <c r="AZ17" s="21">
        <v>553</v>
      </c>
      <c r="BA17" s="21">
        <v>304</v>
      </c>
      <c r="BB17" s="21">
        <v>277</v>
      </c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33"/>
      <c r="BO17" s="33"/>
      <c r="BP17" s="35"/>
      <c r="BQ17" s="21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</row>
    <row r="18" spans="1:112" s="20" customFormat="1">
      <c r="A18" s="33">
        <v>10289108</v>
      </c>
      <c r="B18" s="33">
        <v>6000281223</v>
      </c>
      <c r="C18" s="33">
        <v>100</v>
      </c>
      <c r="D18" s="33" t="s">
        <v>216</v>
      </c>
      <c r="E18" s="33" t="s">
        <v>57</v>
      </c>
      <c r="F18" s="33" t="s">
        <v>140</v>
      </c>
      <c r="G18" s="33" t="s">
        <v>138</v>
      </c>
      <c r="H18" s="33">
        <v>2023</v>
      </c>
      <c r="I18" s="34">
        <v>44982</v>
      </c>
      <c r="J18" s="39">
        <v>44921</v>
      </c>
      <c r="K18" s="21">
        <v>594</v>
      </c>
      <c r="L18" s="21" t="s">
        <v>231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>
        <v>27</v>
      </c>
      <c r="AS18" s="21">
        <v>10</v>
      </c>
      <c r="AT18" s="21">
        <v>30</v>
      </c>
      <c r="AU18" s="21">
        <v>96</v>
      </c>
      <c r="AV18" s="21">
        <v>78</v>
      </c>
      <c r="AW18" s="21">
        <v>118</v>
      </c>
      <c r="AX18" s="21">
        <v>111</v>
      </c>
      <c r="AY18" s="21">
        <v>94</v>
      </c>
      <c r="AZ18" s="21">
        <v>23</v>
      </c>
      <c r="BA18" s="21">
        <v>3</v>
      </c>
      <c r="BB18" s="21">
        <v>4</v>
      </c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33"/>
      <c r="BO18" s="33"/>
      <c r="BP18" s="35"/>
      <c r="BQ18" s="21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</row>
    <row r="19" spans="1:112" s="20" customFormat="1">
      <c r="A19" s="33">
        <v>10289006</v>
      </c>
      <c r="B19" s="33">
        <v>6000281223</v>
      </c>
      <c r="C19" s="33">
        <v>200</v>
      </c>
      <c r="D19" s="33" t="s">
        <v>217</v>
      </c>
      <c r="E19" s="33" t="s">
        <v>57</v>
      </c>
      <c r="F19" s="33" t="s">
        <v>140</v>
      </c>
      <c r="G19" s="33" t="s">
        <v>138</v>
      </c>
      <c r="H19" s="33">
        <v>2023</v>
      </c>
      <c r="I19" s="34">
        <v>45010</v>
      </c>
      <c r="J19" s="39">
        <v>44921</v>
      </c>
      <c r="K19" s="21">
        <v>607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>
        <v>43</v>
      </c>
      <c r="AS19" s="21">
        <v>82</v>
      </c>
      <c r="AT19" s="21">
        <v>111</v>
      </c>
      <c r="AU19" s="21">
        <v>138</v>
      </c>
      <c r="AV19" s="21">
        <v>109</v>
      </c>
      <c r="AW19" s="21">
        <v>61</v>
      </c>
      <c r="AX19" s="21">
        <v>41</v>
      </c>
      <c r="AY19" s="21">
        <v>13</v>
      </c>
      <c r="AZ19" s="21">
        <v>4</v>
      </c>
      <c r="BA19" s="21">
        <v>2</v>
      </c>
      <c r="BB19" s="21">
        <v>3</v>
      </c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33"/>
      <c r="BO19" s="33"/>
      <c r="BP19" s="35"/>
      <c r="BQ19" s="21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</row>
    <row r="20" spans="1:112" s="20" customFormat="1">
      <c r="A20" s="33">
        <v>10289239</v>
      </c>
      <c r="B20" s="33">
        <v>6000281223</v>
      </c>
      <c r="C20" s="33">
        <v>300</v>
      </c>
      <c r="D20" s="33" t="s">
        <v>218</v>
      </c>
      <c r="E20" s="33" t="s">
        <v>57</v>
      </c>
      <c r="F20" s="33" t="s">
        <v>140</v>
      </c>
      <c r="G20" s="33" t="s">
        <v>138</v>
      </c>
      <c r="H20" s="33">
        <v>2023</v>
      </c>
      <c r="I20" s="34">
        <v>45017</v>
      </c>
      <c r="J20" s="39">
        <v>44921</v>
      </c>
      <c r="K20" s="21">
        <v>395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>
        <v>28</v>
      </c>
      <c r="AS20" s="21">
        <v>53</v>
      </c>
      <c r="AT20" s="21">
        <v>72</v>
      </c>
      <c r="AU20" s="21">
        <v>89</v>
      </c>
      <c r="AV20" s="21">
        <v>71</v>
      </c>
      <c r="AW20" s="21">
        <v>40</v>
      </c>
      <c r="AX20" s="21">
        <v>27</v>
      </c>
      <c r="AY20" s="21">
        <v>9</v>
      </c>
      <c r="AZ20" s="21">
        <v>2</v>
      </c>
      <c r="BA20" s="21">
        <v>2</v>
      </c>
      <c r="BB20" s="21">
        <v>2</v>
      </c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33"/>
      <c r="BO20" s="33"/>
      <c r="BP20" s="35"/>
      <c r="BQ20" s="21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</row>
    <row r="21" spans="1:112" s="20" customFormat="1">
      <c r="A21" s="33">
        <v>10288841</v>
      </c>
      <c r="B21" s="33">
        <v>6000281223</v>
      </c>
      <c r="C21" s="33">
        <v>400</v>
      </c>
      <c r="D21" s="33" t="s">
        <v>219</v>
      </c>
      <c r="E21" s="33" t="s">
        <v>57</v>
      </c>
      <c r="F21" s="33" t="s">
        <v>140</v>
      </c>
      <c r="G21" s="33" t="s">
        <v>138</v>
      </c>
      <c r="H21" s="33">
        <v>2023</v>
      </c>
      <c r="I21" s="34">
        <v>45024</v>
      </c>
      <c r="J21" s="39">
        <v>44921</v>
      </c>
      <c r="K21" s="21">
        <v>459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>
        <v>32</v>
      </c>
      <c r="AS21" s="21">
        <v>62</v>
      </c>
      <c r="AT21" s="21">
        <v>84</v>
      </c>
      <c r="AU21" s="21">
        <v>104</v>
      </c>
      <c r="AV21" s="21">
        <v>83</v>
      </c>
      <c r="AW21" s="21">
        <v>46</v>
      </c>
      <c r="AX21" s="21">
        <v>31</v>
      </c>
      <c r="AY21" s="21">
        <v>10</v>
      </c>
      <c r="AZ21" s="21">
        <v>3</v>
      </c>
      <c r="BA21" s="21">
        <v>2</v>
      </c>
      <c r="BB21" s="21">
        <v>2</v>
      </c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33"/>
      <c r="BO21" s="33"/>
      <c r="BP21" s="35"/>
      <c r="BQ21" s="21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</row>
    <row r="22" spans="1:112" s="20" customFormat="1">
      <c r="A22" s="33">
        <v>10289176</v>
      </c>
      <c r="B22" s="33">
        <v>6000281223</v>
      </c>
      <c r="C22" s="21">
        <v>500</v>
      </c>
      <c r="D22" s="33" t="s">
        <v>220</v>
      </c>
      <c r="E22" s="21" t="s">
        <v>57</v>
      </c>
      <c r="F22" s="33" t="s">
        <v>140</v>
      </c>
      <c r="G22" s="33" t="s">
        <v>138</v>
      </c>
      <c r="H22" s="33">
        <v>2023</v>
      </c>
      <c r="I22" s="34">
        <v>45031</v>
      </c>
      <c r="J22" s="39">
        <v>44921</v>
      </c>
      <c r="K22" s="21">
        <v>362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>
        <v>25</v>
      </c>
      <c r="AS22" s="21">
        <v>49</v>
      </c>
      <c r="AT22" s="21">
        <v>66</v>
      </c>
      <c r="AU22" s="21">
        <v>82</v>
      </c>
      <c r="AV22" s="21">
        <v>65</v>
      </c>
      <c r="AW22" s="21">
        <v>37</v>
      </c>
      <c r="AX22" s="21">
        <v>25</v>
      </c>
      <c r="AY22" s="21">
        <v>8</v>
      </c>
      <c r="AZ22" s="21">
        <v>2</v>
      </c>
      <c r="BA22" s="21">
        <v>1</v>
      </c>
      <c r="BB22" s="21">
        <v>2</v>
      </c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33"/>
      <c r="BO22" s="36"/>
      <c r="BP22" s="35"/>
      <c r="BQ22" s="21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</row>
    <row r="23" spans="1:112" s="20" customFormat="1">
      <c r="A23" s="33">
        <v>10288896</v>
      </c>
      <c r="B23" s="33">
        <v>6000281224</v>
      </c>
      <c r="C23" s="33">
        <v>100</v>
      </c>
      <c r="D23" s="33" t="s">
        <v>221</v>
      </c>
      <c r="E23" s="33" t="s">
        <v>59</v>
      </c>
      <c r="F23" s="33" t="s">
        <v>140</v>
      </c>
      <c r="G23" s="33" t="s">
        <v>138</v>
      </c>
      <c r="H23" s="33">
        <v>2023</v>
      </c>
      <c r="I23" s="34">
        <v>44975</v>
      </c>
      <c r="J23" s="39">
        <v>44921</v>
      </c>
      <c r="K23" s="21">
        <v>600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>
        <v>36</v>
      </c>
      <c r="AS23" s="21">
        <v>60</v>
      </c>
      <c r="AT23" s="21">
        <v>96</v>
      </c>
      <c r="AU23" s="21">
        <v>120</v>
      </c>
      <c r="AV23" s="21">
        <v>96</v>
      </c>
      <c r="AW23" s="21">
        <v>84</v>
      </c>
      <c r="AX23" s="21">
        <v>60</v>
      </c>
      <c r="AY23" s="21">
        <v>48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33"/>
      <c r="BO23" s="33"/>
      <c r="BP23" s="35"/>
      <c r="BQ23" s="21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</row>
    <row r="24" spans="1:112" s="20" customFormat="1">
      <c r="A24" s="33">
        <v>10288956</v>
      </c>
      <c r="B24" s="33">
        <v>6000281234</v>
      </c>
      <c r="C24" s="33">
        <v>100</v>
      </c>
      <c r="D24" s="33" t="s">
        <v>222</v>
      </c>
      <c r="E24" s="33" t="s">
        <v>62</v>
      </c>
      <c r="F24" s="33" t="s">
        <v>140</v>
      </c>
      <c r="G24" s="33" t="s">
        <v>138</v>
      </c>
      <c r="H24" s="33">
        <v>2023</v>
      </c>
      <c r="I24" s="34">
        <v>44996</v>
      </c>
      <c r="J24" s="39">
        <v>44921</v>
      </c>
      <c r="K24" s="21">
        <v>2700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>
        <v>195</v>
      </c>
      <c r="AS24" s="21">
        <v>225</v>
      </c>
      <c r="AT24" s="21">
        <v>396</v>
      </c>
      <c r="AU24" s="21">
        <v>571</v>
      </c>
      <c r="AV24" s="21">
        <v>368</v>
      </c>
      <c r="AW24" s="21">
        <v>265</v>
      </c>
      <c r="AX24" s="21">
        <v>271</v>
      </c>
      <c r="AY24" s="21">
        <v>219</v>
      </c>
      <c r="AZ24" s="21">
        <v>98</v>
      </c>
      <c r="BA24" s="21">
        <v>48</v>
      </c>
      <c r="BB24" s="21">
        <v>44</v>
      </c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33"/>
      <c r="BO24" s="33"/>
      <c r="BP24" s="35"/>
      <c r="BQ24" s="21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</row>
    <row r="25" spans="1:112" s="20" customFormat="1">
      <c r="A25" s="33">
        <v>10289115</v>
      </c>
      <c r="B25" s="33">
        <v>6000281225</v>
      </c>
      <c r="C25" s="33">
        <v>100</v>
      </c>
      <c r="D25" s="33" t="s">
        <v>223</v>
      </c>
      <c r="E25" s="33" t="s">
        <v>24</v>
      </c>
      <c r="F25" s="33" t="s">
        <v>137</v>
      </c>
      <c r="G25" s="33" t="s">
        <v>138</v>
      </c>
      <c r="H25" s="33">
        <v>2023</v>
      </c>
      <c r="I25" s="34">
        <v>44975</v>
      </c>
      <c r="J25" s="39">
        <v>44921</v>
      </c>
      <c r="K25" s="21">
        <v>8000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>
        <v>1280</v>
      </c>
      <c r="W25" s="21"/>
      <c r="X25" s="21">
        <v>1200</v>
      </c>
      <c r="Y25" s="21"/>
      <c r="Z25" s="21">
        <v>1200</v>
      </c>
      <c r="AA25" s="21"/>
      <c r="AB25" s="21">
        <v>1200</v>
      </c>
      <c r="AC25" s="21"/>
      <c r="AD25" s="21">
        <v>1360</v>
      </c>
      <c r="AE25" s="21"/>
      <c r="AF25" s="21">
        <v>1760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33"/>
      <c r="BO25" s="33"/>
      <c r="BP25" s="35"/>
      <c r="BQ25" s="21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</row>
    <row r="26" spans="1:112" s="20" customFormat="1">
      <c r="A26" s="33">
        <v>10289065</v>
      </c>
      <c r="B26" s="33">
        <v>6000281225</v>
      </c>
      <c r="C26" s="21">
        <v>200</v>
      </c>
      <c r="D26" s="33" t="s">
        <v>230</v>
      </c>
      <c r="E26" s="21" t="s">
        <v>32</v>
      </c>
      <c r="F26" s="33" t="s">
        <v>137</v>
      </c>
      <c r="G26" s="33" t="s">
        <v>138</v>
      </c>
      <c r="H26" s="33">
        <v>2023</v>
      </c>
      <c r="I26" s="34">
        <v>44975</v>
      </c>
      <c r="J26" s="39">
        <v>44921</v>
      </c>
      <c r="K26" s="21">
        <v>12000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>
        <v>1920</v>
      </c>
      <c r="W26" s="21"/>
      <c r="X26" s="21">
        <v>1800</v>
      </c>
      <c r="Y26" s="21"/>
      <c r="Z26" s="21">
        <v>1800</v>
      </c>
      <c r="AA26" s="21"/>
      <c r="AB26" s="21">
        <v>1800</v>
      </c>
      <c r="AC26" s="21"/>
      <c r="AD26" s="21">
        <v>2040</v>
      </c>
      <c r="AE26" s="21"/>
      <c r="AF26" s="21">
        <v>2640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33"/>
      <c r="BO26" s="33"/>
      <c r="BP26" s="35"/>
      <c r="BQ26" s="21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</row>
    <row r="27" spans="1:112" s="20" customFormat="1">
      <c r="A27" s="33">
        <v>10289087</v>
      </c>
      <c r="B27" s="33">
        <v>6000282174</v>
      </c>
      <c r="C27" s="33">
        <v>100</v>
      </c>
      <c r="D27" s="33" t="s">
        <v>224</v>
      </c>
      <c r="E27" s="33" t="s">
        <v>72</v>
      </c>
      <c r="F27" s="33" t="s">
        <v>137</v>
      </c>
      <c r="G27" s="33" t="s">
        <v>138</v>
      </c>
      <c r="H27" s="33">
        <v>2023</v>
      </c>
      <c r="I27" s="34">
        <v>44975</v>
      </c>
      <c r="J27" s="39">
        <v>44921</v>
      </c>
      <c r="K27" s="21">
        <v>3514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>
        <v>481</v>
      </c>
      <c r="W27" s="21"/>
      <c r="X27" s="21">
        <v>553</v>
      </c>
      <c r="Y27" s="21"/>
      <c r="Z27" s="21">
        <v>593</v>
      </c>
      <c r="AA27" s="21"/>
      <c r="AB27" s="21">
        <v>634</v>
      </c>
      <c r="AC27" s="21"/>
      <c r="AD27" s="21">
        <v>645</v>
      </c>
      <c r="AE27" s="21"/>
      <c r="AF27" s="21">
        <v>608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33"/>
      <c r="BO27" s="33"/>
      <c r="BP27" s="35"/>
      <c r="BQ27" s="21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</row>
    <row r="28" spans="1:112" s="20" customFormat="1">
      <c r="A28" s="33">
        <v>10288926</v>
      </c>
      <c r="B28" s="33">
        <v>6000282174</v>
      </c>
      <c r="C28" s="33">
        <v>200</v>
      </c>
      <c r="D28" s="33" t="s">
        <v>225</v>
      </c>
      <c r="E28" s="33" t="s">
        <v>75</v>
      </c>
      <c r="F28" s="33" t="s">
        <v>137</v>
      </c>
      <c r="G28" s="33" t="s">
        <v>138</v>
      </c>
      <c r="H28" s="33">
        <v>2023</v>
      </c>
      <c r="I28" s="34">
        <v>44989</v>
      </c>
      <c r="J28" s="39">
        <v>44921</v>
      </c>
      <c r="K28" s="21">
        <v>3769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>
        <v>491</v>
      </c>
      <c r="W28" s="21"/>
      <c r="X28" s="21">
        <v>581</v>
      </c>
      <c r="Y28" s="21"/>
      <c r="Z28" s="21">
        <v>635</v>
      </c>
      <c r="AA28" s="21"/>
      <c r="AB28" s="21">
        <v>699</v>
      </c>
      <c r="AC28" s="21"/>
      <c r="AD28" s="21">
        <v>711</v>
      </c>
      <c r="AE28" s="21"/>
      <c r="AF28" s="21">
        <v>652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33"/>
      <c r="BO28" s="33"/>
      <c r="BP28" s="35"/>
      <c r="BQ28" s="21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</row>
    <row r="29" spans="1:112" s="20" customFormat="1">
      <c r="A29" s="33">
        <v>10288699</v>
      </c>
      <c r="B29" s="33">
        <v>6000281228</v>
      </c>
      <c r="C29" s="33">
        <v>100</v>
      </c>
      <c r="D29" s="33" t="s">
        <v>226</v>
      </c>
      <c r="E29" s="33" t="s">
        <v>65</v>
      </c>
      <c r="F29" s="33" t="s">
        <v>141</v>
      </c>
      <c r="G29" s="33" t="s">
        <v>138</v>
      </c>
      <c r="H29" s="33">
        <v>2023</v>
      </c>
      <c r="I29" s="34">
        <v>45010</v>
      </c>
      <c r="J29" s="39">
        <v>44921</v>
      </c>
      <c r="K29" s="21">
        <v>670</v>
      </c>
      <c r="L29" s="21"/>
      <c r="M29" s="21"/>
      <c r="N29" s="21"/>
      <c r="O29" s="21">
        <v>32</v>
      </c>
      <c r="P29" s="21">
        <v>43</v>
      </c>
      <c r="Q29" s="21">
        <v>109</v>
      </c>
      <c r="R29" s="21">
        <v>141</v>
      </c>
      <c r="S29" s="21">
        <v>190</v>
      </c>
      <c r="T29" s="21">
        <v>155</v>
      </c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33"/>
      <c r="BO29" s="33"/>
      <c r="BP29" s="35"/>
      <c r="BQ29" s="21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</row>
    <row r="30" spans="1:112" s="20" customFormat="1">
      <c r="A30" s="33">
        <v>10288813</v>
      </c>
      <c r="B30" s="33">
        <v>6000281218</v>
      </c>
      <c r="C30" s="33">
        <v>100</v>
      </c>
      <c r="D30" s="33" t="s">
        <v>227</v>
      </c>
      <c r="E30" s="33" t="s">
        <v>65</v>
      </c>
      <c r="F30" s="33" t="s">
        <v>141</v>
      </c>
      <c r="G30" s="33" t="s">
        <v>138</v>
      </c>
      <c r="H30" s="33">
        <v>2023</v>
      </c>
      <c r="I30" s="34">
        <v>45010</v>
      </c>
      <c r="J30" s="39">
        <v>44921</v>
      </c>
      <c r="K30" s="21">
        <v>2523</v>
      </c>
      <c r="L30" s="21">
        <v>13</v>
      </c>
      <c r="M30" s="21">
        <v>20</v>
      </c>
      <c r="N30" s="21">
        <v>20</v>
      </c>
      <c r="O30" s="21">
        <v>63</v>
      </c>
      <c r="P30" s="21">
        <v>150</v>
      </c>
      <c r="Q30" s="21">
        <v>289</v>
      </c>
      <c r="R30" s="21">
        <v>514</v>
      </c>
      <c r="S30" s="21">
        <v>651</v>
      </c>
      <c r="T30" s="21">
        <v>803</v>
      </c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33"/>
      <c r="BO30" s="33"/>
      <c r="BP30" s="35"/>
      <c r="BQ30" s="21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</row>
    <row r="31" spans="1:112" s="20" customFormat="1">
      <c r="A31" s="33">
        <v>10288983</v>
      </c>
      <c r="B31" s="33">
        <v>6000282176</v>
      </c>
      <c r="C31" s="33">
        <v>100</v>
      </c>
      <c r="D31" s="33" t="s">
        <v>228</v>
      </c>
      <c r="E31" s="33" t="s">
        <v>68</v>
      </c>
      <c r="F31" s="33" t="s">
        <v>141</v>
      </c>
      <c r="G31" s="33" t="s">
        <v>138</v>
      </c>
      <c r="H31" s="33">
        <v>2023</v>
      </c>
      <c r="I31" s="34">
        <v>44996</v>
      </c>
      <c r="J31" s="39">
        <v>44921</v>
      </c>
      <c r="K31" s="21">
        <v>1195</v>
      </c>
      <c r="L31" s="21"/>
      <c r="M31" s="21"/>
      <c r="N31" s="21"/>
      <c r="O31" s="21">
        <v>36</v>
      </c>
      <c r="P31" s="21">
        <v>72</v>
      </c>
      <c r="Q31" s="21">
        <v>155</v>
      </c>
      <c r="R31" s="21">
        <v>239</v>
      </c>
      <c r="S31" s="21">
        <v>287</v>
      </c>
      <c r="T31" s="21">
        <v>406</v>
      </c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33"/>
      <c r="BO31" s="33"/>
      <c r="BP31" s="35"/>
      <c r="BQ31" s="21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</row>
    <row r="32" spans="1:112" s="20" customFormat="1">
      <c r="A32" s="33">
        <v>10288927</v>
      </c>
      <c r="B32" s="33">
        <v>6000282175</v>
      </c>
      <c r="C32" s="33">
        <v>100</v>
      </c>
      <c r="D32" s="33" t="s">
        <v>229</v>
      </c>
      <c r="E32" s="33" t="s">
        <v>76</v>
      </c>
      <c r="F32" s="33" t="s">
        <v>141</v>
      </c>
      <c r="G32" s="33" t="s">
        <v>138</v>
      </c>
      <c r="H32" s="33">
        <v>2023</v>
      </c>
      <c r="I32" s="34">
        <v>44989</v>
      </c>
      <c r="J32" s="39">
        <v>44921</v>
      </c>
      <c r="K32" s="21">
        <v>4755</v>
      </c>
      <c r="L32" s="21">
        <v>46</v>
      </c>
      <c r="M32" s="21">
        <v>46</v>
      </c>
      <c r="N32" s="21">
        <v>46</v>
      </c>
      <c r="O32" s="21">
        <v>58</v>
      </c>
      <c r="P32" s="21">
        <v>322</v>
      </c>
      <c r="Q32" s="21">
        <v>636</v>
      </c>
      <c r="R32" s="21">
        <v>1007</v>
      </c>
      <c r="S32" s="21">
        <v>1267</v>
      </c>
      <c r="T32" s="21">
        <v>1327</v>
      </c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33"/>
      <c r="BO32" s="33"/>
      <c r="BP32" s="35"/>
      <c r="BQ32" s="21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</row>
    <row r="34" spans="11:65" ht="13.15">
      <c r="K34" s="38">
        <f>SUM(K2:K33)</f>
        <v>103115</v>
      </c>
      <c r="BM34" s="37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4"/>
  <sheetViews>
    <sheetView topLeftCell="B1" workbookViewId="0">
      <pane ySplit="1" topLeftCell="A24" activePane="bottomLeft" state="frozen"/>
      <selection pane="bottomLeft" activeCell="K34" sqref="K34"/>
    </sheetView>
  </sheetViews>
  <sheetFormatPr defaultColWidth="11.59765625" defaultRowHeight="12.75"/>
  <cols>
    <col min="1" max="1" width="9.3984375" bestFit="1" customWidth="1"/>
    <col min="2" max="2" width="11" bestFit="1" customWidth="1"/>
    <col min="3" max="3" width="4.73046875" bestFit="1" customWidth="1"/>
    <col min="4" max="4" width="9" bestFit="1" customWidth="1"/>
    <col min="5" max="5" width="8.1328125" bestFit="1" customWidth="1"/>
    <col min="6" max="6" width="10.86328125" bestFit="1" customWidth="1"/>
    <col min="7" max="7" width="24.59765625" bestFit="1" customWidth="1"/>
    <col min="8" max="8" width="6.1328125" bestFit="1" customWidth="1"/>
    <col min="9" max="9" width="7.3984375" bestFit="1" customWidth="1"/>
    <col min="10" max="10" width="7.1328125" bestFit="1" customWidth="1"/>
    <col min="11" max="11" width="7.59765625" bestFit="1" customWidth="1"/>
    <col min="12" max="12" width="11.73046875" bestFit="1" customWidth="1"/>
    <col min="13" max="13" width="7.265625" bestFit="1" customWidth="1"/>
    <col min="14" max="14" width="43.73046875" bestFit="1" customWidth="1"/>
    <col min="15" max="15" width="5.59765625" bestFit="1" customWidth="1"/>
    <col min="16" max="16" width="9.59765625" bestFit="1" customWidth="1"/>
    <col min="17" max="17" width="6.3984375" bestFit="1" customWidth="1"/>
    <col min="18" max="18" width="11.265625" bestFit="1" customWidth="1"/>
  </cols>
  <sheetData>
    <row r="1" spans="1:256" s="8" customFormat="1" ht="26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4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6" t="s">
        <v>20</v>
      </c>
      <c r="Q1" s="5" t="s">
        <v>21</v>
      </c>
      <c r="R1" s="5" t="s">
        <v>22</v>
      </c>
      <c r="S1" s="7"/>
    </row>
    <row r="2" spans="1:256" s="17" customFormat="1" ht="39.75" customHeight="1">
      <c r="A2" s="9">
        <v>44874</v>
      </c>
      <c r="B2" s="10">
        <v>6000281225</v>
      </c>
      <c r="C2" s="10">
        <v>100</v>
      </c>
      <c r="D2" s="10">
        <v>10289115</v>
      </c>
      <c r="E2" s="10" t="s">
        <v>23</v>
      </c>
      <c r="F2" s="10" t="s">
        <v>24</v>
      </c>
      <c r="G2" s="10" t="s">
        <v>25</v>
      </c>
      <c r="H2" s="10">
        <v>1039</v>
      </c>
      <c r="I2" s="10" t="s">
        <v>26</v>
      </c>
      <c r="J2" s="10">
        <v>1039</v>
      </c>
      <c r="K2" s="11">
        <v>8000</v>
      </c>
      <c r="L2" s="10" t="s">
        <v>27</v>
      </c>
      <c r="M2" s="10" t="s">
        <v>28</v>
      </c>
      <c r="N2" s="12" t="s">
        <v>29</v>
      </c>
      <c r="O2" s="13">
        <v>44975</v>
      </c>
      <c r="P2" s="14">
        <v>44915</v>
      </c>
      <c r="Q2" s="13" t="s">
        <v>30</v>
      </c>
      <c r="R2" s="15" t="s">
        <v>31</v>
      </c>
      <c r="S2" s="16"/>
      <c r="IR2" s="18"/>
      <c r="IS2" s="18"/>
      <c r="IT2" s="18"/>
      <c r="IU2" s="18"/>
      <c r="IV2" s="18"/>
    </row>
    <row r="3" spans="1:256" s="17" customFormat="1" ht="39.75" customHeight="1">
      <c r="A3" s="9">
        <v>44874</v>
      </c>
      <c r="B3" s="10">
        <v>6000281225</v>
      </c>
      <c r="C3" s="10">
        <v>200</v>
      </c>
      <c r="D3" s="10">
        <v>10289065</v>
      </c>
      <c r="E3" s="10" t="s">
        <v>23</v>
      </c>
      <c r="F3" s="10" t="s">
        <v>32</v>
      </c>
      <c r="G3" s="10" t="s">
        <v>25</v>
      </c>
      <c r="H3" s="10">
        <v>1039</v>
      </c>
      <c r="I3" s="10" t="s">
        <v>26</v>
      </c>
      <c r="J3" s="10">
        <v>1039</v>
      </c>
      <c r="K3" s="11">
        <v>12000</v>
      </c>
      <c r="L3" s="10" t="s">
        <v>27</v>
      </c>
      <c r="M3" s="10" t="s">
        <v>28</v>
      </c>
      <c r="N3" s="12" t="s">
        <v>29</v>
      </c>
      <c r="O3" s="13">
        <v>44975</v>
      </c>
      <c r="P3" s="14">
        <v>44915</v>
      </c>
      <c r="Q3" s="13" t="s">
        <v>30</v>
      </c>
      <c r="R3" s="15" t="s">
        <v>31</v>
      </c>
      <c r="S3" s="16"/>
      <c r="IR3" s="18"/>
      <c r="IS3" s="18"/>
      <c r="IT3" s="18"/>
      <c r="IU3" s="18"/>
      <c r="IV3" s="18"/>
    </row>
    <row r="4" spans="1:256" s="17" customFormat="1" ht="39.75" customHeight="1">
      <c r="A4" s="9">
        <v>44874</v>
      </c>
      <c r="B4" s="10">
        <v>6000281226</v>
      </c>
      <c r="C4" s="10">
        <v>100</v>
      </c>
      <c r="D4" s="10">
        <v>10288848</v>
      </c>
      <c r="E4" s="10" t="s">
        <v>33</v>
      </c>
      <c r="F4" s="10" t="s">
        <v>34</v>
      </c>
      <c r="G4" s="10" t="s">
        <v>35</v>
      </c>
      <c r="H4" s="10">
        <v>1039</v>
      </c>
      <c r="I4" s="10" t="s">
        <v>26</v>
      </c>
      <c r="J4" s="10">
        <v>1039</v>
      </c>
      <c r="K4" s="11">
        <v>4711</v>
      </c>
      <c r="L4" s="10" t="s">
        <v>36</v>
      </c>
      <c r="M4" s="10" t="s">
        <v>28</v>
      </c>
      <c r="N4" s="10" t="s">
        <v>37</v>
      </c>
      <c r="O4" s="13">
        <v>44975</v>
      </c>
      <c r="P4" s="14">
        <v>44915</v>
      </c>
      <c r="Q4" s="13" t="s">
        <v>30</v>
      </c>
      <c r="R4" s="15" t="s">
        <v>31</v>
      </c>
      <c r="S4" s="16"/>
      <c r="IR4" s="18"/>
      <c r="IS4" s="18"/>
      <c r="IT4" s="18"/>
      <c r="IU4" s="18"/>
      <c r="IV4" s="18"/>
    </row>
    <row r="5" spans="1:256" s="17" customFormat="1" ht="39.75" customHeight="1">
      <c r="A5" s="9">
        <v>44874</v>
      </c>
      <c r="B5" s="10">
        <v>6000281216</v>
      </c>
      <c r="C5" s="10">
        <v>100</v>
      </c>
      <c r="D5" s="10">
        <v>10289007</v>
      </c>
      <c r="E5" s="10" t="s">
        <v>33</v>
      </c>
      <c r="F5" s="10" t="s">
        <v>34</v>
      </c>
      <c r="G5" s="10" t="s">
        <v>35</v>
      </c>
      <c r="H5" s="10">
        <v>1025</v>
      </c>
      <c r="I5" s="10" t="s">
        <v>26</v>
      </c>
      <c r="J5" s="10">
        <v>1025</v>
      </c>
      <c r="K5" s="11">
        <v>533</v>
      </c>
      <c r="L5" s="10" t="s">
        <v>36</v>
      </c>
      <c r="M5" s="10" t="s">
        <v>28</v>
      </c>
      <c r="N5" s="10" t="s">
        <v>37</v>
      </c>
      <c r="O5" s="13">
        <v>44982</v>
      </c>
      <c r="P5" s="14">
        <v>44922</v>
      </c>
      <c r="Q5" s="13" t="s">
        <v>30</v>
      </c>
      <c r="R5" s="15" t="s">
        <v>31</v>
      </c>
      <c r="S5" s="16"/>
      <c r="IR5" s="18"/>
      <c r="IS5" s="18"/>
      <c r="IT5" s="18"/>
      <c r="IU5" s="18"/>
      <c r="IV5" s="18"/>
    </row>
    <row r="6" spans="1:256" s="17" customFormat="1" ht="39.75" customHeight="1">
      <c r="A6" s="9">
        <v>44874</v>
      </c>
      <c r="B6" s="10">
        <v>6000281226</v>
      </c>
      <c r="C6" s="10">
        <v>200</v>
      </c>
      <c r="D6" s="10">
        <v>10289185</v>
      </c>
      <c r="E6" s="10" t="s">
        <v>33</v>
      </c>
      <c r="F6" s="10" t="s">
        <v>34</v>
      </c>
      <c r="G6" s="10" t="s">
        <v>35</v>
      </c>
      <c r="H6" s="10">
        <v>1039</v>
      </c>
      <c r="I6" s="10" t="s">
        <v>26</v>
      </c>
      <c r="J6" s="10">
        <v>1039</v>
      </c>
      <c r="K6" s="11">
        <v>1239</v>
      </c>
      <c r="L6" s="10" t="s">
        <v>36</v>
      </c>
      <c r="M6" s="10" t="s">
        <v>28</v>
      </c>
      <c r="N6" s="10" t="s">
        <v>37</v>
      </c>
      <c r="O6" s="13">
        <v>44982</v>
      </c>
      <c r="P6" s="14">
        <v>44922</v>
      </c>
      <c r="Q6" s="13" t="s">
        <v>30</v>
      </c>
      <c r="R6" s="15" t="s">
        <v>31</v>
      </c>
      <c r="S6" s="16"/>
      <c r="IR6" s="18"/>
      <c r="IS6" s="18"/>
      <c r="IT6" s="18"/>
      <c r="IU6" s="18"/>
      <c r="IV6" s="18"/>
    </row>
    <row r="7" spans="1:256" s="17" customFormat="1" ht="39.75" customHeight="1">
      <c r="A7" s="9">
        <v>44874</v>
      </c>
      <c r="B7" s="10">
        <v>6000281229</v>
      </c>
      <c r="C7" s="10">
        <v>100</v>
      </c>
      <c r="D7" s="10">
        <v>10289066</v>
      </c>
      <c r="E7" s="10" t="s">
        <v>38</v>
      </c>
      <c r="F7" s="10" t="s">
        <v>39</v>
      </c>
      <c r="G7" s="10" t="s">
        <v>40</v>
      </c>
      <c r="H7" s="10">
        <v>1039</v>
      </c>
      <c r="I7" s="10" t="s">
        <v>26</v>
      </c>
      <c r="J7" s="10">
        <v>1039</v>
      </c>
      <c r="K7" s="11">
        <v>6809</v>
      </c>
      <c r="L7" s="10" t="s">
        <v>36</v>
      </c>
      <c r="M7" s="10" t="s">
        <v>28</v>
      </c>
      <c r="N7" s="10" t="s">
        <v>41</v>
      </c>
      <c r="O7" s="13">
        <v>44975</v>
      </c>
      <c r="P7" s="14">
        <v>44915</v>
      </c>
      <c r="Q7" s="13" t="s">
        <v>30</v>
      </c>
      <c r="R7" s="15" t="s">
        <v>31</v>
      </c>
      <c r="S7" s="16"/>
      <c r="IR7" s="18"/>
      <c r="IS7" s="18"/>
      <c r="IT7" s="18"/>
      <c r="IU7" s="18"/>
      <c r="IV7" s="18"/>
    </row>
    <row r="8" spans="1:256" s="17" customFormat="1" ht="39.75" customHeight="1">
      <c r="A8" s="9">
        <v>44874</v>
      </c>
      <c r="B8" s="10">
        <v>6000281229</v>
      </c>
      <c r="C8" s="10">
        <v>200</v>
      </c>
      <c r="D8" s="10">
        <v>10289116</v>
      </c>
      <c r="E8" s="10" t="s">
        <v>38</v>
      </c>
      <c r="F8" s="10" t="s">
        <v>39</v>
      </c>
      <c r="G8" s="10" t="s">
        <v>40</v>
      </c>
      <c r="H8" s="10">
        <v>1039</v>
      </c>
      <c r="I8" s="10" t="s">
        <v>26</v>
      </c>
      <c r="J8" s="10">
        <v>1039</v>
      </c>
      <c r="K8" s="11">
        <v>7059</v>
      </c>
      <c r="L8" s="10" t="s">
        <v>36</v>
      </c>
      <c r="M8" s="10" t="s">
        <v>28</v>
      </c>
      <c r="N8" s="10" t="s">
        <v>41</v>
      </c>
      <c r="O8" s="13">
        <v>44982</v>
      </c>
      <c r="P8" s="14">
        <v>44922</v>
      </c>
      <c r="Q8" s="13" t="s">
        <v>30</v>
      </c>
      <c r="R8" s="15" t="s">
        <v>31</v>
      </c>
      <c r="S8" s="16"/>
      <c r="IR8" s="18"/>
      <c r="IS8" s="18"/>
      <c r="IT8" s="18"/>
      <c r="IU8" s="18"/>
      <c r="IV8" s="18"/>
    </row>
    <row r="9" spans="1:256" s="17" customFormat="1" ht="39.75" customHeight="1">
      <c r="A9" s="9">
        <v>44874</v>
      </c>
      <c r="B9" s="10">
        <v>6000281230</v>
      </c>
      <c r="C9" s="10">
        <v>100</v>
      </c>
      <c r="D9" s="10">
        <v>10289067</v>
      </c>
      <c r="E9" s="10" t="s">
        <v>42</v>
      </c>
      <c r="F9" s="10" t="s">
        <v>43</v>
      </c>
      <c r="G9" s="10" t="s">
        <v>44</v>
      </c>
      <c r="H9" s="10">
        <v>1039</v>
      </c>
      <c r="I9" s="10" t="s">
        <v>26</v>
      </c>
      <c r="J9" s="10">
        <v>1039</v>
      </c>
      <c r="K9" s="11">
        <v>5929</v>
      </c>
      <c r="L9" s="10" t="s">
        <v>36</v>
      </c>
      <c r="M9" s="10" t="s">
        <v>28</v>
      </c>
      <c r="N9" s="10" t="s">
        <v>45</v>
      </c>
      <c r="O9" s="13">
        <v>44975</v>
      </c>
      <c r="P9" s="14">
        <v>44915</v>
      </c>
      <c r="Q9" s="13" t="s">
        <v>30</v>
      </c>
      <c r="R9" s="15" t="s">
        <v>31</v>
      </c>
      <c r="S9" s="16"/>
      <c r="IR9" s="18"/>
      <c r="IS9" s="18"/>
      <c r="IT9" s="18"/>
      <c r="IU9" s="18"/>
      <c r="IV9" s="18"/>
    </row>
    <row r="10" spans="1:256" s="17" customFormat="1" ht="39.75" customHeight="1">
      <c r="A10" s="9">
        <v>44874</v>
      </c>
      <c r="B10" s="10">
        <v>6000281219</v>
      </c>
      <c r="C10" s="10">
        <v>100</v>
      </c>
      <c r="D10" s="10">
        <v>10288843</v>
      </c>
      <c r="E10" s="10" t="s">
        <v>42</v>
      </c>
      <c r="F10" s="10" t="s">
        <v>43</v>
      </c>
      <c r="G10" s="10" t="s">
        <v>44</v>
      </c>
      <c r="H10" s="10">
        <v>1025</v>
      </c>
      <c r="I10" s="10" t="s">
        <v>26</v>
      </c>
      <c r="J10" s="10">
        <v>1025</v>
      </c>
      <c r="K10" s="11">
        <v>1392</v>
      </c>
      <c r="L10" s="10" t="s">
        <v>36</v>
      </c>
      <c r="M10" s="10" t="s">
        <v>28</v>
      </c>
      <c r="N10" s="10" t="s">
        <v>45</v>
      </c>
      <c r="O10" s="13">
        <v>44975</v>
      </c>
      <c r="P10" s="14">
        <v>44915</v>
      </c>
      <c r="Q10" s="13" t="s">
        <v>30</v>
      </c>
      <c r="R10" s="15" t="s">
        <v>31</v>
      </c>
      <c r="S10" s="16"/>
      <c r="IR10" s="18"/>
      <c r="IS10" s="18"/>
      <c r="IT10" s="18"/>
      <c r="IU10" s="18"/>
      <c r="IV10" s="18"/>
    </row>
    <row r="11" spans="1:256" s="17" customFormat="1" ht="39.75" customHeight="1">
      <c r="A11" s="9">
        <v>44874</v>
      </c>
      <c r="B11" s="10">
        <v>6000281219</v>
      </c>
      <c r="C11" s="10">
        <v>300</v>
      </c>
      <c r="D11" s="10">
        <v>10289177</v>
      </c>
      <c r="E11" s="10" t="s">
        <v>42</v>
      </c>
      <c r="F11" s="10" t="s">
        <v>43</v>
      </c>
      <c r="G11" s="10" t="s">
        <v>44</v>
      </c>
      <c r="H11" s="10">
        <v>1025</v>
      </c>
      <c r="I11" s="10" t="s">
        <v>26</v>
      </c>
      <c r="J11" s="10">
        <v>1025</v>
      </c>
      <c r="K11" s="11">
        <v>6121</v>
      </c>
      <c r="L11" s="10" t="s">
        <v>36</v>
      </c>
      <c r="M11" s="10" t="s">
        <v>28</v>
      </c>
      <c r="N11" s="10" t="s">
        <v>45</v>
      </c>
      <c r="O11" s="13">
        <v>44989</v>
      </c>
      <c r="P11" s="14">
        <v>44929</v>
      </c>
      <c r="Q11" s="13" t="s">
        <v>30</v>
      </c>
      <c r="R11" s="15" t="s">
        <v>31</v>
      </c>
      <c r="S11" s="16"/>
      <c r="IR11" s="18"/>
      <c r="IS11" s="18"/>
      <c r="IT11" s="18"/>
      <c r="IU11" s="18"/>
      <c r="IV11" s="18"/>
    </row>
    <row r="12" spans="1:256" ht="39.75" customHeight="1">
      <c r="A12" s="9">
        <v>44874</v>
      </c>
      <c r="B12" s="10">
        <v>6000281220</v>
      </c>
      <c r="C12" s="10">
        <v>100</v>
      </c>
      <c r="D12" s="10">
        <v>10288844</v>
      </c>
      <c r="E12" s="10" t="s">
        <v>46</v>
      </c>
      <c r="F12" s="10" t="s">
        <v>47</v>
      </c>
      <c r="G12" s="10" t="s">
        <v>48</v>
      </c>
      <c r="H12" s="10">
        <v>1025</v>
      </c>
      <c r="I12" s="10" t="s">
        <v>26</v>
      </c>
      <c r="J12" s="10">
        <v>1025</v>
      </c>
      <c r="K12" s="11">
        <v>2258</v>
      </c>
      <c r="L12" s="10" t="s">
        <v>36</v>
      </c>
      <c r="M12" s="10" t="s">
        <v>28</v>
      </c>
      <c r="N12" s="12" t="s">
        <v>49</v>
      </c>
      <c r="O12" s="13">
        <v>44989</v>
      </c>
      <c r="P12" s="14">
        <v>44929</v>
      </c>
      <c r="Q12" s="13" t="s">
        <v>30</v>
      </c>
      <c r="R12" s="15" t="s">
        <v>31</v>
      </c>
      <c r="S12" s="16"/>
      <c r="IR12" s="18"/>
      <c r="IS12" s="18"/>
      <c r="IT12" s="18"/>
      <c r="IU12" s="18"/>
      <c r="IV12" s="18"/>
    </row>
    <row r="13" spans="1:256" ht="39.75" customHeight="1">
      <c r="A13" s="9">
        <v>44874</v>
      </c>
      <c r="B13" s="10">
        <v>6000281231</v>
      </c>
      <c r="C13" s="10">
        <v>100</v>
      </c>
      <c r="D13" s="10">
        <v>10289117</v>
      </c>
      <c r="E13" s="10" t="s">
        <v>46</v>
      </c>
      <c r="F13" s="10" t="s">
        <v>47</v>
      </c>
      <c r="G13" s="10" t="s">
        <v>48</v>
      </c>
      <c r="H13" s="10">
        <v>1039</v>
      </c>
      <c r="I13" s="10" t="s">
        <v>26</v>
      </c>
      <c r="J13" s="10">
        <v>1039</v>
      </c>
      <c r="K13" s="11">
        <v>418</v>
      </c>
      <c r="L13" s="10" t="s">
        <v>36</v>
      </c>
      <c r="M13" s="10" t="s">
        <v>28</v>
      </c>
      <c r="N13" s="12" t="s">
        <v>49</v>
      </c>
      <c r="O13" s="13">
        <v>44989</v>
      </c>
      <c r="P13" s="14">
        <v>44929</v>
      </c>
      <c r="Q13" s="13" t="s">
        <v>30</v>
      </c>
      <c r="R13" s="15" t="s">
        <v>31</v>
      </c>
      <c r="S13" s="16"/>
      <c r="IR13" s="18"/>
      <c r="IS13" s="18"/>
      <c r="IT13" s="18"/>
      <c r="IU13" s="18"/>
      <c r="IV13" s="18"/>
    </row>
    <row r="14" spans="1:256" ht="39.75" customHeight="1">
      <c r="A14" s="9">
        <v>44874</v>
      </c>
      <c r="B14" s="10">
        <v>6000281231</v>
      </c>
      <c r="C14" s="10">
        <v>200</v>
      </c>
      <c r="D14" s="10">
        <v>10289245</v>
      </c>
      <c r="E14" s="10" t="s">
        <v>46</v>
      </c>
      <c r="F14" s="10" t="s">
        <v>47</v>
      </c>
      <c r="G14" s="10" t="s">
        <v>48</v>
      </c>
      <c r="H14" s="10">
        <v>1039</v>
      </c>
      <c r="I14" s="10" t="s">
        <v>26</v>
      </c>
      <c r="J14" s="10">
        <v>1039</v>
      </c>
      <c r="K14" s="11">
        <v>452</v>
      </c>
      <c r="L14" s="10" t="s">
        <v>36</v>
      </c>
      <c r="M14" s="10" t="s">
        <v>28</v>
      </c>
      <c r="N14" s="12" t="s">
        <v>49</v>
      </c>
      <c r="O14" s="13">
        <v>44996</v>
      </c>
      <c r="P14" s="14">
        <v>44936</v>
      </c>
      <c r="Q14" s="13" t="s">
        <v>30</v>
      </c>
      <c r="R14" s="15" t="s">
        <v>31</v>
      </c>
      <c r="S14" s="16"/>
      <c r="IR14" s="18"/>
      <c r="IS14" s="18"/>
      <c r="IT14" s="18"/>
      <c r="IU14" s="18"/>
      <c r="IV14" s="18"/>
    </row>
    <row r="15" spans="1:256" ht="39.75" customHeight="1">
      <c r="A15" s="9">
        <v>44874</v>
      </c>
      <c r="B15" s="10">
        <v>6000281221</v>
      </c>
      <c r="C15" s="10">
        <v>100</v>
      </c>
      <c r="D15" s="10">
        <v>10289107</v>
      </c>
      <c r="E15" s="10" t="s">
        <v>46</v>
      </c>
      <c r="F15" s="10" t="s">
        <v>50</v>
      </c>
      <c r="G15" s="10" t="s">
        <v>51</v>
      </c>
      <c r="H15" s="10">
        <v>1025</v>
      </c>
      <c r="I15" s="10" t="s">
        <v>26</v>
      </c>
      <c r="J15" s="10">
        <v>1025</v>
      </c>
      <c r="K15" s="11">
        <v>2156</v>
      </c>
      <c r="L15" s="10" t="s">
        <v>36</v>
      </c>
      <c r="M15" s="10" t="s">
        <v>28</v>
      </c>
      <c r="N15" s="12" t="s">
        <v>52</v>
      </c>
      <c r="O15" s="13">
        <v>44989</v>
      </c>
      <c r="P15" s="14">
        <v>44929</v>
      </c>
      <c r="Q15" s="13" t="s">
        <v>30</v>
      </c>
      <c r="R15" s="15" t="s">
        <v>31</v>
      </c>
      <c r="S15" s="16"/>
      <c r="IR15" s="18"/>
      <c r="IS15" s="18"/>
      <c r="IT15" s="18"/>
      <c r="IU15" s="18"/>
      <c r="IV15" s="18"/>
    </row>
    <row r="16" spans="1:256" ht="39.75" customHeight="1">
      <c r="A16" s="9">
        <v>44874</v>
      </c>
      <c r="B16" s="10">
        <v>6000281232</v>
      </c>
      <c r="C16" s="10">
        <v>100</v>
      </c>
      <c r="D16" s="10">
        <v>10289014</v>
      </c>
      <c r="E16" s="10" t="s">
        <v>46</v>
      </c>
      <c r="F16" s="10" t="s">
        <v>50</v>
      </c>
      <c r="G16" s="10" t="s">
        <v>51</v>
      </c>
      <c r="H16" s="10">
        <v>1039</v>
      </c>
      <c r="I16" s="10" t="s">
        <v>26</v>
      </c>
      <c r="J16" s="10">
        <v>1039</v>
      </c>
      <c r="K16" s="11">
        <v>3249</v>
      </c>
      <c r="L16" s="10" t="s">
        <v>36</v>
      </c>
      <c r="M16" s="10" t="s">
        <v>28</v>
      </c>
      <c r="N16" s="12" t="s">
        <v>52</v>
      </c>
      <c r="O16" s="13">
        <v>44996</v>
      </c>
      <c r="P16" s="14">
        <v>44936</v>
      </c>
      <c r="Q16" s="13" t="s">
        <v>30</v>
      </c>
      <c r="R16" s="15" t="s">
        <v>31</v>
      </c>
      <c r="S16" s="16"/>
      <c r="IR16" s="18"/>
      <c r="IS16" s="18"/>
      <c r="IT16" s="18"/>
      <c r="IU16" s="18"/>
      <c r="IV16" s="18"/>
    </row>
    <row r="17" spans="1:256" ht="39.75" customHeight="1">
      <c r="A17" s="9">
        <v>44874</v>
      </c>
      <c r="B17" s="10">
        <v>6000281232</v>
      </c>
      <c r="C17" s="10">
        <v>200</v>
      </c>
      <c r="D17" s="10">
        <v>10289015</v>
      </c>
      <c r="E17" s="10" t="s">
        <v>46</v>
      </c>
      <c r="F17" s="10" t="s">
        <v>50</v>
      </c>
      <c r="G17" s="10" t="s">
        <v>51</v>
      </c>
      <c r="H17" s="10">
        <v>1039</v>
      </c>
      <c r="I17" s="10" t="s">
        <v>26</v>
      </c>
      <c r="J17" s="10">
        <v>1039</v>
      </c>
      <c r="K17" s="11">
        <v>2031</v>
      </c>
      <c r="L17" s="10" t="s">
        <v>36</v>
      </c>
      <c r="M17" s="10" t="s">
        <v>28</v>
      </c>
      <c r="N17" s="12" t="s">
        <v>52</v>
      </c>
      <c r="O17" s="13">
        <v>45003</v>
      </c>
      <c r="P17" s="14">
        <v>44943</v>
      </c>
      <c r="Q17" s="13" t="s">
        <v>30</v>
      </c>
      <c r="R17" s="15" t="s">
        <v>31</v>
      </c>
      <c r="S17" s="16"/>
      <c r="IR17" s="18"/>
      <c r="IS17" s="18"/>
      <c r="IT17" s="18"/>
      <c r="IU17" s="18"/>
      <c r="IV17" s="18"/>
    </row>
    <row r="18" spans="1:256" ht="39.75" customHeight="1">
      <c r="A18" s="9">
        <v>44874</v>
      </c>
      <c r="B18" s="10">
        <v>6000281222</v>
      </c>
      <c r="C18" s="10">
        <v>100</v>
      </c>
      <c r="D18" s="10">
        <v>10289008</v>
      </c>
      <c r="E18" s="10" t="s">
        <v>38</v>
      </c>
      <c r="F18" s="10" t="s">
        <v>53</v>
      </c>
      <c r="G18" s="10" t="s">
        <v>54</v>
      </c>
      <c r="H18" s="10">
        <v>1025</v>
      </c>
      <c r="I18" s="10" t="s">
        <v>26</v>
      </c>
      <c r="J18" s="10">
        <v>1025</v>
      </c>
      <c r="K18" s="11">
        <v>495</v>
      </c>
      <c r="L18" s="10" t="s">
        <v>36</v>
      </c>
      <c r="M18" s="10" t="s">
        <v>28</v>
      </c>
      <c r="N18" s="10" t="s">
        <v>55</v>
      </c>
      <c r="O18" s="13">
        <v>44989</v>
      </c>
      <c r="P18" s="14">
        <v>44929</v>
      </c>
      <c r="Q18" s="13" t="s">
        <v>30</v>
      </c>
      <c r="R18" s="15" t="s">
        <v>31</v>
      </c>
      <c r="S18" s="16"/>
      <c r="IR18" s="18"/>
      <c r="IS18" s="18"/>
      <c r="IT18" s="18"/>
      <c r="IU18" s="18"/>
      <c r="IV18" s="18"/>
    </row>
    <row r="19" spans="1:256" ht="39.75" customHeight="1">
      <c r="A19" s="9">
        <v>44874</v>
      </c>
      <c r="B19" s="10">
        <v>6000281233</v>
      </c>
      <c r="C19" s="10">
        <v>100</v>
      </c>
      <c r="D19" s="10">
        <v>10289118</v>
      </c>
      <c r="E19" s="10" t="s">
        <v>56</v>
      </c>
      <c r="F19" s="10" t="s">
        <v>57</v>
      </c>
      <c r="G19" s="10" t="s">
        <v>58</v>
      </c>
      <c r="H19" s="10">
        <v>1039</v>
      </c>
      <c r="I19" s="10" t="s">
        <v>26</v>
      </c>
      <c r="J19" s="10">
        <v>1039</v>
      </c>
      <c r="K19" s="11">
        <v>16120</v>
      </c>
      <c r="L19" s="10" t="s">
        <v>36</v>
      </c>
      <c r="M19" s="10" t="s">
        <v>28</v>
      </c>
      <c r="N19" s="10" t="s">
        <v>37</v>
      </c>
      <c r="O19" s="13">
        <v>44982</v>
      </c>
      <c r="P19" s="14">
        <v>44922</v>
      </c>
      <c r="Q19" s="13" t="s">
        <v>30</v>
      </c>
      <c r="R19" s="15" t="s">
        <v>31</v>
      </c>
      <c r="S19" s="16"/>
      <c r="IR19" s="18"/>
      <c r="IS19" s="18"/>
      <c r="IT19" s="18"/>
      <c r="IU19" s="18"/>
      <c r="IV19" s="18"/>
    </row>
    <row r="20" spans="1:256" ht="39.75" customHeight="1">
      <c r="A20" s="9">
        <v>44874</v>
      </c>
      <c r="B20" s="10">
        <v>6000281223</v>
      </c>
      <c r="C20" s="10">
        <v>100</v>
      </c>
      <c r="D20" s="10">
        <v>10289108</v>
      </c>
      <c r="E20" s="10" t="s">
        <v>56</v>
      </c>
      <c r="F20" s="10" t="s">
        <v>57</v>
      </c>
      <c r="G20" s="10" t="s">
        <v>58</v>
      </c>
      <c r="H20" s="10">
        <v>1025</v>
      </c>
      <c r="I20" s="10" t="s">
        <v>26</v>
      </c>
      <c r="J20" s="10">
        <v>1025</v>
      </c>
      <c r="K20" s="11">
        <v>594</v>
      </c>
      <c r="L20" s="10" t="s">
        <v>36</v>
      </c>
      <c r="M20" s="10" t="s">
        <v>28</v>
      </c>
      <c r="N20" s="10" t="s">
        <v>37</v>
      </c>
      <c r="O20" s="13">
        <v>44982</v>
      </c>
      <c r="P20" s="14">
        <v>44922</v>
      </c>
      <c r="Q20" s="13" t="s">
        <v>30</v>
      </c>
      <c r="R20" s="15" t="s">
        <v>31</v>
      </c>
      <c r="S20" s="16"/>
      <c r="IR20" s="18"/>
      <c r="IS20" s="18"/>
      <c r="IT20" s="18"/>
      <c r="IU20" s="18"/>
      <c r="IV20" s="18"/>
    </row>
    <row r="21" spans="1:256" ht="39.75" customHeight="1">
      <c r="A21" s="9">
        <v>44874</v>
      </c>
      <c r="B21" s="10">
        <v>6000281223</v>
      </c>
      <c r="C21" s="10">
        <v>200</v>
      </c>
      <c r="D21" s="10">
        <v>10289006</v>
      </c>
      <c r="E21" s="10" t="s">
        <v>56</v>
      </c>
      <c r="F21" s="10" t="s">
        <v>57</v>
      </c>
      <c r="G21" s="10" t="s">
        <v>58</v>
      </c>
      <c r="H21" s="10">
        <v>1025</v>
      </c>
      <c r="I21" s="10" t="s">
        <v>26</v>
      </c>
      <c r="J21" s="10">
        <v>1025</v>
      </c>
      <c r="K21" s="11">
        <v>607</v>
      </c>
      <c r="L21" s="10" t="s">
        <v>36</v>
      </c>
      <c r="M21" s="10" t="s">
        <v>28</v>
      </c>
      <c r="N21" s="10" t="s">
        <v>37</v>
      </c>
      <c r="O21" s="13">
        <v>45010</v>
      </c>
      <c r="P21" s="14">
        <v>44950</v>
      </c>
      <c r="Q21" s="13" t="s">
        <v>30</v>
      </c>
      <c r="R21" s="15" t="s">
        <v>31</v>
      </c>
      <c r="S21" s="16"/>
      <c r="IR21" s="18"/>
      <c r="IS21" s="18"/>
      <c r="IT21" s="18"/>
      <c r="IU21" s="18"/>
      <c r="IV21" s="18"/>
    </row>
    <row r="22" spans="1:256" ht="39.75" customHeight="1">
      <c r="A22" s="9">
        <v>44874</v>
      </c>
      <c r="B22" s="10">
        <v>6000281223</v>
      </c>
      <c r="C22" s="10">
        <v>300</v>
      </c>
      <c r="D22" s="10">
        <v>10289239</v>
      </c>
      <c r="E22" s="10" t="s">
        <v>56</v>
      </c>
      <c r="F22" s="10" t="s">
        <v>57</v>
      </c>
      <c r="G22" s="10" t="s">
        <v>58</v>
      </c>
      <c r="H22" s="10">
        <v>1025</v>
      </c>
      <c r="I22" s="10" t="s">
        <v>26</v>
      </c>
      <c r="J22" s="10">
        <v>1025</v>
      </c>
      <c r="K22" s="11">
        <v>395</v>
      </c>
      <c r="L22" s="10" t="s">
        <v>36</v>
      </c>
      <c r="M22" s="10" t="s">
        <v>28</v>
      </c>
      <c r="N22" s="10" t="s">
        <v>37</v>
      </c>
      <c r="O22" s="13">
        <v>45017</v>
      </c>
      <c r="P22" s="14">
        <v>44957</v>
      </c>
      <c r="Q22" s="13" t="s">
        <v>30</v>
      </c>
      <c r="R22" s="15" t="s">
        <v>31</v>
      </c>
      <c r="S22" s="16"/>
      <c r="IR22" s="18"/>
      <c r="IS22" s="18"/>
      <c r="IT22" s="18"/>
      <c r="IU22" s="18"/>
      <c r="IV22" s="18"/>
    </row>
    <row r="23" spans="1:256" ht="39.75" customHeight="1">
      <c r="A23" s="9">
        <v>44874</v>
      </c>
      <c r="B23" s="10">
        <v>6000281223</v>
      </c>
      <c r="C23" s="10">
        <v>400</v>
      </c>
      <c r="D23" s="10">
        <v>10288841</v>
      </c>
      <c r="E23" s="10" t="s">
        <v>56</v>
      </c>
      <c r="F23" s="10" t="s">
        <v>57</v>
      </c>
      <c r="G23" s="10" t="s">
        <v>58</v>
      </c>
      <c r="H23" s="10">
        <v>1025</v>
      </c>
      <c r="I23" s="10" t="s">
        <v>26</v>
      </c>
      <c r="J23" s="10">
        <v>1025</v>
      </c>
      <c r="K23" s="11">
        <v>459</v>
      </c>
      <c r="L23" s="10" t="s">
        <v>36</v>
      </c>
      <c r="M23" s="10" t="s">
        <v>28</v>
      </c>
      <c r="N23" s="10" t="s">
        <v>37</v>
      </c>
      <c r="O23" s="13">
        <v>45024</v>
      </c>
      <c r="P23" s="14">
        <v>44964</v>
      </c>
      <c r="Q23" s="13" t="s">
        <v>30</v>
      </c>
      <c r="R23" s="15" t="s">
        <v>31</v>
      </c>
      <c r="S23" s="16"/>
      <c r="IR23" s="18"/>
      <c r="IS23" s="18"/>
      <c r="IT23" s="18"/>
      <c r="IU23" s="18"/>
      <c r="IV23" s="18"/>
    </row>
    <row r="24" spans="1:256" ht="39.75" customHeight="1">
      <c r="A24" s="9">
        <v>44874</v>
      </c>
      <c r="B24" s="10">
        <v>6000281223</v>
      </c>
      <c r="C24" s="10">
        <v>500</v>
      </c>
      <c r="D24" s="10">
        <v>10289176</v>
      </c>
      <c r="E24" s="10" t="s">
        <v>56</v>
      </c>
      <c r="F24" s="10" t="s">
        <v>57</v>
      </c>
      <c r="G24" s="10" t="s">
        <v>58</v>
      </c>
      <c r="H24" s="10">
        <v>1025</v>
      </c>
      <c r="I24" s="10" t="s">
        <v>26</v>
      </c>
      <c r="J24" s="10">
        <v>1025</v>
      </c>
      <c r="K24" s="11">
        <v>362</v>
      </c>
      <c r="L24" s="10" t="s">
        <v>36</v>
      </c>
      <c r="M24" s="10" t="s">
        <v>28</v>
      </c>
      <c r="N24" s="10" t="s">
        <v>37</v>
      </c>
      <c r="O24" s="13">
        <v>45031</v>
      </c>
      <c r="P24" s="14">
        <v>44971</v>
      </c>
      <c r="Q24" s="13" t="s">
        <v>30</v>
      </c>
      <c r="R24" s="15" t="s">
        <v>31</v>
      </c>
      <c r="S24" s="16"/>
      <c r="IR24" s="18"/>
      <c r="IS24" s="18"/>
      <c r="IT24" s="18"/>
      <c r="IU24" s="18"/>
      <c r="IV24" s="18"/>
    </row>
    <row r="25" spans="1:256" ht="39.75" customHeight="1">
      <c r="A25" s="9">
        <v>44874</v>
      </c>
      <c r="B25" s="10">
        <v>6000281224</v>
      </c>
      <c r="C25" s="10">
        <v>100</v>
      </c>
      <c r="D25" s="10">
        <v>10288896</v>
      </c>
      <c r="E25" s="10" t="s">
        <v>33</v>
      </c>
      <c r="F25" s="10" t="s">
        <v>59</v>
      </c>
      <c r="G25" s="10" t="s">
        <v>60</v>
      </c>
      <c r="H25" s="10">
        <v>1025</v>
      </c>
      <c r="I25" s="10" t="s">
        <v>26</v>
      </c>
      <c r="J25" s="10">
        <v>1025</v>
      </c>
      <c r="K25" s="11">
        <v>600</v>
      </c>
      <c r="L25" s="10" t="s">
        <v>36</v>
      </c>
      <c r="M25" s="10" t="s">
        <v>28</v>
      </c>
      <c r="N25" s="10" t="s">
        <v>61</v>
      </c>
      <c r="O25" s="13">
        <v>44975</v>
      </c>
      <c r="P25" s="14">
        <v>44915</v>
      </c>
      <c r="Q25" s="13" t="s">
        <v>30</v>
      </c>
      <c r="R25" s="15" t="s">
        <v>31</v>
      </c>
      <c r="S25" s="16"/>
      <c r="IR25" s="18"/>
      <c r="IS25" s="18"/>
      <c r="IT25" s="18"/>
      <c r="IU25" s="18"/>
      <c r="IV25" s="18"/>
    </row>
    <row r="26" spans="1:256" ht="39.75" customHeight="1">
      <c r="A26" s="9">
        <v>44874</v>
      </c>
      <c r="B26" s="10">
        <v>6000281234</v>
      </c>
      <c r="C26" s="10">
        <v>100</v>
      </c>
      <c r="D26" s="10">
        <v>10288956</v>
      </c>
      <c r="E26" s="10" t="s">
        <v>38</v>
      </c>
      <c r="F26" s="10" t="s">
        <v>62</v>
      </c>
      <c r="G26" s="10" t="s">
        <v>40</v>
      </c>
      <c r="H26" s="10">
        <v>1039</v>
      </c>
      <c r="I26" s="10" t="s">
        <v>26</v>
      </c>
      <c r="J26" s="10">
        <v>1039</v>
      </c>
      <c r="K26" s="11">
        <v>2700</v>
      </c>
      <c r="L26" s="10" t="s">
        <v>36</v>
      </c>
      <c r="M26" s="10" t="s">
        <v>28</v>
      </c>
      <c r="N26" s="12" t="s">
        <v>63</v>
      </c>
      <c r="O26" s="13">
        <v>44996</v>
      </c>
      <c r="P26" s="14">
        <v>44936</v>
      </c>
      <c r="Q26" s="13" t="s">
        <v>30</v>
      </c>
      <c r="R26" s="15" t="s">
        <v>31</v>
      </c>
      <c r="S26" s="16"/>
      <c r="IR26" s="18"/>
      <c r="IS26" s="18"/>
      <c r="IT26" s="18"/>
      <c r="IU26" s="18"/>
      <c r="IV26" s="18"/>
    </row>
    <row r="27" spans="1:256" ht="39.75" customHeight="1">
      <c r="A27" s="9">
        <v>44874</v>
      </c>
      <c r="B27" s="10">
        <v>6000281228</v>
      </c>
      <c r="C27" s="10">
        <v>100</v>
      </c>
      <c r="D27" s="10">
        <v>10288699</v>
      </c>
      <c r="E27" s="10" t="s">
        <v>64</v>
      </c>
      <c r="F27" s="10" t="s">
        <v>65</v>
      </c>
      <c r="G27" s="10" t="s">
        <v>66</v>
      </c>
      <c r="H27" s="10">
        <v>1039</v>
      </c>
      <c r="I27" s="10" t="s">
        <v>26</v>
      </c>
      <c r="J27" s="10">
        <v>1039</v>
      </c>
      <c r="K27" s="11">
        <v>670</v>
      </c>
      <c r="L27" s="10" t="s">
        <v>67</v>
      </c>
      <c r="M27" s="10" t="s">
        <v>28</v>
      </c>
      <c r="N27" s="10" t="s">
        <v>45</v>
      </c>
      <c r="O27" s="13">
        <v>45010</v>
      </c>
      <c r="P27" s="14">
        <v>44950</v>
      </c>
      <c r="Q27" s="13" t="s">
        <v>30</v>
      </c>
      <c r="R27" s="15" t="s">
        <v>31</v>
      </c>
      <c r="S27" s="16"/>
      <c r="IR27" s="18"/>
      <c r="IS27" s="18"/>
      <c r="IT27" s="18"/>
      <c r="IU27" s="18"/>
      <c r="IV27" s="18"/>
    </row>
    <row r="28" spans="1:256" ht="39.75" customHeight="1">
      <c r="A28" s="9">
        <v>44874</v>
      </c>
      <c r="B28" s="10">
        <v>6000281218</v>
      </c>
      <c r="C28" s="10">
        <v>100</v>
      </c>
      <c r="D28" s="10">
        <v>10288813</v>
      </c>
      <c r="E28" s="10" t="s">
        <v>64</v>
      </c>
      <c r="F28" s="10" t="s">
        <v>65</v>
      </c>
      <c r="G28" s="10" t="s">
        <v>66</v>
      </c>
      <c r="H28" s="10">
        <v>1025</v>
      </c>
      <c r="I28" s="10" t="s">
        <v>26</v>
      </c>
      <c r="J28" s="10">
        <v>1025</v>
      </c>
      <c r="K28" s="11">
        <v>2523</v>
      </c>
      <c r="L28" s="10" t="s">
        <v>67</v>
      </c>
      <c r="M28" s="10" t="s">
        <v>28</v>
      </c>
      <c r="N28" s="10" t="s">
        <v>45</v>
      </c>
      <c r="O28" s="13">
        <v>45010</v>
      </c>
      <c r="P28" s="14">
        <v>44950</v>
      </c>
      <c r="Q28" s="13" t="s">
        <v>30</v>
      </c>
      <c r="R28" s="15" t="s">
        <v>31</v>
      </c>
      <c r="S28" s="16"/>
      <c r="IR28" s="18"/>
      <c r="IS28" s="18"/>
      <c r="IT28" s="18"/>
      <c r="IU28" s="18"/>
      <c r="IV28" s="18"/>
    </row>
    <row r="29" spans="1:256" ht="39.75" customHeight="1">
      <c r="A29" s="9">
        <v>44874</v>
      </c>
      <c r="B29" s="10">
        <v>6000282176</v>
      </c>
      <c r="C29" s="10">
        <v>100</v>
      </c>
      <c r="D29" s="10">
        <v>10288983</v>
      </c>
      <c r="E29" s="10" t="s">
        <v>42</v>
      </c>
      <c r="F29" s="10" t="s">
        <v>68</v>
      </c>
      <c r="G29" s="10" t="s">
        <v>69</v>
      </c>
      <c r="H29" s="10">
        <v>1039</v>
      </c>
      <c r="I29" s="10" t="s">
        <v>26</v>
      </c>
      <c r="J29" s="10">
        <v>1039</v>
      </c>
      <c r="K29" s="11">
        <v>1195</v>
      </c>
      <c r="L29" s="10" t="s">
        <v>70</v>
      </c>
      <c r="M29" s="10" t="s">
        <v>28</v>
      </c>
      <c r="N29" s="10" t="s">
        <v>55</v>
      </c>
      <c r="O29" s="13">
        <v>44996</v>
      </c>
      <c r="P29" s="14">
        <v>44936</v>
      </c>
      <c r="Q29" s="13" t="s">
        <v>30</v>
      </c>
      <c r="R29" s="15" t="s">
        <v>31</v>
      </c>
      <c r="S29" s="16"/>
      <c r="IR29" s="18"/>
      <c r="IS29" s="18"/>
      <c r="IT29" s="18"/>
      <c r="IU29" s="18"/>
      <c r="IV29" s="18"/>
    </row>
    <row r="30" spans="1:256" ht="39.75" customHeight="1">
      <c r="A30" s="9">
        <v>44874</v>
      </c>
      <c r="B30" s="10">
        <v>6000282174</v>
      </c>
      <c r="C30" s="10">
        <v>100</v>
      </c>
      <c r="D30" s="10">
        <v>10289087</v>
      </c>
      <c r="E30" s="10" t="s">
        <v>71</v>
      </c>
      <c r="F30" s="10" t="s">
        <v>72</v>
      </c>
      <c r="G30" s="10" t="s">
        <v>73</v>
      </c>
      <c r="H30" s="10">
        <v>1025</v>
      </c>
      <c r="I30" s="10" t="s">
        <v>26</v>
      </c>
      <c r="J30" s="10">
        <v>1025</v>
      </c>
      <c r="K30" s="11">
        <v>3514</v>
      </c>
      <c r="L30" s="10" t="s">
        <v>74</v>
      </c>
      <c r="M30" s="10" t="s">
        <v>28</v>
      </c>
      <c r="N30" s="10" t="s">
        <v>41</v>
      </c>
      <c r="O30" s="13">
        <v>44975</v>
      </c>
      <c r="P30" s="14">
        <v>44915</v>
      </c>
      <c r="Q30" s="13" t="s">
        <v>30</v>
      </c>
      <c r="R30" s="15" t="s">
        <v>31</v>
      </c>
      <c r="S30" s="16"/>
      <c r="IR30" s="18"/>
      <c r="IS30" s="18"/>
      <c r="IT30" s="18"/>
      <c r="IU30" s="18"/>
      <c r="IV30" s="18"/>
    </row>
    <row r="31" spans="1:256" ht="39.75" customHeight="1">
      <c r="A31" s="9">
        <v>44874</v>
      </c>
      <c r="B31" s="10">
        <v>6000282174</v>
      </c>
      <c r="C31" s="10">
        <v>200</v>
      </c>
      <c r="D31" s="10">
        <v>10288926</v>
      </c>
      <c r="E31" s="10" t="s">
        <v>71</v>
      </c>
      <c r="F31" s="10" t="s">
        <v>75</v>
      </c>
      <c r="G31" s="10" t="s">
        <v>73</v>
      </c>
      <c r="H31" s="10">
        <v>1025</v>
      </c>
      <c r="I31" s="10" t="s">
        <v>26</v>
      </c>
      <c r="J31" s="10">
        <v>1025</v>
      </c>
      <c r="K31" s="11">
        <v>3769</v>
      </c>
      <c r="L31" s="10" t="s">
        <v>74</v>
      </c>
      <c r="M31" s="10" t="s">
        <v>28</v>
      </c>
      <c r="N31" s="10" t="s">
        <v>41</v>
      </c>
      <c r="O31" s="13">
        <v>44989</v>
      </c>
      <c r="P31" s="14">
        <v>44929</v>
      </c>
      <c r="Q31" s="13" t="s">
        <v>30</v>
      </c>
      <c r="R31" s="15" t="s">
        <v>31</v>
      </c>
      <c r="S31" s="16"/>
      <c r="IR31" s="18"/>
      <c r="IS31" s="18"/>
      <c r="IT31" s="18"/>
      <c r="IU31" s="18"/>
      <c r="IV31" s="18"/>
    </row>
    <row r="32" spans="1:256" ht="39.75" customHeight="1">
      <c r="A32" s="9">
        <v>44874</v>
      </c>
      <c r="B32" s="10">
        <v>6000282175</v>
      </c>
      <c r="C32" s="10">
        <v>100</v>
      </c>
      <c r="D32" s="10">
        <v>10288927</v>
      </c>
      <c r="E32" s="10" t="s">
        <v>71</v>
      </c>
      <c r="F32" s="10" t="s">
        <v>76</v>
      </c>
      <c r="G32" s="10" t="s">
        <v>77</v>
      </c>
      <c r="H32" s="10">
        <v>1025</v>
      </c>
      <c r="I32" s="10" t="s">
        <v>26</v>
      </c>
      <c r="J32" s="10">
        <v>1025</v>
      </c>
      <c r="K32" s="11">
        <v>4755</v>
      </c>
      <c r="L32" s="10" t="s">
        <v>78</v>
      </c>
      <c r="M32" s="10" t="s">
        <v>28</v>
      </c>
      <c r="N32" s="10" t="s">
        <v>41</v>
      </c>
      <c r="O32" s="13">
        <v>44989</v>
      </c>
      <c r="P32" s="14">
        <v>44929</v>
      </c>
      <c r="Q32" s="13" t="s">
        <v>30</v>
      </c>
      <c r="R32" s="15" t="s">
        <v>31</v>
      </c>
      <c r="S32" s="16"/>
      <c r="IR32" s="18"/>
      <c r="IS32" s="18"/>
      <c r="IT32" s="18"/>
      <c r="IU32" s="18"/>
      <c r="IV32" s="18"/>
    </row>
    <row r="34" spans="10:11" ht="13.15">
      <c r="J34" s="2" t="s">
        <v>79</v>
      </c>
      <c r="K34" s="25">
        <f>SUM(K2:K33)</f>
        <v>103115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"/>
  <sheetViews>
    <sheetView workbookViewId="0">
      <selection activeCell="A3" sqref="A3:A4"/>
    </sheetView>
  </sheetViews>
  <sheetFormatPr defaultColWidth="11.59765625" defaultRowHeight="12.75"/>
  <cols>
    <col min="1" max="1" width="12.1328125" customWidth="1"/>
    <col min="2" max="2" width="28.1328125" customWidth="1"/>
    <col min="4" max="4" width="14" customWidth="1"/>
  </cols>
  <sheetData>
    <row r="3" spans="1:5" ht="13.15">
      <c r="A3" s="40">
        <v>4001239287</v>
      </c>
      <c r="B3" s="1" t="s">
        <v>0</v>
      </c>
      <c r="C3" s="2">
        <v>103115</v>
      </c>
      <c r="D3" s="2"/>
      <c r="E3" s="2" t="s">
        <v>1</v>
      </c>
    </row>
    <row r="4" spans="1:5" ht="13.15">
      <c r="A4" s="40"/>
      <c r="B4" s="1" t="s">
        <v>2</v>
      </c>
      <c r="C4" s="2">
        <v>206230</v>
      </c>
      <c r="D4" s="2" t="s">
        <v>3</v>
      </c>
      <c r="E4" s="2" t="s">
        <v>4</v>
      </c>
    </row>
  </sheetData>
  <sheetProtection selectLockedCells="1" selectUnlockedCells="1"/>
  <mergeCells count="1">
    <mergeCell ref="A3:A4"/>
  </mergeCells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"/>
  <sheetViews>
    <sheetView topLeftCell="A13" workbookViewId="0">
      <selection activeCell="A17" sqref="A17"/>
    </sheetView>
  </sheetViews>
  <sheetFormatPr defaultColWidth="11.59765625" defaultRowHeight="12.75"/>
  <sheetData>
    <row r="1" spans="1:28" ht="32.1" customHeight="1">
      <c r="A1" s="22" t="s">
        <v>143</v>
      </c>
      <c r="B1" s="22" t="s">
        <v>80</v>
      </c>
      <c r="C1" s="22" t="s">
        <v>144</v>
      </c>
      <c r="D1" s="22" t="s">
        <v>81</v>
      </c>
      <c r="E1" s="22" t="s">
        <v>145</v>
      </c>
      <c r="F1" s="22" t="s">
        <v>146</v>
      </c>
      <c r="G1" s="22" t="s">
        <v>147</v>
      </c>
      <c r="H1" s="22" t="s">
        <v>148</v>
      </c>
      <c r="I1" s="22" t="s">
        <v>149</v>
      </c>
      <c r="J1" s="22" t="s">
        <v>150</v>
      </c>
      <c r="K1" s="22" t="s">
        <v>151</v>
      </c>
      <c r="L1" s="22" t="s">
        <v>152</v>
      </c>
      <c r="M1" s="22" t="s">
        <v>153</v>
      </c>
      <c r="N1" s="22" t="s">
        <v>154</v>
      </c>
      <c r="O1" s="22" t="s">
        <v>155</v>
      </c>
      <c r="P1" s="22" t="s">
        <v>156</v>
      </c>
      <c r="Q1" s="22" t="s">
        <v>157</v>
      </c>
      <c r="R1" s="22" t="s">
        <v>18</v>
      </c>
      <c r="S1" s="22" t="s">
        <v>158</v>
      </c>
      <c r="T1" s="22" t="s">
        <v>159</v>
      </c>
      <c r="U1" s="22" t="s">
        <v>160</v>
      </c>
      <c r="V1" s="22" t="s">
        <v>161</v>
      </c>
      <c r="W1" s="22" t="s">
        <v>162</v>
      </c>
      <c r="X1" s="22" t="s">
        <v>163</v>
      </c>
      <c r="Y1" s="22" t="s">
        <v>164</v>
      </c>
      <c r="Z1" s="22" t="s">
        <v>165</v>
      </c>
      <c r="AA1" s="22" t="s">
        <v>166</v>
      </c>
      <c r="AB1" s="22" t="s">
        <v>167</v>
      </c>
    </row>
    <row r="2" spans="1:28" ht="69" customHeight="1">
      <c r="A2" s="23" t="s">
        <v>168</v>
      </c>
      <c r="B2" s="23" t="s">
        <v>24</v>
      </c>
      <c r="C2" s="23" t="s">
        <v>169</v>
      </c>
      <c r="D2" s="23" t="s">
        <v>25</v>
      </c>
      <c r="E2" s="23"/>
      <c r="F2" s="23" t="s">
        <v>170</v>
      </c>
      <c r="G2" s="23" t="s">
        <v>136</v>
      </c>
      <c r="H2" s="23" t="s">
        <v>171</v>
      </c>
      <c r="I2" s="23" t="s">
        <v>139</v>
      </c>
      <c r="J2" s="23" t="s">
        <v>172</v>
      </c>
      <c r="K2" s="23">
        <v>43</v>
      </c>
      <c r="L2" s="23">
        <v>0</v>
      </c>
      <c r="M2" s="23">
        <v>39</v>
      </c>
      <c r="N2" s="23">
        <v>0</v>
      </c>
      <c r="O2" s="23">
        <v>0</v>
      </c>
      <c r="P2" s="23">
        <v>18</v>
      </c>
      <c r="Q2" s="23">
        <v>0</v>
      </c>
      <c r="R2" s="23" t="s">
        <v>173</v>
      </c>
      <c r="S2" s="23"/>
      <c r="T2" s="23"/>
      <c r="U2" s="23"/>
      <c r="V2" s="23"/>
      <c r="W2" s="23"/>
      <c r="X2" s="23"/>
      <c r="Y2" s="23" t="s">
        <v>174</v>
      </c>
      <c r="Z2" s="24">
        <v>44615</v>
      </c>
      <c r="AA2" s="23" t="s">
        <v>175</v>
      </c>
      <c r="AB2" s="23"/>
    </row>
    <row r="3" spans="1:28" ht="89.25">
      <c r="A3" s="23" t="s">
        <v>168</v>
      </c>
      <c r="B3" s="23" t="s">
        <v>32</v>
      </c>
      <c r="C3" s="23" t="s">
        <v>169</v>
      </c>
      <c r="D3" s="23" t="s">
        <v>25</v>
      </c>
      <c r="E3" s="23"/>
      <c r="F3" s="23" t="s">
        <v>170</v>
      </c>
      <c r="G3" s="23" t="s">
        <v>136</v>
      </c>
      <c r="H3" s="23" t="s">
        <v>171</v>
      </c>
      <c r="I3" s="23" t="s">
        <v>139</v>
      </c>
      <c r="J3" s="23" t="s">
        <v>172</v>
      </c>
      <c r="K3" s="23">
        <v>53</v>
      </c>
      <c r="L3" s="23">
        <v>0</v>
      </c>
      <c r="M3" s="23">
        <v>40</v>
      </c>
      <c r="N3" s="23">
        <v>0</v>
      </c>
      <c r="O3" s="23">
        <v>0</v>
      </c>
      <c r="P3" s="23">
        <v>7</v>
      </c>
      <c r="Q3" s="23">
        <v>0</v>
      </c>
      <c r="R3" s="23" t="s">
        <v>173</v>
      </c>
      <c r="S3" s="23"/>
      <c r="T3" s="23"/>
      <c r="U3" s="23"/>
      <c r="V3" s="23"/>
      <c r="W3" s="23"/>
      <c r="X3" s="23"/>
      <c r="Y3" s="23" t="s">
        <v>174</v>
      </c>
      <c r="Z3" s="24">
        <v>44601</v>
      </c>
      <c r="AA3" s="23" t="s">
        <v>175</v>
      </c>
      <c r="AB3" s="23"/>
    </row>
    <row r="4" spans="1:28" ht="38.25">
      <c r="A4" s="23" t="s">
        <v>168</v>
      </c>
      <c r="B4" s="23" t="s">
        <v>34</v>
      </c>
      <c r="C4" s="23" t="s">
        <v>169</v>
      </c>
      <c r="D4" s="23" t="s">
        <v>35</v>
      </c>
      <c r="E4" s="23"/>
      <c r="F4" s="23" t="s">
        <v>170</v>
      </c>
      <c r="G4" s="23" t="s">
        <v>136</v>
      </c>
      <c r="H4" s="23" t="s">
        <v>171</v>
      </c>
      <c r="I4" s="23" t="s">
        <v>139</v>
      </c>
      <c r="J4" s="23" t="s">
        <v>172</v>
      </c>
      <c r="K4" s="23">
        <v>100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 t="s">
        <v>176</v>
      </c>
      <c r="S4" s="23"/>
      <c r="T4" s="23"/>
      <c r="U4" s="23"/>
      <c r="V4" s="23"/>
      <c r="W4" s="23"/>
      <c r="X4" s="23"/>
      <c r="Y4" s="23" t="s">
        <v>177</v>
      </c>
      <c r="Z4" s="24">
        <v>44168</v>
      </c>
      <c r="AA4" s="23" t="s">
        <v>175</v>
      </c>
      <c r="AB4" s="23"/>
    </row>
    <row r="5" spans="1:28" ht="38.25">
      <c r="A5" s="23" t="s">
        <v>168</v>
      </c>
      <c r="B5" s="23" t="s">
        <v>39</v>
      </c>
      <c r="C5" s="23" t="s">
        <v>169</v>
      </c>
      <c r="D5" s="23" t="s">
        <v>40</v>
      </c>
      <c r="E5" s="23"/>
      <c r="F5" s="23" t="s">
        <v>170</v>
      </c>
      <c r="G5" s="23" t="s">
        <v>136</v>
      </c>
      <c r="H5" s="23" t="s">
        <v>171</v>
      </c>
      <c r="I5" s="23" t="s">
        <v>178</v>
      </c>
      <c r="J5" s="23" t="s">
        <v>172</v>
      </c>
      <c r="K5" s="23">
        <v>0</v>
      </c>
      <c r="L5" s="23">
        <v>0</v>
      </c>
      <c r="M5" s="23">
        <v>100</v>
      </c>
      <c r="N5" s="23">
        <v>0</v>
      </c>
      <c r="O5" s="23">
        <v>0</v>
      </c>
      <c r="P5" s="23">
        <v>0</v>
      </c>
      <c r="Q5" s="23">
        <v>0</v>
      </c>
      <c r="R5" s="23" t="s">
        <v>179</v>
      </c>
      <c r="S5" s="23"/>
      <c r="T5" s="23"/>
      <c r="U5" s="23"/>
      <c r="V5" s="23"/>
      <c r="W5" s="23"/>
      <c r="X5" s="23"/>
      <c r="Y5" s="23" t="s">
        <v>177</v>
      </c>
      <c r="Z5" s="24">
        <v>44609</v>
      </c>
      <c r="AA5" s="23" t="s">
        <v>175</v>
      </c>
      <c r="AB5" s="23"/>
    </row>
    <row r="6" spans="1:28" ht="38.25">
      <c r="A6" s="23" t="s">
        <v>168</v>
      </c>
      <c r="B6" s="23" t="s">
        <v>43</v>
      </c>
      <c r="C6" s="23" t="s">
        <v>169</v>
      </c>
      <c r="D6" s="23" t="s">
        <v>44</v>
      </c>
      <c r="E6" s="23"/>
      <c r="F6" s="23" t="s">
        <v>170</v>
      </c>
      <c r="G6" s="23" t="s">
        <v>136</v>
      </c>
      <c r="H6" s="23" t="s">
        <v>171</v>
      </c>
      <c r="I6" s="23" t="s">
        <v>139</v>
      </c>
      <c r="J6" s="23" t="s">
        <v>172</v>
      </c>
      <c r="K6" s="23">
        <v>100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 t="s">
        <v>180</v>
      </c>
      <c r="S6" s="23"/>
      <c r="T6" s="23"/>
      <c r="U6" s="23"/>
      <c r="V6" s="23"/>
      <c r="W6" s="23"/>
      <c r="X6" s="23"/>
      <c r="Y6" s="23" t="s">
        <v>177</v>
      </c>
      <c r="Z6" s="24">
        <v>44846</v>
      </c>
      <c r="AA6" s="23" t="s">
        <v>175</v>
      </c>
      <c r="AB6" s="23"/>
    </row>
    <row r="7" spans="1:28" ht="76.5">
      <c r="A7" s="23" t="s">
        <v>168</v>
      </c>
      <c r="B7" s="23" t="s">
        <v>47</v>
      </c>
      <c r="C7" s="23" t="s">
        <v>169</v>
      </c>
      <c r="D7" s="23" t="s">
        <v>48</v>
      </c>
      <c r="E7" s="23"/>
      <c r="F7" s="23" t="s">
        <v>170</v>
      </c>
      <c r="G7" s="23" t="s">
        <v>136</v>
      </c>
      <c r="H7" s="23" t="s">
        <v>171</v>
      </c>
      <c r="I7" s="23" t="s">
        <v>139</v>
      </c>
      <c r="J7" s="23" t="s">
        <v>172</v>
      </c>
      <c r="K7" s="23">
        <v>77</v>
      </c>
      <c r="L7" s="23">
        <v>0</v>
      </c>
      <c r="M7" s="23">
        <v>23</v>
      </c>
      <c r="N7" s="23">
        <v>0</v>
      </c>
      <c r="O7" s="23">
        <v>0</v>
      </c>
      <c r="P7" s="23">
        <v>0</v>
      </c>
      <c r="Q7" s="23">
        <v>0</v>
      </c>
      <c r="R7" s="23" t="s">
        <v>181</v>
      </c>
      <c r="S7" s="23"/>
      <c r="T7" s="23"/>
      <c r="U7" s="23"/>
      <c r="V7" s="23"/>
      <c r="W7" s="23"/>
      <c r="X7" s="23"/>
      <c r="Y7" s="23" t="s">
        <v>177</v>
      </c>
      <c r="Z7" s="24">
        <v>44846</v>
      </c>
      <c r="AA7" s="23" t="s">
        <v>175</v>
      </c>
      <c r="AB7" s="23"/>
    </row>
    <row r="8" spans="1:28" ht="76.5">
      <c r="A8" s="23" t="s">
        <v>168</v>
      </c>
      <c r="B8" s="23" t="s">
        <v>50</v>
      </c>
      <c r="C8" s="23" t="s">
        <v>169</v>
      </c>
      <c r="D8" s="23" t="s">
        <v>51</v>
      </c>
      <c r="E8" s="23"/>
      <c r="F8" s="23" t="s">
        <v>170</v>
      </c>
      <c r="G8" s="23" t="s">
        <v>136</v>
      </c>
      <c r="H8" s="23" t="s">
        <v>171</v>
      </c>
      <c r="I8" s="23" t="s">
        <v>139</v>
      </c>
      <c r="J8" s="23" t="s">
        <v>172</v>
      </c>
      <c r="K8" s="23">
        <v>58</v>
      </c>
      <c r="L8" s="23">
        <v>0</v>
      </c>
      <c r="M8" s="23">
        <v>42</v>
      </c>
      <c r="N8" s="23">
        <v>0</v>
      </c>
      <c r="O8" s="23">
        <v>0</v>
      </c>
      <c r="P8" s="23">
        <v>0</v>
      </c>
      <c r="Q8" s="23">
        <v>0</v>
      </c>
      <c r="R8" s="23" t="s">
        <v>182</v>
      </c>
      <c r="S8" s="23"/>
      <c r="T8" s="23"/>
      <c r="U8" s="23"/>
      <c r="V8" s="23"/>
      <c r="W8" s="23"/>
      <c r="X8" s="23"/>
      <c r="Y8" s="23" t="s">
        <v>177</v>
      </c>
      <c r="Z8" s="24">
        <v>44762</v>
      </c>
      <c r="AA8" s="23" t="s">
        <v>175</v>
      </c>
      <c r="AB8" s="23"/>
    </row>
    <row r="9" spans="1:28" ht="38.25">
      <c r="A9" s="23" t="s">
        <v>168</v>
      </c>
      <c r="B9" s="23" t="s">
        <v>53</v>
      </c>
      <c r="C9" s="23" t="s">
        <v>169</v>
      </c>
      <c r="D9" s="23" t="s">
        <v>54</v>
      </c>
      <c r="E9" s="23"/>
      <c r="F9" s="23" t="s">
        <v>170</v>
      </c>
      <c r="G9" s="23" t="s">
        <v>136</v>
      </c>
      <c r="H9" s="23" t="s">
        <v>171</v>
      </c>
      <c r="I9" s="23" t="s">
        <v>112</v>
      </c>
      <c r="J9" s="23" t="s">
        <v>172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100</v>
      </c>
      <c r="Q9" s="23">
        <v>0</v>
      </c>
      <c r="R9" s="23" t="s">
        <v>183</v>
      </c>
      <c r="S9" s="23"/>
      <c r="T9" s="23"/>
      <c r="U9" s="23"/>
      <c r="V9" s="23"/>
      <c r="W9" s="23"/>
      <c r="X9" s="23"/>
      <c r="Y9" s="23" t="s">
        <v>177</v>
      </c>
      <c r="Z9" s="24">
        <v>44887</v>
      </c>
      <c r="AA9" s="23" t="s">
        <v>175</v>
      </c>
      <c r="AB9" s="23"/>
    </row>
    <row r="10" spans="1:28" ht="38.25">
      <c r="A10" s="23" t="s">
        <v>168</v>
      </c>
      <c r="B10" s="23" t="s">
        <v>57</v>
      </c>
      <c r="C10" s="23" t="s">
        <v>169</v>
      </c>
      <c r="D10" s="23" t="s">
        <v>184</v>
      </c>
      <c r="E10" s="23"/>
      <c r="F10" s="23" t="s">
        <v>170</v>
      </c>
      <c r="G10" s="23" t="s">
        <v>136</v>
      </c>
      <c r="H10" s="23" t="s">
        <v>171</v>
      </c>
      <c r="I10" s="23" t="s">
        <v>139</v>
      </c>
      <c r="J10" s="23" t="s">
        <v>172</v>
      </c>
      <c r="K10" s="23">
        <v>100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 t="s">
        <v>176</v>
      </c>
      <c r="S10" s="23"/>
      <c r="T10" s="23"/>
      <c r="U10" s="23"/>
      <c r="V10" s="23"/>
      <c r="W10" s="23"/>
      <c r="X10" s="23"/>
      <c r="Y10" s="23" t="s">
        <v>177</v>
      </c>
      <c r="Z10" s="24">
        <v>44865</v>
      </c>
      <c r="AA10" s="23" t="s">
        <v>175</v>
      </c>
      <c r="AB10" s="23"/>
    </row>
    <row r="11" spans="1:28" ht="38.25">
      <c r="A11" s="23" t="s">
        <v>168</v>
      </c>
      <c r="B11" s="23" t="s">
        <v>59</v>
      </c>
      <c r="C11" s="23" t="s">
        <v>169</v>
      </c>
      <c r="D11" s="23" t="s">
        <v>185</v>
      </c>
      <c r="E11" s="23"/>
      <c r="F11" s="23" t="s">
        <v>170</v>
      </c>
      <c r="G11" s="23" t="s">
        <v>136</v>
      </c>
      <c r="H11" s="23" t="s">
        <v>171</v>
      </c>
      <c r="I11" s="23" t="s">
        <v>139</v>
      </c>
      <c r="J11" s="23" t="s">
        <v>172</v>
      </c>
      <c r="K11" s="23">
        <v>100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 t="s">
        <v>176</v>
      </c>
      <c r="S11" s="23"/>
      <c r="T11" s="23"/>
      <c r="U11" s="23"/>
      <c r="V11" s="23"/>
      <c r="W11" s="23"/>
      <c r="X11" s="23"/>
      <c r="Y11" s="23" t="s">
        <v>177</v>
      </c>
      <c r="Z11" s="24">
        <v>44845</v>
      </c>
      <c r="AA11" s="23" t="s">
        <v>175</v>
      </c>
      <c r="AB11" s="23"/>
    </row>
    <row r="12" spans="1:28" ht="51">
      <c r="A12" s="23" t="s">
        <v>168</v>
      </c>
      <c r="B12" s="23" t="s">
        <v>62</v>
      </c>
      <c r="C12" s="23" t="s">
        <v>169</v>
      </c>
      <c r="D12" s="23" t="s">
        <v>40</v>
      </c>
      <c r="E12" s="23"/>
      <c r="F12" s="23" t="s">
        <v>170</v>
      </c>
      <c r="G12" s="23" t="s">
        <v>136</v>
      </c>
      <c r="H12" s="23" t="s">
        <v>171</v>
      </c>
      <c r="I12" s="23" t="s">
        <v>112</v>
      </c>
      <c r="J12" s="23" t="s">
        <v>172</v>
      </c>
      <c r="K12" s="23">
        <v>44</v>
      </c>
      <c r="L12" s="23">
        <v>0</v>
      </c>
      <c r="M12" s="23">
        <v>0</v>
      </c>
      <c r="N12" s="23">
        <v>0</v>
      </c>
      <c r="O12" s="23">
        <v>0</v>
      </c>
      <c r="P12" s="23">
        <v>56</v>
      </c>
      <c r="Q12" s="23">
        <v>0</v>
      </c>
      <c r="R12" s="23" t="s">
        <v>186</v>
      </c>
      <c r="S12" s="23"/>
      <c r="T12" s="23"/>
      <c r="U12" s="23"/>
      <c r="V12" s="23"/>
      <c r="W12" s="23"/>
      <c r="X12" s="23"/>
      <c r="Y12" s="23" t="s">
        <v>177</v>
      </c>
      <c r="Z12" s="24">
        <v>44894</v>
      </c>
      <c r="AA12" s="23" t="s">
        <v>175</v>
      </c>
      <c r="AB12" s="23"/>
    </row>
    <row r="13" spans="1:28" ht="38.25">
      <c r="A13" s="23" t="s">
        <v>168</v>
      </c>
      <c r="B13" s="23" t="s">
        <v>65</v>
      </c>
      <c r="C13" s="23" t="s">
        <v>169</v>
      </c>
      <c r="D13" s="23" t="s">
        <v>66</v>
      </c>
      <c r="E13" s="23"/>
      <c r="F13" s="23" t="s">
        <v>170</v>
      </c>
      <c r="G13" s="23" t="s">
        <v>136</v>
      </c>
      <c r="H13" s="23" t="s">
        <v>171</v>
      </c>
      <c r="I13" s="23" t="s">
        <v>139</v>
      </c>
      <c r="J13" s="23" t="s">
        <v>172</v>
      </c>
      <c r="K13" s="23">
        <v>97</v>
      </c>
      <c r="L13" s="23">
        <v>0</v>
      </c>
      <c r="M13" s="23">
        <v>3</v>
      </c>
      <c r="N13" s="23">
        <v>0</v>
      </c>
      <c r="O13" s="23">
        <v>0</v>
      </c>
      <c r="P13" s="23">
        <v>0</v>
      </c>
      <c r="Q13" s="23">
        <v>0</v>
      </c>
      <c r="R13" s="23" t="s">
        <v>180</v>
      </c>
      <c r="S13" s="23"/>
      <c r="T13" s="23"/>
      <c r="U13" s="23"/>
      <c r="V13" s="23"/>
      <c r="W13" s="23"/>
      <c r="X13" s="23"/>
      <c r="Y13" s="23" t="s">
        <v>174</v>
      </c>
      <c r="Z13" s="24">
        <v>44874</v>
      </c>
      <c r="AA13" s="23" t="s">
        <v>175</v>
      </c>
      <c r="AB13" s="23"/>
    </row>
    <row r="14" spans="1:28" ht="38.25">
      <c r="A14" s="23" t="s">
        <v>168</v>
      </c>
      <c r="B14" s="23" t="s">
        <v>68</v>
      </c>
      <c r="C14" s="23" t="s">
        <v>169</v>
      </c>
      <c r="D14" s="23" t="s">
        <v>69</v>
      </c>
      <c r="E14" s="23"/>
      <c r="F14" s="23" t="s">
        <v>170</v>
      </c>
      <c r="G14" s="23" t="s">
        <v>142</v>
      </c>
      <c r="H14" s="23" t="s">
        <v>171</v>
      </c>
      <c r="I14" s="23" t="s">
        <v>112</v>
      </c>
      <c r="J14" s="23" t="s">
        <v>172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100</v>
      </c>
      <c r="Q14" s="23">
        <v>0</v>
      </c>
      <c r="R14" s="23" t="s">
        <v>183</v>
      </c>
      <c r="S14" s="23"/>
      <c r="T14" s="23"/>
      <c r="U14" s="23"/>
      <c r="V14" s="23"/>
      <c r="W14" s="23"/>
      <c r="X14" s="23"/>
      <c r="Y14" s="23" t="s">
        <v>187</v>
      </c>
      <c r="Z14" s="24">
        <v>43171</v>
      </c>
      <c r="AA14" s="23" t="s">
        <v>175</v>
      </c>
      <c r="AB14" s="23"/>
    </row>
    <row r="15" spans="1:28" ht="38.25">
      <c r="A15" s="23" t="s">
        <v>168</v>
      </c>
      <c r="B15" s="23" t="s">
        <v>72</v>
      </c>
      <c r="C15" s="23" t="s">
        <v>169</v>
      </c>
      <c r="D15" s="23" t="s">
        <v>73</v>
      </c>
      <c r="E15" s="23"/>
      <c r="F15" s="23" t="s">
        <v>170</v>
      </c>
      <c r="G15" s="23" t="s">
        <v>142</v>
      </c>
      <c r="H15" s="23" t="s">
        <v>171</v>
      </c>
      <c r="I15" s="23" t="s">
        <v>178</v>
      </c>
      <c r="J15" s="23" t="s">
        <v>172</v>
      </c>
      <c r="K15" s="23">
        <v>0</v>
      </c>
      <c r="L15" s="23">
        <v>0</v>
      </c>
      <c r="M15" s="23">
        <v>100</v>
      </c>
      <c r="N15" s="23">
        <v>0</v>
      </c>
      <c r="O15" s="23">
        <v>0</v>
      </c>
      <c r="P15" s="23">
        <v>0</v>
      </c>
      <c r="Q15" s="23">
        <v>0</v>
      </c>
      <c r="R15" s="23" t="s">
        <v>179</v>
      </c>
      <c r="S15" s="23"/>
      <c r="T15" s="23"/>
      <c r="U15" s="23"/>
      <c r="V15" s="23"/>
      <c r="W15" s="23"/>
      <c r="X15" s="23"/>
      <c r="Y15" s="23" t="s">
        <v>174</v>
      </c>
      <c r="Z15" s="24">
        <v>44846</v>
      </c>
      <c r="AA15" s="23" t="s">
        <v>175</v>
      </c>
      <c r="AB15" s="23"/>
    </row>
    <row r="16" spans="1:28" ht="38.25">
      <c r="A16" s="23" t="s">
        <v>168</v>
      </c>
      <c r="B16" s="23" t="s">
        <v>75</v>
      </c>
      <c r="C16" s="23" t="s">
        <v>169</v>
      </c>
      <c r="D16" s="23" t="s">
        <v>73</v>
      </c>
      <c r="E16" s="23"/>
      <c r="F16" s="23" t="s">
        <v>170</v>
      </c>
      <c r="G16" s="23" t="s">
        <v>142</v>
      </c>
      <c r="H16" s="23" t="s">
        <v>171</v>
      </c>
      <c r="I16" s="23" t="s">
        <v>178</v>
      </c>
      <c r="J16" s="23" t="s">
        <v>172</v>
      </c>
      <c r="K16" s="23">
        <v>0</v>
      </c>
      <c r="L16" s="23">
        <v>0</v>
      </c>
      <c r="M16" s="23">
        <v>100</v>
      </c>
      <c r="N16" s="23">
        <v>0</v>
      </c>
      <c r="O16" s="23">
        <v>0</v>
      </c>
      <c r="P16" s="23">
        <v>0</v>
      </c>
      <c r="Q16" s="23">
        <v>0</v>
      </c>
      <c r="R16" s="23" t="s">
        <v>179</v>
      </c>
      <c r="S16" s="23"/>
      <c r="T16" s="23"/>
      <c r="U16" s="23"/>
      <c r="V16" s="23"/>
      <c r="W16" s="23"/>
      <c r="X16" s="23"/>
      <c r="Y16" s="23" t="s">
        <v>174</v>
      </c>
      <c r="Z16" s="24">
        <v>44860</v>
      </c>
      <c r="AA16" s="23" t="s">
        <v>175</v>
      </c>
      <c r="AB16" s="23"/>
    </row>
    <row r="17" spans="1:28" ht="38.25">
      <c r="A17" s="23" t="s">
        <v>168</v>
      </c>
      <c r="B17" s="23" t="s">
        <v>76</v>
      </c>
      <c r="C17" s="23" t="s">
        <v>169</v>
      </c>
      <c r="D17" s="23" t="s">
        <v>77</v>
      </c>
      <c r="E17" s="23"/>
      <c r="F17" s="23" t="s">
        <v>170</v>
      </c>
      <c r="G17" s="23" t="s">
        <v>142</v>
      </c>
      <c r="H17" s="23" t="s">
        <v>171</v>
      </c>
      <c r="I17" s="23" t="s">
        <v>178</v>
      </c>
      <c r="J17" s="23" t="s">
        <v>172</v>
      </c>
      <c r="K17" s="23">
        <v>0</v>
      </c>
      <c r="L17" s="23">
        <v>0</v>
      </c>
      <c r="M17" s="23">
        <v>100</v>
      </c>
      <c r="N17" s="23">
        <v>0</v>
      </c>
      <c r="O17" s="23">
        <v>0</v>
      </c>
      <c r="P17" s="23">
        <v>0</v>
      </c>
      <c r="Q17" s="23">
        <v>0</v>
      </c>
      <c r="R17" s="23" t="s">
        <v>179</v>
      </c>
      <c r="S17" s="23"/>
      <c r="T17" s="23"/>
      <c r="U17" s="23"/>
      <c r="V17" s="23"/>
      <c r="W17" s="23"/>
      <c r="X17" s="23"/>
      <c r="Y17" s="23" t="s">
        <v>174</v>
      </c>
      <c r="Z17" s="24">
        <v>44860</v>
      </c>
      <c r="AA17" s="23" t="s">
        <v>175</v>
      </c>
      <c r="AB17" s="2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 RUN</vt:lpstr>
      <vt:lpstr>DATA TRACKING CHINA</vt:lpstr>
      <vt:lpstr>PO</vt:lpstr>
      <vt:lpstr>MCL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Quyen</cp:lastModifiedBy>
  <dcterms:created xsi:type="dcterms:W3CDTF">2022-12-11T04:44:21Z</dcterms:created>
  <dcterms:modified xsi:type="dcterms:W3CDTF">2022-12-20T02:49:35Z</dcterms:modified>
</cp:coreProperties>
</file>