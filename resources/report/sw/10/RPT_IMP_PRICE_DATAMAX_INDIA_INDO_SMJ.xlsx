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Quyen-test-more\OneDrive - CONG TY TNHH HUU TIN\Desktop\DATA INDIA\DATA INDIA\"/>
    </mc:Choice>
  </mc:AlternateContent>
  <bookViews>
    <workbookView xWindow="-120" yWindow="-120" windowWidth="21840" windowHeight="13140"/>
  </bookViews>
  <sheets>
    <sheet name="DATA MRP" sheetId="2" r:id="rId1"/>
    <sheet name="SIZE RU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0" i="2" l="1"/>
  <c r="AK10" i="2"/>
  <c r="Q10" i="2"/>
  <c r="O10" i="2"/>
  <c r="M10" i="2"/>
  <c r="AL9" i="2"/>
  <c r="AK9" i="2"/>
  <c r="Q9" i="2"/>
  <c r="O9" i="2"/>
  <c r="M9" i="2"/>
  <c r="AL8" i="2"/>
  <c r="AK8" i="2"/>
  <c r="Q8" i="2"/>
  <c r="O8" i="2"/>
  <c r="M8" i="2"/>
  <c r="AL7" i="2"/>
  <c r="AK7" i="2"/>
  <c r="Q7" i="2"/>
  <c r="O7" i="2"/>
  <c r="M7" i="2"/>
  <c r="AL6" i="2"/>
  <c r="AK6" i="2"/>
  <c r="Q6" i="2"/>
  <c r="O6" i="2"/>
  <c r="M6" i="2"/>
  <c r="AL5" i="2"/>
  <c r="AK5" i="2"/>
  <c r="Q5" i="2"/>
  <c r="O5" i="2"/>
  <c r="M5" i="2"/>
  <c r="AL4" i="2"/>
  <c r="AK4" i="2"/>
  <c r="Q4" i="2"/>
  <c r="O4" i="2"/>
  <c r="M4" i="2"/>
  <c r="AL3" i="2"/>
  <c r="AK3" i="2"/>
  <c r="Q3" i="2"/>
  <c r="O3" i="2"/>
  <c r="M3" i="2"/>
  <c r="AL2" i="2"/>
  <c r="AK2" i="2"/>
  <c r="Q2" i="2"/>
  <c r="O2" i="2"/>
  <c r="M2" i="2"/>
</calcChain>
</file>

<file path=xl/sharedStrings.xml><?xml version="1.0" encoding="utf-8"?>
<sst xmlns="http://schemas.openxmlformats.org/spreadsheetml/2006/main" count="454" uniqueCount="155">
  <si>
    <t>Vendor Code</t>
  </si>
  <si>
    <t>Purchase Order Number</t>
  </si>
  <si>
    <t>PO Line Item Number</t>
  </si>
  <si>
    <t>DPOM Line Item Status</t>
  </si>
  <si>
    <t>KEY</t>
  </si>
  <si>
    <t>Doc Type</t>
  </si>
  <si>
    <t>Doc Type Description</t>
  </si>
  <si>
    <t>Mode of Transportation Code</t>
  </si>
  <si>
    <t>Trading Co PO Number</t>
  </si>
  <si>
    <t>Document Date</t>
  </si>
  <si>
    <t>Planning Season Code</t>
  </si>
  <si>
    <t>Planning Season Year</t>
  </si>
  <si>
    <t>Sub Category Description</t>
  </si>
  <si>
    <t>Product Code</t>
  </si>
  <si>
    <t>Product Name</t>
  </si>
  <si>
    <t>Gender Age Description</t>
  </si>
  <si>
    <t>Color Description</t>
  </si>
  <si>
    <t>Purchase Group</t>
  </si>
  <si>
    <t>Purchase Group Name</t>
  </si>
  <si>
    <t>Plant Code</t>
  </si>
  <si>
    <t>Plant Name</t>
  </si>
  <si>
    <t>Ship To Customer Number</t>
  </si>
  <si>
    <t>Ship To Customer Name</t>
  </si>
  <si>
    <t>Destination Country Name</t>
  </si>
  <si>
    <t>Customer PO</t>
  </si>
  <si>
    <t>MRGAC</t>
  </si>
  <si>
    <t>OGAC</t>
  </si>
  <si>
    <t>GAC</t>
  </si>
  <si>
    <t>Outsole Code</t>
  </si>
  <si>
    <t>Midsole Code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</si>
  <si>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</si>
  <si>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</si>
  <si>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</si>
  <si>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</si>
  <si>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</si>
  <si>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</si>
  <si>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</si>
  <si>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</si>
  <si>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</si>
  <si>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</si>
  <si>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</si>
  <si>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</si>
  <si>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</si>
  <si>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Grand Total</t>
  </si>
  <si>
    <t>PM</t>
  </si>
  <si>
    <t>Accepted</t>
  </si>
  <si>
    <t>350353630710</t>
  </si>
  <si>
    <t>ZP20</t>
  </si>
  <si>
    <t>NIKE Standard PO</t>
  </si>
  <si>
    <t>VL</t>
  </si>
  <si>
    <t xml:space="preserve"> </t>
  </si>
  <si>
    <t>FA</t>
  </si>
  <si>
    <t>NSW RUNNING</t>
  </si>
  <si>
    <t>CW4555-002</t>
  </si>
  <si>
    <t>NIKE AIR MAX SC</t>
  </si>
  <si>
    <t>MENS</t>
  </si>
  <si>
    <t>BLACK/WHITE-BLACK</t>
  </si>
  <si>
    <t>Ftwr India</t>
  </si>
  <si>
    <t>Nike India</t>
  </si>
  <si>
    <t>India</t>
  </si>
  <si>
    <t>OS398957-1</t>
  </si>
  <si>
    <t>MS252157-1</t>
  </si>
  <si>
    <t>350353630720</t>
  </si>
  <si>
    <t>CW4555-102</t>
  </si>
  <si>
    <t>WHITE/BLACK-WHITE</t>
  </si>
  <si>
    <t>350353630730</t>
  </si>
  <si>
    <t>350353630820</t>
  </si>
  <si>
    <t>NSW BASKETBALL</t>
  </si>
  <si>
    <t>DD1503-101</t>
  </si>
  <si>
    <t>W NIKE DUNK LOW</t>
  </si>
  <si>
    <t>WOMENS</t>
  </si>
  <si>
    <t>OS399398-1</t>
  </si>
  <si>
    <t>MS252114</t>
  </si>
  <si>
    <t>350353630830</t>
  </si>
  <si>
    <t>DD1503-103</t>
  </si>
  <si>
    <t>WHITE/PHOTON DUST-WHITE</t>
  </si>
  <si>
    <t>350353630840</t>
  </si>
  <si>
    <t>350353630810</t>
  </si>
  <si>
    <t>DD1503-118</t>
  </si>
  <si>
    <t>WHITE/ROSE WHISPER</t>
  </si>
  <si>
    <t>350354541210</t>
  </si>
  <si>
    <t>DD1873-600</t>
  </si>
  <si>
    <t>W NIKE DUNK LOW NEXT NATURE</t>
  </si>
  <si>
    <t>ASTER PINK/ASTER PINK-SAIL</t>
  </si>
  <si>
    <t>MS252114-1</t>
  </si>
  <si>
    <t>350353630910</t>
  </si>
  <si>
    <t>WOMENS CORE RUNNING</t>
  </si>
  <si>
    <t>FB2208-003</t>
  </si>
  <si>
    <t>W NIKE REVOLUTION 7</t>
  </si>
  <si>
    <t>BLACK/WHITE</t>
  </si>
  <si>
    <t>OS400561-1</t>
  </si>
  <si>
    <t>MS253259-1</t>
  </si>
  <si>
    <t>PO#</t>
  </si>
  <si>
    <t>PO ITEM</t>
  </si>
  <si>
    <t>INVOICE</t>
  </si>
  <si>
    <t>STYLE NO.</t>
  </si>
  <si>
    <t>STYLE NAME</t>
  </si>
  <si>
    <t>GENDER</t>
  </si>
  <si>
    <t>PLANT</t>
  </si>
  <si>
    <t>CUST</t>
  </si>
  <si>
    <t>ORI QTY</t>
  </si>
  <si>
    <t>GLOBAL BUY DATE</t>
  </si>
  <si>
    <t>Season</t>
  </si>
  <si>
    <t>Quarter</t>
  </si>
  <si>
    <t>BUS WK START DATE</t>
  </si>
  <si>
    <t>RLS PM</t>
  </si>
  <si>
    <t>RLS VENDOR</t>
  </si>
  <si>
    <t>CGAC</t>
  </si>
  <si>
    <t>ACTUAL GAC</t>
  </si>
  <si>
    <t>1st GAC (GAC OCW)</t>
  </si>
  <si>
    <t>ACTUAL X/F</t>
  </si>
  <si>
    <t>ORD</t>
  </si>
  <si>
    <t>CR Description</t>
  </si>
  <si>
    <t>CR Date</t>
  </si>
  <si>
    <t>Packing Way</t>
  </si>
  <si>
    <t>Packing Qty</t>
  </si>
  <si>
    <t>Delivery Mode</t>
  </si>
  <si>
    <t>Sub Category</t>
  </si>
  <si>
    <t>LABEL NAME</t>
  </si>
  <si>
    <t>MSRP</t>
  </si>
  <si>
    <t>LABEL NO</t>
  </si>
  <si>
    <t>VAS COUNTRY</t>
  </si>
  <si>
    <t>OTHER</t>
  </si>
  <si>
    <t>Production Date (China/Taiwan/Korea/India)</t>
  </si>
  <si>
    <t>MCL COUNTRY</t>
  </si>
  <si>
    <t>UPDATE</t>
  </si>
  <si>
    <t>KEY 1 ( PO &amp; POI )</t>
  </si>
  <si>
    <t>KEY2 ( STYLE no + MCL COUNTRY+APPROVED+INLINE )</t>
  </si>
  <si>
    <t>SDD</t>
  </si>
  <si>
    <t>Season (System)</t>
  </si>
  <si>
    <t>Dest. Country</t>
  </si>
  <si>
    <t>PM24040109</t>
  </si>
  <si>
    <t>#</t>
  </si>
  <si>
    <t>FA2024</t>
  </si>
  <si>
    <t>Q22024</t>
  </si>
  <si>
    <t>S</t>
  </si>
  <si>
    <t>INDIA Sticker with MRP</t>
  </si>
  <si>
    <t>MRP5995</t>
  </si>
  <si>
    <t>-</t>
  </si>
  <si>
    <t>Air Trademarks + CP Sockliner Sticker</t>
  </si>
  <si>
    <t>April 2024</t>
  </si>
  <si>
    <t>IN</t>
  </si>
  <si>
    <t>PM24040803</t>
  </si>
  <si>
    <t>PM24040115</t>
  </si>
  <si>
    <t>PM24040932</t>
  </si>
  <si>
    <t>MRP8295</t>
  </si>
  <si>
    <t>May 2024</t>
  </si>
  <si>
    <t>PM24040809</t>
  </si>
  <si>
    <t>PM24040218</t>
  </si>
  <si>
    <t>PM24040220</t>
  </si>
  <si>
    <t>PM24041514</t>
  </si>
  <si>
    <t>ROW Hangtag</t>
  </si>
  <si>
    <t>PM24032537</t>
  </si>
  <si>
    <t>MRP3695</t>
  </si>
  <si>
    <t>Orange Box + White UPC + ROW Hangtag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</si>
</sst>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"/>
  <sheetViews>
    <sheetView tabSelected="1" workbookViewId="0">
      <selection activeCell="E21" sqref="E21"/>
    </sheetView>
  </sheetViews>
  <sheetFormatPr defaultRowHeight="14.25" outlineLevelRow="2" x14ac:dyDescent="0.45"/>
  <sheetData>
    <row r="1" spans="1:41" ht="69.75" customHeight="1" x14ac:dyDescent="0.45">
      <c r="A1" s="5" t="s">
        <v>92</v>
      </c>
      <c r="B1" s="5" t="s">
        <v>93</v>
      </c>
      <c r="C1" s="6" t="s">
        <v>94</v>
      </c>
      <c r="D1" s="5" t="s">
        <v>95</v>
      </c>
      <c r="E1" s="5" t="s">
        <v>96</v>
      </c>
      <c r="F1" s="5" t="s">
        <v>97</v>
      </c>
      <c r="G1" s="5" t="s">
        <v>98</v>
      </c>
      <c r="H1" s="5" t="s">
        <v>99</v>
      </c>
      <c r="I1" s="7" t="s">
        <v>100</v>
      </c>
      <c r="J1" s="8" t="s">
        <v>101</v>
      </c>
      <c r="K1" s="9" t="s">
        <v>102</v>
      </c>
      <c r="L1" s="9" t="s">
        <v>103</v>
      </c>
      <c r="M1" s="10" t="s">
        <v>104</v>
      </c>
      <c r="N1" s="10" t="s">
        <v>105</v>
      </c>
      <c r="O1" s="11" t="s">
        <v>106</v>
      </c>
      <c r="P1" s="12" t="s">
        <v>26</v>
      </c>
      <c r="Q1" s="10" t="s">
        <v>107</v>
      </c>
      <c r="R1" s="13" t="s">
        <v>108</v>
      </c>
      <c r="S1" s="13" t="s">
        <v>109</v>
      </c>
      <c r="T1" s="14" t="s">
        <v>110</v>
      </c>
      <c r="U1" s="14" t="s">
        <v>111</v>
      </c>
      <c r="V1" s="15" t="s">
        <v>112</v>
      </c>
      <c r="W1" s="16" t="s">
        <v>113</v>
      </c>
      <c r="X1" s="5" t="s">
        <v>114</v>
      </c>
      <c r="Y1" s="5" t="s">
        <v>115</v>
      </c>
      <c r="Z1" s="5" t="s">
        <v>116</v>
      </c>
      <c r="AA1" s="5" t="s">
        <v>20</v>
      </c>
      <c r="AB1" s="5" t="s">
        <v>117</v>
      </c>
      <c r="AC1" s="17" t="s">
        <v>118</v>
      </c>
      <c r="AD1" s="17" t="s">
        <v>119</v>
      </c>
      <c r="AE1" s="17" t="s">
        <v>120</v>
      </c>
      <c r="AF1" s="17" t="s">
        <v>121</v>
      </c>
      <c r="AG1" s="17" t="s">
        <v>122</v>
      </c>
      <c r="AH1" s="18" t="s">
        <v>123</v>
      </c>
      <c r="AI1" s="17" t="s">
        <v>124</v>
      </c>
      <c r="AJ1" s="17" t="s">
        <v>125</v>
      </c>
      <c r="AK1" s="19" t="s">
        <v>126</v>
      </c>
      <c r="AL1" s="6" t="s">
        <v>127</v>
      </c>
      <c r="AM1" s="6" t="s">
        <v>128</v>
      </c>
      <c r="AN1" s="6" t="s">
        <v>129</v>
      </c>
      <c r="AO1" s="20" t="s">
        <v>130</v>
      </c>
    </row>
    <row r="2" spans="1:41" outlineLevel="2" x14ac:dyDescent="0.45">
      <c r="A2" s="21">
        <v>3503536307</v>
      </c>
      <c r="B2" s="21">
        <v>10</v>
      </c>
      <c r="C2" s="21" t="s">
        <v>131</v>
      </c>
      <c r="D2" s="21" t="s">
        <v>53</v>
      </c>
      <c r="E2" s="21" t="s">
        <v>54</v>
      </c>
      <c r="F2" s="21" t="s">
        <v>55</v>
      </c>
      <c r="G2" s="21">
        <v>1089</v>
      </c>
      <c r="H2" s="21" t="s">
        <v>132</v>
      </c>
      <c r="I2" s="21">
        <v>222</v>
      </c>
      <c r="J2" s="22">
        <v>45322</v>
      </c>
      <c r="K2" s="21" t="s">
        <v>133</v>
      </c>
      <c r="L2" s="21" t="s">
        <v>134</v>
      </c>
      <c r="M2" s="22">
        <f t="shared" ref="M2:M10" si="0">IFERROR(P2-12-WEEKDAY(P2-12,2)+1,"")</f>
        <v>45397</v>
      </c>
      <c r="N2" s="22">
        <v>45347</v>
      </c>
      <c r="O2" s="22">
        <f t="shared" ref="O2:O10" si="1">N2-14</f>
        <v>45333</v>
      </c>
      <c r="P2" s="22">
        <v>45409</v>
      </c>
      <c r="Q2" s="22">
        <f t="shared" ref="Q2:Q10" si="2">R2-2</f>
        <v>45404</v>
      </c>
      <c r="R2" s="22">
        <v>45406</v>
      </c>
      <c r="S2" s="22">
        <v>45406</v>
      </c>
      <c r="T2" s="21"/>
      <c r="U2" s="21"/>
      <c r="V2" s="21"/>
      <c r="W2" s="22"/>
      <c r="X2" s="21" t="s">
        <v>135</v>
      </c>
      <c r="Y2" s="21">
        <v>6</v>
      </c>
      <c r="Z2" s="21" t="s">
        <v>49</v>
      </c>
      <c r="AA2" s="21" t="s">
        <v>58</v>
      </c>
      <c r="AB2" s="21" t="s">
        <v>52</v>
      </c>
      <c r="AC2" s="21" t="s">
        <v>136</v>
      </c>
      <c r="AD2" s="21" t="s">
        <v>137</v>
      </c>
      <c r="AE2" s="21" t="s">
        <v>138</v>
      </c>
      <c r="AF2" s="21" t="s">
        <v>138</v>
      </c>
      <c r="AG2" s="21" t="s">
        <v>139</v>
      </c>
      <c r="AH2" s="23" t="s">
        <v>140</v>
      </c>
      <c r="AI2" s="21" t="s">
        <v>141</v>
      </c>
      <c r="AJ2" s="21"/>
      <c r="AK2" t="str">
        <f t="shared" ref="AK2:AK10" si="3">A2&amp;B2</f>
        <v>350353630710</v>
      </c>
      <c r="AL2" t="str">
        <f t="shared" ref="AL2:AL10" si="4">D2&amp;AI2&amp;"APPROVEDINLINE"</f>
        <v>CW4555-002INAPPROVEDINLINE</v>
      </c>
      <c r="AM2" s="4">
        <v>45448</v>
      </c>
      <c r="AN2" t="s">
        <v>133</v>
      </c>
      <c r="AO2" t="s">
        <v>59</v>
      </c>
    </row>
    <row r="3" spans="1:41" outlineLevel="2" x14ac:dyDescent="0.45">
      <c r="A3" s="21">
        <v>3503536307</v>
      </c>
      <c r="B3" s="21">
        <v>20</v>
      </c>
      <c r="C3" s="21" t="s">
        <v>142</v>
      </c>
      <c r="D3" s="21" t="s">
        <v>63</v>
      </c>
      <c r="E3" s="21" t="s">
        <v>54</v>
      </c>
      <c r="F3" s="21" t="s">
        <v>55</v>
      </c>
      <c r="G3" s="21">
        <v>1089</v>
      </c>
      <c r="H3" s="21" t="s">
        <v>132</v>
      </c>
      <c r="I3" s="21">
        <v>144</v>
      </c>
      <c r="J3" s="22">
        <v>45322</v>
      </c>
      <c r="K3" s="21" t="s">
        <v>133</v>
      </c>
      <c r="L3" s="21" t="s">
        <v>134</v>
      </c>
      <c r="M3" s="22">
        <f t="shared" si="0"/>
        <v>45404</v>
      </c>
      <c r="N3" s="22">
        <v>45361</v>
      </c>
      <c r="O3" s="22">
        <f t="shared" si="1"/>
        <v>45347</v>
      </c>
      <c r="P3" s="22">
        <v>45416</v>
      </c>
      <c r="Q3" s="22">
        <f t="shared" si="2"/>
        <v>45410</v>
      </c>
      <c r="R3" s="22">
        <v>45412</v>
      </c>
      <c r="S3" s="22">
        <v>45412</v>
      </c>
      <c r="T3" s="21"/>
      <c r="U3" s="21"/>
      <c r="V3" s="21"/>
      <c r="W3" s="22"/>
      <c r="X3" s="21" t="s">
        <v>135</v>
      </c>
      <c r="Y3" s="21">
        <v>6</v>
      </c>
      <c r="Z3" s="21" t="s">
        <v>49</v>
      </c>
      <c r="AA3" s="21" t="s">
        <v>58</v>
      </c>
      <c r="AB3" s="21" t="s">
        <v>52</v>
      </c>
      <c r="AC3" s="21" t="s">
        <v>136</v>
      </c>
      <c r="AD3" s="21" t="s">
        <v>137</v>
      </c>
      <c r="AE3" s="21" t="s">
        <v>138</v>
      </c>
      <c r="AF3" s="21" t="s">
        <v>138</v>
      </c>
      <c r="AG3" s="21" t="s">
        <v>139</v>
      </c>
      <c r="AH3" s="23" t="s">
        <v>140</v>
      </c>
      <c r="AI3" s="21" t="s">
        <v>141</v>
      </c>
      <c r="AJ3" s="21"/>
      <c r="AK3" t="str">
        <f t="shared" si="3"/>
        <v>350353630720</v>
      </c>
      <c r="AL3" t="str">
        <f t="shared" si="4"/>
        <v>CW4555-102INAPPROVEDINLINE</v>
      </c>
      <c r="AM3" s="4">
        <v>45455</v>
      </c>
      <c r="AN3" t="s">
        <v>133</v>
      </c>
      <c r="AO3" t="s">
        <v>59</v>
      </c>
    </row>
    <row r="4" spans="1:41" outlineLevel="2" x14ac:dyDescent="0.45">
      <c r="A4" s="21">
        <v>3503536307</v>
      </c>
      <c r="B4" s="21">
        <v>30</v>
      </c>
      <c r="C4" s="21" t="s">
        <v>143</v>
      </c>
      <c r="D4" s="21" t="s">
        <v>63</v>
      </c>
      <c r="E4" s="21" t="s">
        <v>54</v>
      </c>
      <c r="F4" s="21" t="s">
        <v>55</v>
      </c>
      <c r="G4" s="21">
        <v>1089</v>
      </c>
      <c r="H4" s="21" t="s">
        <v>132</v>
      </c>
      <c r="I4" s="21">
        <v>186</v>
      </c>
      <c r="J4" s="22">
        <v>45322</v>
      </c>
      <c r="K4" s="21" t="s">
        <v>133</v>
      </c>
      <c r="L4" s="21" t="s">
        <v>134</v>
      </c>
      <c r="M4" s="22">
        <f t="shared" si="0"/>
        <v>45397</v>
      </c>
      <c r="N4" s="22">
        <v>45347</v>
      </c>
      <c r="O4" s="22">
        <f t="shared" si="1"/>
        <v>45333</v>
      </c>
      <c r="P4" s="22">
        <v>45409</v>
      </c>
      <c r="Q4" s="22">
        <f t="shared" si="2"/>
        <v>45404</v>
      </c>
      <c r="R4" s="22">
        <v>45406</v>
      </c>
      <c r="S4" s="22">
        <v>45406</v>
      </c>
      <c r="T4" s="21"/>
      <c r="U4" s="21"/>
      <c r="V4" s="21"/>
      <c r="W4" s="22"/>
      <c r="X4" s="21" t="s">
        <v>135</v>
      </c>
      <c r="Y4" s="21">
        <v>6</v>
      </c>
      <c r="Z4" s="21" t="s">
        <v>49</v>
      </c>
      <c r="AA4" s="21" t="s">
        <v>58</v>
      </c>
      <c r="AB4" s="21" t="s">
        <v>52</v>
      </c>
      <c r="AC4" s="21" t="s">
        <v>136</v>
      </c>
      <c r="AD4" s="21" t="s">
        <v>137</v>
      </c>
      <c r="AE4" s="21" t="s">
        <v>138</v>
      </c>
      <c r="AF4" s="21" t="s">
        <v>138</v>
      </c>
      <c r="AG4" s="21" t="s">
        <v>139</v>
      </c>
      <c r="AH4" s="23" t="s">
        <v>140</v>
      </c>
      <c r="AI4" s="21" t="s">
        <v>141</v>
      </c>
      <c r="AJ4" s="21"/>
      <c r="AK4" t="str">
        <f t="shared" si="3"/>
        <v>350353630730</v>
      </c>
      <c r="AL4" t="str">
        <f t="shared" si="4"/>
        <v>CW4555-102INAPPROVEDINLINE</v>
      </c>
      <c r="AM4" s="4">
        <v>45448</v>
      </c>
      <c r="AN4" t="s">
        <v>133</v>
      </c>
      <c r="AO4" t="s">
        <v>59</v>
      </c>
    </row>
    <row r="5" spans="1:41" outlineLevel="2" x14ac:dyDescent="0.45">
      <c r="A5" s="21">
        <v>3503536308</v>
      </c>
      <c r="B5" s="21">
        <v>20</v>
      </c>
      <c r="C5" s="21" t="s">
        <v>144</v>
      </c>
      <c r="D5" s="21" t="s">
        <v>68</v>
      </c>
      <c r="E5" s="21" t="s">
        <v>69</v>
      </c>
      <c r="F5" s="21" t="s">
        <v>70</v>
      </c>
      <c r="G5" s="21">
        <v>1089</v>
      </c>
      <c r="H5" s="21" t="s">
        <v>132</v>
      </c>
      <c r="I5" s="21">
        <v>432</v>
      </c>
      <c r="J5" s="22">
        <v>45322</v>
      </c>
      <c r="K5" s="21" t="s">
        <v>133</v>
      </c>
      <c r="L5" s="21" t="s">
        <v>134</v>
      </c>
      <c r="M5" s="22">
        <f t="shared" si="0"/>
        <v>45404</v>
      </c>
      <c r="N5" s="22">
        <v>45368</v>
      </c>
      <c r="O5" s="22">
        <f t="shared" si="1"/>
        <v>45354</v>
      </c>
      <c r="P5" s="22">
        <v>45416</v>
      </c>
      <c r="Q5" s="22">
        <f t="shared" si="2"/>
        <v>45412</v>
      </c>
      <c r="R5" s="22">
        <v>45414</v>
      </c>
      <c r="S5" s="22">
        <v>45414</v>
      </c>
      <c r="T5" s="21"/>
      <c r="U5" s="21"/>
      <c r="V5" s="21"/>
      <c r="W5" s="22"/>
      <c r="X5" s="21" t="s">
        <v>135</v>
      </c>
      <c r="Y5" s="21">
        <v>6</v>
      </c>
      <c r="Z5" s="21" t="s">
        <v>49</v>
      </c>
      <c r="AA5" s="21" t="s">
        <v>58</v>
      </c>
      <c r="AB5" s="21" t="s">
        <v>67</v>
      </c>
      <c r="AC5" s="21" t="s">
        <v>136</v>
      </c>
      <c r="AD5" s="21" t="s">
        <v>145</v>
      </c>
      <c r="AE5" s="21" t="s">
        <v>138</v>
      </c>
      <c r="AF5" s="21" t="s">
        <v>138</v>
      </c>
      <c r="AG5" s="21" t="s">
        <v>138</v>
      </c>
      <c r="AH5" s="23" t="s">
        <v>146</v>
      </c>
      <c r="AI5" s="21" t="s">
        <v>141</v>
      </c>
      <c r="AJ5" s="21"/>
      <c r="AK5" t="str">
        <f t="shared" si="3"/>
        <v>350353630820</v>
      </c>
      <c r="AL5" t="str">
        <f t="shared" si="4"/>
        <v>DD1503-101INAPPROVEDINLINE</v>
      </c>
      <c r="AM5" s="4">
        <v>45455</v>
      </c>
      <c r="AN5" t="s">
        <v>133</v>
      </c>
      <c r="AO5" t="s">
        <v>59</v>
      </c>
    </row>
    <row r="6" spans="1:41" outlineLevel="2" x14ac:dyDescent="0.45">
      <c r="A6" s="21">
        <v>3503536308</v>
      </c>
      <c r="B6" s="21">
        <v>30</v>
      </c>
      <c r="C6" s="21" t="s">
        <v>147</v>
      </c>
      <c r="D6" s="21" t="s">
        <v>74</v>
      </c>
      <c r="E6" s="21" t="s">
        <v>69</v>
      </c>
      <c r="F6" s="21" t="s">
        <v>70</v>
      </c>
      <c r="G6" s="21">
        <v>1089</v>
      </c>
      <c r="H6" s="21" t="s">
        <v>132</v>
      </c>
      <c r="I6" s="21">
        <v>246</v>
      </c>
      <c r="J6" s="22">
        <v>45322</v>
      </c>
      <c r="K6" s="21" t="s">
        <v>133</v>
      </c>
      <c r="L6" s="21" t="s">
        <v>134</v>
      </c>
      <c r="M6" s="22">
        <f t="shared" si="0"/>
        <v>45404</v>
      </c>
      <c r="N6" s="22">
        <v>45375</v>
      </c>
      <c r="O6" s="22">
        <f t="shared" si="1"/>
        <v>45361</v>
      </c>
      <c r="P6" s="22">
        <v>45416</v>
      </c>
      <c r="Q6" s="22">
        <f t="shared" si="2"/>
        <v>45410</v>
      </c>
      <c r="R6" s="22">
        <v>45412</v>
      </c>
      <c r="S6" s="22">
        <v>45412</v>
      </c>
      <c r="T6" s="21"/>
      <c r="U6" s="21"/>
      <c r="V6" s="21"/>
      <c r="W6" s="22"/>
      <c r="X6" s="21" t="s">
        <v>135</v>
      </c>
      <c r="Y6" s="21">
        <v>6</v>
      </c>
      <c r="Z6" s="21" t="s">
        <v>49</v>
      </c>
      <c r="AA6" s="21" t="s">
        <v>58</v>
      </c>
      <c r="AB6" s="21" t="s">
        <v>67</v>
      </c>
      <c r="AC6" s="21" t="s">
        <v>136</v>
      </c>
      <c r="AD6" s="21" t="s">
        <v>145</v>
      </c>
      <c r="AE6" s="21" t="s">
        <v>138</v>
      </c>
      <c r="AF6" s="21" t="s">
        <v>138</v>
      </c>
      <c r="AG6" s="21" t="s">
        <v>138</v>
      </c>
      <c r="AH6" s="23" t="s">
        <v>140</v>
      </c>
      <c r="AI6" s="21" t="s">
        <v>141</v>
      </c>
      <c r="AJ6" s="21"/>
      <c r="AK6" t="str">
        <f t="shared" si="3"/>
        <v>350353630830</v>
      </c>
      <c r="AL6" t="str">
        <f t="shared" si="4"/>
        <v>DD1503-103INAPPROVEDINLINE</v>
      </c>
      <c r="AM6" s="4">
        <v>45455</v>
      </c>
      <c r="AN6" t="s">
        <v>133</v>
      </c>
      <c r="AO6" t="s">
        <v>59</v>
      </c>
    </row>
    <row r="7" spans="1:41" outlineLevel="2" x14ac:dyDescent="0.45">
      <c r="A7" s="21">
        <v>3503536308</v>
      </c>
      <c r="B7" s="21">
        <v>40</v>
      </c>
      <c r="C7" s="21" t="s">
        <v>148</v>
      </c>
      <c r="D7" s="21" t="s">
        <v>74</v>
      </c>
      <c r="E7" s="21" t="s">
        <v>69</v>
      </c>
      <c r="F7" s="21" t="s">
        <v>70</v>
      </c>
      <c r="G7" s="21">
        <v>1089</v>
      </c>
      <c r="H7" s="21" t="s">
        <v>132</v>
      </c>
      <c r="I7" s="21">
        <v>456</v>
      </c>
      <c r="J7" s="22">
        <v>45322</v>
      </c>
      <c r="K7" s="21" t="s">
        <v>133</v>
      </c>
      <c r="L7" s="21" t="s">
        <v>134</v>
      </c>
      <c r="M7" s="22">
        <f t="shared" si="0"/>
        <v>45397</v>
      </c>
      <c r="N7" s="22">
        <v>45368</v>
      </c>
      <c r="O7" s="22">
        <f t="shared" si="1"/>
        <v>45354</v>
      </c>
      <c r="P7" s="22">
        <v>45409</v>
      </c>
      <c r="Q7" s="22">
        <f t="shared" si="2"/>
        <v>45405</v>
      </c>
      <c r="R7" s="22">
        <v>45407</v>
      </c>
      <c r="S7" s="22">
        <v>45407</v>
      </c>
      <c r="T7" s="21"/>
      <c r="U7" s="21"/>
      <c r="V7" s="21"/>
      <c r="W7" s="22"/>
      <c r="X7" s="21" t="s">
        <v>135</v>
      </c>
      <c r="Y7" s="21">
        <v>6</v>
      </c>
      <c r="Z7" s="21" t="s">
        <v>49</v>
      </c>
      <c r="AA7" s="21" t="s">
        <v>58</v>
      </c>
      <c r="AB7" s="21" t="s">
        <v>67</v>
      </c>
      <c r="AC7" s="21" t="s">
        <v>136</v>
      </c>
      <c r="AD7" s="21" t="s">
        <v>145</v>
      </c>
      <c r="AE7" s="21" t="s">
        <v>138</v>
      </c>
      <c r="AF7" s="21" t="s">
        <v>138</v>
      </c>
      <c r="AG7" s="21" t="s">
        <v>138</v>
      </c>
      <c r="AH7" s="23" t="s">
        <v>140</v>
      </c>
      <c r="AI7" s="21" t="s">
        <v>141</v>
      </c>
      <c r="AJ7" s="21"/>
      <c r="AK7" t="str">
        <f t="shared" si="3"/>
        <v>350353630840</v>
      </c>
      <c r="AL7" t="str">
        <f t="shared" si="4"/>
        <v>DD1503-103INAPPROVEDINLINE</v>
      </c>
      <c r="AM7" s="4">
        <v>45448</v>
      </c>
      <c r="AN7" t="s">
        <v>133</v>
      </c>
      <c r="AO7" t="s">
        <v>59</v>
      </c>
    </row>
    <row r="8" spans="1:41" outlineLevel="2" x14ac:dyDescent="0.45">
      <c r="A8" s="21">
        <v>3503536308</v>
      </c>
      <c r="B8" s="21">
        <v>10</v>
      </c>
      <c r="C8" s="21" t="s">
        <v>149</v>
      </c>
      <c r="D8" s="21" t="s">
        <v>78</v>
      </c>
      <c r="E8" s="21" t="s">
        <v>69</v>
      </c>
      <c r="F8" s="21" t="s">
        <v>70</v>
      </c>
      <c r="G8" s="21">
        <v>1089</v>
      </c>
      <c r="H8" s="21" t="s">
        <v>132</v>
      </c>
      <c r="I8" s="21">
        <v>330</v>
      </c>
      <c r="J8" s="22">
        <v>45322</v>
      </c>
      <c r="K8" s="21" t="s">
        <v>133</v>
      </c>
      <c r="L8" s="21" t="s">
        <v>134</v>
      </c>
      <c r="M8" s="22">
        <f t="shared" si="0"/>
        <v>45397</v>
      </c>
      <c r="N8" s="22">
        <v>45354</v>
      </c>
      <c r="O8" s="22">
        <f t="shared" si="1"/>
        <v>45340</v>
      </c>
      <c r="P8" s="22">
        <v>45409</v>
      </c>
      <c r="Q8" s="22">
        <f t="shared" si="2"/>
        <v>45405</v>
      </c>
      <c r="R8" s="22">
        <v>45407</v>
      </c>
      <c r="S8" s="22">
        <v>45407</v>
      </c>
      <c r="T8" s="21"/>
      <c r="U8" s="21"/>
      <c r="V8" s="21"/>
      <c r="W8" s="22"/>
      <c r="X8" s="21" t="s">
        <v>135</v>
      </c>
      <c r="Y8" s="21">
        <v>6</v>
      </c>
      <c r="Z8" s="21" t="s">
        <v>49</v>
      </c>
      <c r="AA8" s="21" t="s">
        <v>58</v>
      </c>
      <c r="AB8" s="21" t="s">
        <v>67</v>
      </c>
      <c r="AC8" s="21" t="s">
        <v>136</v>
      </c>
      <c r="AD8" s="21" t="s">
        <v>145</v>
      </c>
      <c r="AE8" s="21" t="s">
        <v>138</v>
      </c>
      <c r="AF8" s="21" t="s">
        <v>138</v>
      </c>
      <c r="AG8" s="21" t="s">
        <v>138</v>
      </c>
      <c r="AH8" s="23" t="s">
        <v>140</v>
      </c>
      <c r="AI8" s="21" t="s">
        <v>141</v>
      </c>
      <c r="AJ8" s="21"/>
      <c r="AK8" t="str">
        <f t="shared" si="3"/>
        <v>350353630810</v>
      </c>
      <c r="AL8" t="str">
        <f t="shared" si="4"/>
        <v>DD1503-118INAPPROVEDINLINE</v>
      </c>
      <c r="AM8" s="4">
        <v>45448</v>
      </c>
      <c r="AN8" t="s">
        <v>133</v>
      </c>
      <c r="AO8" t="s">
        <v>59</v>
      </c>
    </row>
    <row r="9" spans="1:41" outlineLevel="2" x14ac:dyDescent="0.45">
      <c r="A9" s="21">
        <v>3503545412</v>
      </c>
      <c r="B9" s="21">
        <v>10</v>
      </c>
      <c r="C9" s="21" t="s">
        <v>150</v>
      </c>
      <c r="D9" s="21" t="s">
        <v>81</v>
      </c>
      <c r="E9" s="21" t="s">
        <v>82</v>
      </c>
      <c r="F9" s="21" t="s">
        <v>70</v>
      </c>
      <c r="G9" s="21">
        <v>1089</v>
      </c>
      <c r="H9" s="21" t="s">
        <v>132</v>
      </c>
      <c r="I9" s="21">
        <v>180</v>
      </c>
      <c r="J9" s="22">
        <v>45322</v>
      </c>
      <c r="K9" s="21" t="s">
        <v>133</v>
      </c>
      <c r="L9" s="21" t="s">
        <v>134</v>
      </c>
      <c r="M9" s="22">
        <f t="shared" si="0"/>
        <v>45411</v>
      </c>
      <c r="N9" s="22">
        <v>45410</v>
      </c>
      <c r="O9" s="22">
        <f t="shared" si="1"/>
        <v>45396</v>
      </c>
      <c r="P9" s="22">
        <v>45423</v>
      </c>
      <c r="Q9" s="22">
        <f t="shared" si="2"/>
        <v>45418</v>
      </c>
      <c r="R9" s="22">
        <v>45420</v>
      </c>
      <c r="S9" s="22">
        <v>45420</v>
      </c>
      <c r="T9" s="21"/>
      <c r="U9" s="21"/>
      <c r="V9" s="21"/>
      <c r="W9" s="22"/>
      <c r="X9" s="21" t="s">
        <v>135</v>
      </c>
      <c r="Y9" s="21">
        <v>6</v>
      </c>
      <c r="Z9" s="21" t="s">
        <v>49</v>
      </c>
      <c r="AA9" s="21" t="s">
        <v>58</v>
      </c>
      <c r="AB9" s="21" t="s">
        <v>67</v>
      </c>
      <c r="AC9" s="21" t="s">
        <v>136</v>
      </c>
      <c r="AD9" s="21" t="s">
        <v>145</v>
      </c>
      <c r="AE9" s="21" t="s">
        <v>138</v>
      </c>
      <c r="AF9" s="21" t="s">
        <v>138</v>
      </c>
      <c r="AG9" s="21" t="s">
        <v>151</v>
      </c>
      <c r="AH9" s="23" t="s">
        <v>146</v>
      </c>
      <c r="AI9" s="21" t="s">
        <v>141</v>
      </c>
      <c r="AJ9" s="24"/>
      <c r="AK9" t="str">
        <f t="shared" si="3"/>
        <v>350354541210</v>
      </c>
      <c r="AL9" t="str">
        <f t="shared" si="4"/>
        <v>DD1873-600INAPPROVEDINLINE</v>
      </c>
      <c r="AM9" s="4">
        <v>45462</v>
      </c>
      <c r="AN9" t="s">
        <v>133</v>
      </c>
      <c r="AO9" t="s">
        <v>59</v>
      </c>
    </row>
    <row r="10" spans="1:41" outlineLevel="2" x14ac:dyDescent="0.45">
      <c r="A10" s="21">
        <v>3503536309</v>
      </c>
      <c r="B10" s="21">
        <v>10</v>
      </c>
      <c r="C10" s="21" t="s">
        <v>152</v>
      </c>
      <c r="D10" s="21" t="s">
        <v>87</v>
      </c>
      <c r="E10" s="21" t="s">
        <v>88</v>
      </c>
      <c r="F10" s="21" t="s">
        <v>70</v>
      </c>
      <c r="G10" s="21">
        <v>1089</v>
      </c>
      <c r="H10" s="21" t="s">
        <v>132</v>
      </c>
      <c r="I10" s="21">
        <v>168</v>
      </c>
      <c r="J10" s="22">
        <v>45322</v>
      </c>
      <c r="K10" s="21" t="s">
        <v>133</v>
      </c>
      <c r="L10" s="21" t="s">
        <v>134</v>
      </c>
      <c r="M10" s="22">
        <f t="shared" si="0"/>
        <v>45390</v>
      </c>
      <c r="N10" s="22">
        <v>45354</v>
      </c>
      <c r="O10" s="22">
        <f t="shared" si="1"/>
        <v>45340</v>
      </c>
      <c r="P10" s="22">
        <v>45402</v>
      </c>
      <c r="Q10" s="22">
        <f t="shared" si="2"/>
        <v>45397</v>
      </c>
      <c r="R10" s="22">
        <v>45399</v>
      </c>
      <c r="S10" s="22">
        <v>45399</v>
      </c>
      <c r="T10" s="21"/>
      <c r="U10" s="21"/>
      <c r="V10" s="21"/>
      <c r="W10" s="22"/>
      <c r="X10" s="21" t="s">
        <v>135</v>
      </c>
      <c r="Y10" s="21">
        <v>6</v>
      </c>
      <c r="Z10" s="21" t="s">
        <v>49</v>
      </c>
      <c r="AA10" s="21" t="s">
        <v>58</v>
      </c>
      <c r="AB10" s="21" t="s">
        <v>86</v>
      </c>
      <c r="AC10" s="21" t="s">
        <v>136</v>
      </c>
      <c r="AD10" s="21" t="s">
        <v>153</v>
      </c>
      <c r="AE10" s="21" t="s">
        <v>138</v>
      </c>
      <c r="AF10" s="21" t="s">
        <v>138</v>
      </c>
      <c r="AG10" s="21" t="s">
        <v>154</v>
      </c>
      <c r="AH10" s="23" t="s">
        <v>140</v>
      </c>
      <c r="AI10" s="21" t="s">
        <v>141</v>
      </c>
      <c r="AJ10" s="21"/>
      <c r="AK10" t="str">
        <f t="shared" si="3"/>
        <v>350353630910</v>
      </c>
      <c r="AL10" t="str">
        <f t="shared" si="4"/>
        <v>FB2208-003INAPPROVEDINLINE</v>
      </c>
      <c r="AM10" s="4">
        <v>45441</v>
      </c>
      <c r="AN10" t="s">
        <v>133</v>
      </c>
      <c r="AO10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"/>
  <sheetViews>
    <sheetView workbookViewId="0">
      <selection activeCell="D22" sqref="D22:D23"/>
    </sheetView>
  </sheetViews>
  <sheetFormatPr defaultRowHeight="14.25" x14ac:dyDescent="0.45"/>
  <cols>
    <col min="2" max="2" width="13" customWidth="1"/>
  </cols>
  <sheetData>
    <row r="1" spans="1:63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>
        <v>5</v>
      </c>
      <c r="AF1" s="3">
        <v>5.5</v>
      </c>
      <c r="AG1" s="3">
        <v>6</v>
      </c>
      <c r="AH1" s="3">
        <v>6.5</v>
      </c>
      <c r="AI1" s="3">
        <v>7</v>
      </c>
      <c r="AJ1" s="3">
        <v>7.5</v>
      </c>
      <c r="AK1" s="3">
        <v>8</v>
      </c>
      <c r="AL1" s="3">
        <v>8.5</v>
      </c>
      <c r="AM1" s="3">
        <v>9</v>
      </c>
      <c r="AN1" s="3">
        <v>9.5</v>
      </c>
      <c r="AO1" s="3">
        <v>10</v>
      </c>
      <c r="AP1" s="3">
        <v>10.5</v>
      </c>
      <c r="AQ1" s="3">
        <v>11</v>
      </c>
      <c r="AR1" s="1">
        <v>11.5</v>
      </c>
      <c r="AS1" s="1">
        <v>12</v>
      </c>
      <c r="AT1" s="1">
        <v>12.5</v>
      </c>
      <c r="AU1" s="1">
        <v>13</v>
      </c>
      <c r="AV1" s="1">
        <v>14</v>
      </c>
      <c r="AW1" s="1">
        <v>15</v>
      </c>
      <c r="AX1" s="1" t="s">
        <v>30</v>
      </c>
      <c r="AY1" s="1" t="s">
        <v>31</v>
      </c>
      <c r="AZ1" s="1" t="s">
        <v>32</v>
      </c>
      <c r="BA1" s="1" t="s">
        <v>33</v>
      </c>
      <c r="BB1" s="1" t="s">
        <v>34</v>
      </c>
      <c r="BC1" s="1" t="s">
        <v>35</v>
      </c>
      <c r="BD1" s="1" t="s">
        <v>36</v>
      </c>
      <c r="BE1" s="1" t="s">
        <v>37</v>
      </c>
      <c r="BF1" s="1" t="s">
        <v>38</v>
      </c>
      <c r="BG1" s="1" t="s">
        <v>39</v>
      </c>
      <c r="BH1" s="1" t="s">
        <v>40</v>
      </c>
      <c r="BI1" s="1" t="s">
        <v>41</v>
      </c>
      <c r="BJ1" s="1" t="s">
        <v>42</v>
      </c>
      <c r="BK1" s="1" t="s">
        <v>43</v>
      </c>
    </row>
    <row r="2" spans="1:63" x14ac:dyDescent="0.45">
      <c r="A2" t="s">
        <v>44</v>
      </c>
      <c r="B2">
        <v>3503536307</v>
      </c>
      <c r="C2">
        <v>10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s="4">
        <v>45322</v>
      </c>
      <c r="K2" t="s">
        <v>51</v>
      </c>
      <c r="L2">
        <v>2024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>
        <v>398</v>
      </c>
      <c r="S2" t="s">
        <v>57</v>
      </c>
      <c r="T2">
        <v>1089</v>
      </c>
      <c r="U2" t="s">
        <v>58</v>
      </c>
      <c r="V2" t="s">
        <v>50</v>
      </c>
      <c r="W2" t="s">
        <v>50</v>
      </c>
      <c r="X2" t="s">
        <v>59</v>
      </c>
      <c r="Y2" t="s">
        <v>50</v>
      </c>
      <c r="Z2" s="4">
        <v>45412</v>
      </c>
      <c r="AA2" s="4">
        <v>45409</v>
      </c>
      <c r="AB2" s="4">
        <v>45406</v>
      </c>
      <c r="AC2" t="s">
        <v>60</v>
      </c>
      <c r="AD2" t="s">
        <v>61</v>
      </c>
      <c r="AE2" s="3"/>
      <c r="AF2" s="3"/>
      <c r="AG2" s="3"/>
      <c r="AH2" s="3"/>
      <c r="AI2" s="3"/>
      <c r="AJ2" s="3"/>
      <c r="AK2" s="3">
        <v>36</v>
      </c>
      <c r="AL2" s="3"/>
      <c r="AM2" s="3">
        <v>60</v>
      </c>
      <c r="AN2" s="3"/>
      <c r="AO2" s="3">
        <v>72</v>
      </c>
      <c r="AP2" s="3"/>
      <c r="AQ2" s="3">
        <v>48</v>
      </c>
      <c r="AR2" s="1"/>
      <c r="AS2" s="1">
        <v>6</v>
      </c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>
        <v>222</v>
      </c>
    </row>
    <row r="3" spans="1:63" x14ac:dyDescent="0.45">
      <c r="A3" t="s">
        <v>44</v>
      </c>
      <c r="B3">
        <v>3503536307</v>
      </c>
      <c r="C3">
        <v>20</v>
      </c>
      <c r="D3" t="s">
        <v>45</v>
      </c>
      <c r="E3" t="s">
        <v>62</v>
      </c>
      <c r="F3" t="s">
        <v>47</v>
      </c>
      <c r="G3" t="s">
        <v>48</v>
      </c>
      <c r="H3" t="s">
        <v>49</v>
      </c>
      <c r="I3" t="s">
        <v>50</v>
      </c>
      <c r="J3" s="4">
        <v>45322</v>
      </c>
      <c r="K3" t="s">
        <v>51</v>
      </c>
      <c r="L3">
        <v>2024</v>
      </c>
      <c r="M3" t="s">
        <v>52</v>
      </c>
      <c r="N3" t="s">
        <v>63</v>
      </c>
      <c r="O3" t="s">
        <v>54</v>
      </c>
      <c r="P3" t="s">
        <v>55</v>
      </c>
      <c r="Q3" t="s">
        <v>64</v>
      </c>
      <c r="R3">
        <v>398</v>
      </c>
      <c r="S3" t="s">
        <v>57</v>
      </c>
      <c r="T3">
        <v>1089</v>
      </c>
      <c r="U3" t="s">
        <v>58</v>
      </c>
      <c r="V3" t="s">
        <v>50</v>
      </c>
      <c r="W3" t="s">
        <v>50</v>
      </c>
      <c r="X3" t="s">
        <v>59</v>
      </c>
      <c r="Y3" t="s">
        <v>50</v>
      </c>
      <c r="Z3" s="4">
        <v>45419</v>
      </c>
      <c r="AA3" s="4">
        <v>45416</v>
      </c>
      <c r="AB3" s="4">
        <v>45412</v>
      </c>
      <c r="AC3" t="s">
        <v>60</v>
      </c>
      <c r="AD3" t="s">
        <v>61</v>
      </c>
      <c r="AE3" s="3"/>
      <c r="AF3" s="3"/>
      <c r="AG3" s="3"/>
      <c r="AH3" s="3"/>
      <c r="AI3" s="3"/>
      <c r="AJ3" s="3"/>
      <c r="AK3" s="3">
        <v>24</v>
      </c>
      <c r="AL3" s="3"/>
      <c r="AM3" s="3">
        <v>42</v>
      </c>
      <c r="AN3" s="3"/>
      <c r="AO3" s="3">
        <v>48</v>
      </c>
      <c r="AP3" s="3"/>
      <c r="AQ3" s="3">
        <v>24</v>
      </c>
      <c r="AR3" s="1"/>
      <c r="AS3" s="1">
        <v>6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>
        <v>144</v>
      </c>
    </row>
    <row r="4" spans="1:63" x14ac:dyDescent="0.45">
      <c r="A4" t="s">
        <v>44</v>
      </c>
      <c r="B4">
        <v>3503536307</v>
      </c>
      <c r="C4">
        <v>30</v>
      </c>
      <c r="D4" t="s">
        <v>45</v>
      </c>
      <c r="E4" t="s">
        <v>65</v>
      </c>
      <c r="F4" t="s">
        <v>47</v>
      </c>
      <c r="G4" t="s">
        <v>48</v>
      </c>
      <c r="H4" t="s">
        <v>49</v>
      </c>
      <c r="I4" t="s">
        <v>50</v>
      </c>
      <c r="J4" s="4">
        <v>45322</v>
      </c>
      <c r="K4" t="s">
        <v>51</v>
      </c>
      <c r="L4">
        <v>2024</v>
      </c>
      <c r="M4" t="s">
        <v>52</v>
      </c>
      <c r="N4" t="s">
        <v>63</v>
      </c>
      <c r="O4" t="s">
        <v>54</v>
      </c>
      <c r="P4" t="s">
        <v>55</v>
      </c>
      <c r="Q4" t="s">
        <v>64</v>
      </c>
      <c r="R4">
        <v>398</v>
      </c>
      <c r="S4" t="s">
        <v>57</v>
      </c>
      <c r="T4">
        <v>1089</v>
      </c>
      <c r="U4" t="s">
        <v>58</v>
      </c>
      <c r="V4" t="s">
        <v>50</v>
      </c>
      <c r="W4" t="s">
        <v>50</v>
      </c>
      <c r="X4" t="s">
        <v>59</v>
      </c>
      <c r="Y4" t="s">
        <v>50</v>
      </c>
      <c r="Z4" s="4">
        <v>45412</v>
      </c>
      <c r="AA4" s="4">
        <v>45409</v>
      </c>
      <c r="AB4" s="4">
        <v>45406</v>
      </c>
      <c r="AC4" t="s">
        <v>60</v>
      </c>
      <c r="AD4" t="s">
        <v>61</v>
      </c>
      <c r="AE4" s="3"/>
      <c r="AF4" s="3"/>
      <c r="AG4" s="3"/>
      <c r="AH4" s="3"/>
      <c r="AI4" s="3"/>
      <c r="AJ4" s="3"/>
      <c r="AK4" s="3">
        <v>12</v>
      </c>
      <c r="AL4" s="3"/>
      <c r="AM4" s="3">
        <v>54</v>
      </c>
      <c r="AN4" s="3"/>
      <c r="AO4" s="3">
        <v>72</v>
      </c>
      <c r="AP4" s="3"/>
      <c r="AQ4" s="3">
        <v>42</v>
      </c>
      <c r="AR4" s="1"/>
      <c r="AS4" s="1">
        <v>6</v>
      </c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>
        <v>186</v>
      </c>
    </row>
    <row r="5" spans="1:63" x14ac:dyDescent="0.45">
      <c r="A5" t="s">
        <v>44</v>
      </c>
      <c r="B5">
        <v>3503536308</v>
      </c>
      <c r="C5">
        <v>20</v>
      </c>
      <c r="D5" t="s">
        <v>45</v>
      </c>
      <c r="E5" t="s">
        <v>66</v>
      </c>
      <c r="F5" t="s">
        <v>47</v>
      </c>
      <c r="G5" t="s">
        <v>48</v>
      </c>
      <c r="H5" t="s">
        <v>49</v>
      </c>
      <c r="I5" t="s">
        <v>50</v>
      </c>
      <c r="J5" s="4">
        <v>45322</v>
      </c>
      <c r="K5" t="s">
        <v>51</v>
      </c>
      <c r="L5">
        <v>2024</v>
      </c>
      <c r="M5" t="s">
        <v>67</v>
      </c>
      <c r="N5" t="s">
        <v>68</v>
      </c>
      <c r="O5" t="s">
        <v>69</v>
      </c>
      <c r="P5" t="s">
        <v>70</v>
      </c>
      <c r="Q5" t="s">
        <v>64</v>
      </c>
      <c r="R5">
        <v>398</v>
      </c>
      <c r="S5" t="s">
        <v>57</v>
      </c>
      <c r="T5">
        <v>1089</v>
      </c>
      <c r="U5" t="s">
        <v>58</v>
      </c>
      <c r="V5" t="s">
        <v>50</v>
      </c>
      <c r="W5" t="s">
        <v>50</v>
      </c>
      <c r="X5" t="s">
        <v>59</v>
      </c>
      <c r="Y5" t="s">
        <v>50</v>
      </c>
      <c r="Z5" s="4">
        <v>45384</v>
      </c>
      <c r="AA5" s="4">
        <v>45416</v>
      </c>
      <c r="AB5" s="4">
        <v>45414</v>
      </c>
      <c r="AC5" t="s">
        <v>71</v>
      </c>
      <c r="AD5" t="s">
        <v>72</v>
      </c>
      <c r="AE5" s="3"/>
      <c r="AF5" s="3"/>
      <c r="AG5" s="3"/>
      <c r="AH5" s="3">
        <v>90</v>
      </c>
      <c r="AI5" s="3"/>
      <c r="AJ5" s="3">
        <v>132</v>
      </c>
      <c r="AK5" s="3"/>
      <c r="AL5" s="3">
        <v>144</v>
      </c>
      <c r="AM5" s="3"/>
      <c r="AN5" s="3">
        <v>54</v>
      </c>
      <c r="AO5" s="3"/>
      <c r="AP5" s="3">
        <v>6</v>
      </c>
      <c r="AQ5" s="3"/>
      <c r="AR5" s="1">
        <v>6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>
        <v>432</v>
      </c>
    </row>
    <row r="6" spans="1:63" x14ac:dyDescent="0.45">
      <c r="A6" t="s">
        <v>44</v>
      </c>
      <c r="B6">
        <v>3503536308</v>
      </c>
      <c r="C6">
        <v>30</v>
      </c>
      <c r="D6" t="s">
        <v>45</v>
      </c>
      <c r="E6" t="s">
        <v>73</v>
      </c>
      <c r="F6" t="s">
        <v>47</v>
      </c>
      <c r="G6" t="s">
        <v>48</v>
      </c>
      <c r="H6" t="s">
        <v>49</v>
      </c>
      <c r="I6" t="s">
        <v>50</v>
      </c>
      <c r="J6" s="4">
        <v>45322</v>
      </c>
      <c r="K6" t="s">
        <v>51</v>
      </c>
      <c r="L6">
        <v>2024</v>
      </c>
      <c r="M6" t="s">
        <v>67</v>
      </c>
      <c r="N6" t="s">
        <v>74</v>
      </c>
      <c r="O6" t="s">
        <v>69</v>
      </c>
      <c r="P6" t="s">
        <v>70</v>
      </c>
      <c r="Q6" t="s">
        <v>75</v>
      </c>
      <c r="R6">
        <v>398</v>
      </c>
      <c r="S6" t="s">
        <v>57</v>
      </c>
      <c r="T6">
        <v>1089</v>
      </c>
      <c r="U6" t="s">
        <v>58</v>
      </c>
      <c r="V6" t="s">
        <v>50</v>
      </c>
      <c r="W6" t="s">
        <v>50</v>
      </c>
      <c r="X6" t="s">
        <v>59</v>
      </c>
      <c r="Y6" t="s">
        <v>50</v>
      </c>
      <c r="Z6" s="4">
        <v>45412</v>
      </c>
      <c r="AA6" s="4">
        <v>45416</v>
      </c>
      <c r="AB6" s="4">
        <v>45412</v>
      </c>
      <c r="AC6" t="s">
        <v>71</v>
      </c>
      <c r="AD6" t="s">
        <v>72</v>
      </c>
      <c r="AE6" s="3"/>
      <c r="AF6" s="3">
        <v>12</v>
      </c>
      <c r="AG6" s="3"/>
      <c r="AH6" s="3">
        <v>48</v>
      </c>
      <c r="AI6" s="3"/>
      <c r="AJ6" s="3">
        <v>78</v>
      </c>
      <c r="AK6" s="3"/>
      <c r="AL6" s="3">
        <v>66</v>
      </c>
      <c r="AM6" s="3"/>
      <c r="AN6" s="3">
        <v>36</v>
      </c>
      <c r="AO6" s="3"/>
      <c r="AP6" s="3">
        <v>6</v>
      </c>
      <c r="AQ6" s="3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>
        <v>246</v>
      </c>
    </row>
    <row r="7" spans="1:63" x14ac:dyDescent="0.45">
      <c r="A7" t="s">
        <v>44</v>
      </c>
      <c r="B7">
        <v>3503536308</v>
      </c>
      <c r="C7">
        <v>40</v>
      </c>
      <c r="D7" t="s">
        <v>45</v>
      </c>
      <c r="E7" t="s">
        <v>76</v>
      </c>
      <c r="F7" t="s">
        <v>47</v>
      </c>
      <c r="G7" t="s">
        <v>48</v>
      </c>
      <c r="H7" t="s">
        <v>49</v>
      </c>
      <c r="I7" t="s">
        <v>50</v>
      </c>
      <c r="J7" s="4">
        <v>45322</v>
      </c>
      <c r="K7" t="s">
        <v>51</v>
      </c>
      <c r="L7">
        <v>2024</v>
      </c>
      <c r="M7" t="s">
        <v>67</v>
      </c>
      <c r="N7" t="s">
        <v>74</v>
      </c>
      <c r="O7" t="s">
        <v>69</v>
      </c>
      <c r="P7" t="s">
        <v>70</v>
      </c>
      <c r="Q7" t="s">
        <v>75</v>
      </c>
      <c r="R7">
        <v>398</v>
      </c>
      <c r="S7" t="s">
        <v>57</v>
      </c>
      <c r="T7">
        <v>1089</v>
      </c>
      <c r="U7" t="s">
        <v>58</v>
      </c>
      <c r="V7" t="s">
        <v>50</v>
      </c>
      <c r="W7" t="s">
        <v>50</v>
      </c>
      <c r="X7" t="s">
        <v>59</v>
      </c>
      <c r="Y7" t="s">
        <v>50</v>
      </c>
      <c r="Z7" s="4">
        <v>45405</v>
      </c>
      <c r="AA7" s="4">
        <v>45409</v>
      </c>
      <c r="AB7" s="4">
        <v>45407</v>
      </c>
      <c r="AC7" t="s">
        <v>71</v>
      </c>
      <c r="AD7" t="s">
        <v>72</v>
      </c>
      <c r="AE7" s="3"/>
      <c r="AF7" s="3">
        <v>6</v>
      </c>
      <c r="AG7" s="3"/>
      <c r="AH7" s="3">
        <v>78</v>
      </c>
      <c r="AI7" s="3"/>
      <c r="AJ7" s="3">
        <v>144</v>
      </c>
      <c r="AK7" s="3"/>
      <c r="AL7" s="3">
        <v>150</v>
      </c>
      <c r="AM7" s="3"/>
      <c r="AN7" s="3">
        <v>78</v>
      </c>
      <c r="AO7" s="3"/>
      <c r="AP7" s="3"/>
      <c r="AQ7" s="3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>
        <v>456</v>
      </c>
    </row>
    <row r="8" spans="1:63" x14ac:dyDescent="0.45">
      <c r="A8" t="s">
        <v>44</v>
      </c>
      <c r="B8">
        <v>3503536308</v>
      </c>
      <c r="C8">
        <v>10</v>
      </c>
      <c r="D8" t="s">
        <v>45</v>
      </c>
      <c r="E8" t="s">
        <v>77</v>
      </c>
      <c r="F8" t="s">
        <v>47</v>
      </c>
      <c r="G8" t="s">
        <v>48</v>
      </c>
      <c r="H8" t="s">
        <v>49</v>
      </c>
      <c r="I8" t="s">
        <v>50</v>
      </c>
      <c r="J8" s="4">
        <v>45322</v>
      </c>
      <c r="K8" t="s">
        <v>51</v>
      </c>
      <c r="L8">
        <v>2024</v>
      </c>
      <c r="M8" t="s">
        <v>67</v>
      </c>
      <c r="N8" t="s">
        <v>78</v>
      </c>
      <c r="O8" t="s">
        <v>69</v>
      </c>
      <c r="P8" t="s">
        <v>70</v>
      </c>
      <c r="Q8" t="s">
        <v>79</v>
      </c>
      <c r="R8">
        <v>398</v>
      </c>
      <c r="S8" t="s">
        <v>57</v>
      </c>
      <c r="T8">
        <v>1089</v>
      </c>
      <c r="U8" t="s">
        <v>58</v>
      </c>
      <c r="V8" t="s">
        <v>50</v>
      </c>
      <c r="W8" t="s">
        <v>50</v>
      </c>
      <c r="X8" t="s">
        <v>59</v>
      </c>
      <c r="Y8" t="s">
        <v>50</v>
      </c>
      <c r="Z8" s="4">
        <v>45419</v>
      </c>
      <c r="AA8" s="4">
        <v>45409</v>
      </c>
      <c r="AB8" s="4">
        <v>45407</v>
      </c>
      <c r="AC8" t="s">
        <v>71</v>
      </c>
      <c r="AD8" t="s">
        <v>72</v>
      </c>
      <c r="AE8" s="3"/>
      <c r="AF8" s="3">
        <v>12</v>
      </c>
      <c r="AG8" s="3"/>
      <c r="AH8" s="3">
        <v>60</v>
      </c>
      <c r="AI8" s="3"/>
      <c r="AJ8" s="3">
        <v>102</v>
      </c>
      <c r="AK8" s="3"/>
      <c r="AL8" s="3">
        <v>96</v>
      </c>
      <c r="AM8" s="3"/>
      <c r="AN8" s="3">
        <v>54</v>
      </c>
      <c r="AO8" s="3"/>
      <c r="AP8" s="3">
        <v>6</v>
      </c>
      <c r="AQ8" s="3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>
        <v>330</v>
      </c>
    </row>
    <row r="9" spans="1:63" x14ac:dyDescent="0.45">
      <c r="A9" t="s">
        <v>44</v>
      </c>
      <c r="B9">
        <v>3503545412</v>
      </c>
      <c r="C9">
        <v>10</v>
      </c>
      <c r="D9" t="s">
        <v>45</v>
      </c>
      <c r="E9" t="s">
        <v>80</v>
      </c>
      <c r="F9" t="s">
        <v>47</v>
      </c>
      <c r="G9" t="s">
        <v>48</v>
      </c>
      <c r="H9" t="s">
        <v>49</v>
      </c>
      <c r="I9" t="s">
        <v>50</v>
      </c>
      <c r="J9" s="4">
        <v>45324</v>
      </c>
      <c r="K9" t="s">
        <v>51</v>
      </c>
      <c r="L9">
        <v>2024</v>
      </c>
      <c r="M9" t="s">
        <v>67</v>
      </c>
      <c r="N9" t="s">
        <v>81</v>
      </c>
      <c r="O9" t="s">
        <v>82</v>
      </c>
      <c r="P9" t="s">
        <v>70</v>
      </c>
      <c r="Q9" t="s">
        <v>83</v>
      </c>
      <c r="R9">
        <v>398</v>
      </c>
      <c r="S9" t="s">
        <v>57</v>
      </c>
      <c r="T9">
        <v>1089</v>
      </c>
      <c r="U9" t="s">
        <v>58</v>
      </c>
      <c r="V9" t="s">
        <v>50</v>
      </c>
      <c r="W9" t="s">
        <v>50</v>
      </c>
      <c r="X9" t="s">
        <v>59</v>
      </c>
      <c r="Y9" t="s">
        <v>50</v>
      </c>
      <c r="Z9" s="4">
        <v>45412</v>
      </c>
      <c r="AA9" s="4">
        <v>45423</v>
      </c>
      <c r="AB9" s="4">
        <v>45423</v>
      </c>
      <c r="AC9" t="s">
        <v>71</v>
      </c>
      <c r="AD9" t="s">
        <v>84</v>
      </c>
      <c r="AE9" s="3"/>
      <c r="AF9" s="3">
        <v>4</v>
      </c>
      <c r="AG9" s="3"/>
      <c r="AH9" s="3">
        <v>32</v>
      </c>
      <c r="AI9" s="3"/>
      <c r="AJ9" s="3">
        <v>56</v>
      </c>
      <c r="AK9" s="3"/>
      <c r="AL9" s="3">
        <v>56</v>
      </c>
      <c r="AM9" s="3"/>
      <c r="AN9" s="3">
        <v>30</v>
      </c>
      <c r="AO9" s="3"/>
      <c r="AP9" s="3">
        <v>2</v>
      </c>
      <c r="AQ9" s="3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>
        <v>180</v>
      </c>
    </row>
    <row r="10" spans="1:63" x14ac:dyDescent="0.45">
      <c r="A10" t="s">
        <v>44</v>
      </c>
      <c r="B10">
        <v>3503536309</v>
      </c>
      <c r="C10">
        <v>10</v>
      </c>
      <c r="D10" t="s">
        <v>45</v>
      </c>
      <c r="E10" t="s">
        <v>85</v>
      </c>
      <c r="F10" t="s">
        <v>47</v>
      </c>
      <c r="G10" t="s">
        <v>48</v>
      </c>
      <c r="H10" t="s">
        <v>49</v>
      </c>
      <c r="I10" t="s">
        <v>50</v>
      </c>
      <c r="J10" s="4">
        <v>45322</v>
      </c>
      <c r="K10" t="s">
        <v>51</v>
      </c>
      <c r="L10">
        <v>2024</v>
      </c>
      <c r="M10" t="s">
        <v>86</v>
      </c>
      <c r="N10" t="s">
        <v>87</v>
      </c>
      <c r="O10" t="s">
        <v>88</v>
      </c>
      <c r="P10" t="s">
        <v>70</v>
      </c>
      <c r="Q10" t="s">
        <v>89</v>
      </c>
      <c r="R10">
        <v>398</v>
      </c>
      <c r="S10" t="s">
        <v>57</v>
      </c>
      <c r="T10">
        <v>1089</v>
      </c>
      <c r="U10" t="s">
        <v>58</v>
      </c>
      <c r="V10" t="s">
        <v>50</v>
      </c>
      <c r="W10" t="s">
        <v>50</v>
      </c>
      <c r="X10" t="s">
        <v>59</v>
      </c>
      <c r="Y10" t="s">
        <v>50</v>
      </c>
      <c r="Z10" s="4">
        <v>45412</v>
      </c>
      <c r="AA10" s="4">
        <v>45402</v>
      </c>
      <c r="AB10" s="4">
        <v>45399</v>
      </c>
      <c r="AC10" t="s">
        <v>90</v>
      </c>
      <c r="AD10" t="s">
        <v>91</v>
      </c>
      <c r="AE10" s="3"/>
      <c r="AF10" s="3"/>
      <c r="AG10" s="3"/>
      <c r="AH10" s="3">
        <v>24</v>
      </c>
      <c r="AI10" s="3"/>
      <c r="AJ10" s="3">
        <v>66</v>
      </c>
      <c r="AK10" s="3"/>
      <c r="AL10" s="3">
        <v>54</v>
      </c>
      <c r="AM10" s="3"/>
      <c r="AN10" s="3">
        <v>24</v>
      </c>
      <c r="AO10" s="3"/>
      <c r="AP10" s="3"/>
      <c r="AQ10" s="3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MRP</vt:lpstr>
      <vt:lpstr>SIZE RUN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Dewi</dc:creator>
  <cp:lastModifiedBy>Quyen</cp:lastModifiedBy>
  <dcterms:created xsi:type="dcterms:W3CDTF">2024-03-07T01:37:26Z</dcterms:created>
  <dcterms:modified xsi:type="dcterms:W3CDTF">2024-06-04T08:51:22Z</dcterms:modified>
</cp:coreProperties>
</file>