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-Name\Hanh-Hang-request\CÁC CTY\CÁC CTY -update-system\VW2\"/>
    </mc:Choice>
  </mc:AlternateContent>
  <bookViews>
    <workbookView xWindow="960" yWindow="675" windowWidth="14400" windowHeight="7155"/>
  </bookViews>
  <sheets>
    <sheet name="Men~W's" sheetId="3" r:id="rId1"/>
    <sheet name="PS~GS" sheetId="2" r:id="rId2"/>
    <sheet name="Promo PS~GS" sheetId="4" r:id="rId3"/>
    <sheet name="Promo Men~W's" sheetId="5" r:id="rId4"/>
    <sheet name="SLT" sheetId="1" r:id="rId5"/>
  </sheets>
  <definedNames>
    <definedName name="_xlnm._FilterDatabase" localSheetId="0" hidden="1">'Men~W''s'!$A$5:$AZ$334</definedName>
    <definedName name="_xlnm._FilterDatabase" localSheetId="3" hidden="1">'Promo Men~W''s'!$A$4:$AZ$4</definedName>
    <definedName name="_xlnm._FilterDatabase" localSheetId="2" hidden="1">'Promo PS~GS'!$A$4:$BA$9</definedName>
    <definedName name="_xlnm._FilterDatabase" localSheetId="1" hidden="1">'PS~GS'!$A$4:$BA$4</definedName>
    <definedName name="_xlnm._FilterDatabase" localSheetId="4" hidden="1">SLT!$A$4:$AZ$4</definedName>
  </definedNames>
  <calcPr calcId="152511"/>
</workbook>
</file>

<file path=xl/calcChain.xml><?xml version="1.0" encoding="utf-8"?>
<calcChain xmlns="http://schemas.openxmlformats.org/spreadsheetml/2006/main">
  <c r="BA96" i="2" l="1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S95" i="2"/>
  <c r="N95" i="2"/>
  <c r="AZ335" i="3"/>
  <c r="AY335" i="3"/>
  <c r="AX335" i="3"/>
  <c r="AW335" i="3"/>
  <c r="AV335" i="3"/>
  <c r="AU335" i="3"/>
  <c r="AT335" i="3"/>
  <c r="AS335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4" i="3"/>
  <c r="S335" i="3" s="1"/>
  <c r="N334" i="3"/>
  <c r="AZ333" i="3"/>
  <c r="AY333" i="3"/>
  <c r="AX333" i="3"/>
  <c r="AW333" i="3"/>
  <c r="AV333" i="3"/>
  <c r="AU333" i="3"/>
  <c r="AT333" i="3"/>
  <c r="AS333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2" i="3"/>
  <c r="S333" i="3" s="1"/>
  <c r="N332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0" i="3"/>
  <c r="S331" i="3" s="1"/>
  <c r="N330" i="3"/>
  <c r="AZ329" i="3"/>
  <c r="AY329" i="3"/>
  <c r="AX329" i="3"/>
  <c r="AW329" i="3"/>
  <c r="AV329" i="3"/>
  <c r="AU329" i="3"/>
  <c r="AT329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8" i="3"/>
  <c r="S329" i="3" s="1"/>
  <c r="N328" i="3"/>
  <c r="AZ327" i="3"/>
  <c r="AY327" i="3"/>
  <c r="AX327" i="3"/>
  <c r="AW327" i="3"/>
  <c r="AV327" i="3"/>
  <c r="AU327" i="3"/>
  <c r="AT327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6" i="3"/>
  <c r="S327" i="3" s="1"/>
  <c r="N326" i="3"/>
  <c r="T172" i="3" l="1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N171" i="3"/>
  <c r="S171" i="3"/>
  <c r="N170" i="3"/>
  <c r="S170" i="3"/>
  <c r="N169" i="3"/>
  <c r="S169" i="3"/>
  <c r="S168" i="3"/>
  <c r="N168" i="3"/>
  <c r="T202" i="3" l="1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S201" i="3"/>
  <c r="N201" i="3"/>
  <c r="AZ325" i="3" l="1"/>
  <c r="AY325" i="3"/>
  <c r="AX325" i="3"/>
  <c r="AW325" i="3"/>
  <c r="AV325" i="3"/>
  <c r="AU325" i="3"/>
  <c r="AT325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4" i="3"/>
  <c r="N324" i="3"/>
  <c r="S323" i="3"/>
  <c r="N323" i="3"/>
  <c r="AZ322" i="3"/>
  <c r="AY322" i="3"/>
  <c r="AX322" i="3"/>
  <c r="AW322" i="3"/>
  <c r="AV322" i="3"/>
  <c r="AU322" i="3"/>
  <c r="AT322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1" i="3"/>
  <c r="S322" i="3" s="1"/>
  <c r="N321" i="3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3" i="2"/>
  <c r="S94" i="2" s="1"/>
  <c r="N93" i="2"/>
  <c r="S325" i="3" l="1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1" i="5"/>
  <c r="S32" i="5" s="1"/>
  <c r="N31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29" i="5"/>
  <c r="S30" i="5" s="1"/>
  <c r="N29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7" i="5"/>
  <c r="S28" i="5" s="1"/>
  <c r="N27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5" i="5"/>
  <c r="S26" i="5" s="1"/>
  <c r="N25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3" i="5"/>
  <c r="S24" i="5" s="1"/>
  <c r="N23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1" i="5"/>
  <c r="S22" i="5" s="1"/>
  <c r="N21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19" i="5"/>
  <c r="S20" i="5" s="1"/>
  <c r="N19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7" i="5"/>
  <c r="S18" i="5" s="1"/>
  <c r="N17" i="5"/>
  <c r="AZ320" i="3"/>
  <c r="AY320" i="3"/>
  <c r="AX320" i="3"/>
  <c r="AW320" i="3"/>
  <c r="AV320" i="3"/>
  <c r="AU320" i="3"/>
  <c r="AT320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19" i="3"/>
  <c r="S320" i="3" s="1"/>
  <c r="N319" i="3"/>
  <c r="AZ318" i="3"/>
  <c r="AY318" i="3"/>
  <c r="AX318" i="3"/>
  <c r="AW318" i="3"/>
  <c r="AV318" i="3"/>
  <c r="AU318" i="3"/>
  <c r="AT318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7" i="3"/>
  <c r="S318" i="3" s="1"/>
  <c r="N317" i="3"/>
  <c r="AZ316" i="3"/>
  <c r="AY316" i="3"/>
  <c r="AX316" i="3"/>
  <c r="AW316" i="3"/>
  <c r="AV316" i="3"/>
  <c r="AU316" i="3"/>
  <c r="AT316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5" i="3"/>
  <c r="N315" i="3"/>
  <c r="S314" i="3"/>
  <c r="N314" i="3"/>
  <c r="S313" i="3"/>
  <c r="N313" i="3"/>
  <c r="S312" i="3"/>
  <c r="N312" i="3"/>
  <c r="S311" i="3"/>
  <c r="N311" i="3"/>
  <c r="S310" i="3"/>
  <c r="N310" i="3"/>
  <c r="S309" i="3"/>
  <c r="N309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7" i="3"/>
  <c r="N307" i="3"/>
  <c r="S306" i="3"/>
  <c r="N306" i="3"/>
  <c r="S305" i="3"/>
  <c r="N305" i="3"/>
  <c r="S304" i="3"/>
  <c r="N304" i="3"/>
  <c r="S303" i="3"/>
  <c r="N303" i="3"/>
  <c r="S302" i="3"/>
  <c r="N302" i="3"/>
  <c r="S301" i="3"/>
  <c r="N301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299" i="3"/>
  <c r="S300" i="3" s="1"/>
  <c r="N299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7" i="3"/>
  <c r="S298" i="3" s="1"/>
  <c r="N297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5" i="3"/>
  <c r="N295" i="3"/>
  <c r="S294" i="3"/>
  <c r="N294" i="3"/>
  <c r="S293" i="3"/>
  <c r="N293" i="3"/>
  <c r="S292" i="3"/>
  <c r="N292" i="3"/>
  <c r="S291" i="3"/>
  <c r="N291" i="3"/>
  <c r="S290" i="3"/>
  <c r="N290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8" i="3"/>
  <c r="S289" i="3" s="1"/>
  <c r="N288" i="3"/>
  <c r="AZ287" i="3"/>
  <c r="AY287" i="3"/>
  <c r="AX287" i="3"/>
  <c r="AW287" i="3"/>
  <c r="AV287" i="3"/>
  <c r="AU28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6" i="3"/>
  <c r="N286" i="3"/>
  <c r="S285" i="3"/>
  <c r="N285" i="3"/>
  <c r="AZ284" i="3"/>
  <c r="AY284" i="3"/>
  <c r="AX284" i="3"/>
  <c r="AW284" i="3"/>
  <c r="AV284" i="3"/>
  <c r="AU284" i="3"/>
  <c r="AT284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3" i="3"/>
  <c r="N283" i="3"/>
  <c r="S282" i="3"/>
  <c r="N282" i="3"/>
  <c r="S281" i="3"/>
  <c r="N281" i="3"/>
  <c r="S280" i="3"/>
  <c r="N280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8" i="3"/>
  <c r="S279" i="3" s="1"/>
  <c r="N278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6" i="3"/>
  <c r="N276" i="3"/>
  <c r="S275" i="3"/>
  <c r="N275" i="3"/>
  <c r="S274" i="3"/>
  <c r="N274" i="3"/>
  <c r="S273" i="3"/>
  <c r="N273" i="3"/>
  <c r="S272" i="3"/>
  <c r="N272" i="3"/>
  <c r="S271" i="3"/>
  <c r="N271" i="3"/>
  <c r="S270" i="3"/>
  <c r="N270" i="3"/>
  <c r="S269" i="3"/>
  <c r="N269" i="3"/>
  <c r="S268" i="3"/>
  <c r="N268" i="3"/>
  <c r="S267" i="3"/>
  <c r="N267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5" i="3"/>
  <c r="N265" i="3"/>
  <c r="S264" i="3"/>
  <c r="N264" i="3"/>
  <c r="S263" i="3"/>
  <c r="N263" i="3"/>
  <c r="S262" i="3"/>
  <c r="N262" i="3"/>
  <c r="S261" i="3"/>
  <c r="N261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59" i="3"/>
  <c r="N259" i="3"/>
  <c r="S258" i="3"/>
  <c r="N258" i="3"/>
  <c r="S257" i="3"/>
  <c r="N257" i="3"/>
  <c r="S256" i="3"/>
  <c r="N256" i="3"/>
  <c r="S255" i="3"/>
  <c r="N255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3" i="3"/>
  <c r="S254" i="3" s="1"/>
  <c r="N253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1" i="3"/>
  <c r="S252" i="3" s="1"/>
  <c r="N251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49" i="3"/>
  <c r="N249" i="3"/>
  <c r="S248" i="3"/>
  <c r="N248" i="3"/>
  <c r="S247" i="3"/>
  <c r="N247" i="3"/>
  <c r="S246" i="3"/>
  <c r="N246" i="3"/>
  <c r="S245" i="3"/>
  <c r="N245" i="3"/>
  <c r="S244" i="3"/>
  <c r="N244" i="3"/>
  <c r="S243" i="3"/>
  <c r="N243" i="3"/>
  <c r="S242" i="3"/>
  <c r="N242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0" i="3"/>
  <c r="N240" i="3"/>
  <c r="S239" i="3"/>
  <c r="N239" i="3"/>
  <c r="S238" i="3"/>
  <c r="N238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6" i="3"/>
  <c r="N236" i="3"/>
  <c r="S235" i="3"/>
  <c r="N235" i="3"/>
  <c r="S234" i="3"/>
  <c r="N234" i="3"/>
  <c r="S233" i="3"/>
  <c r="N233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1" i="3"/>
  <c r="N231" i="3"/>
  <c r="S230" i="3"/>
  <c r="N230" i="3"/>
  <c r="S229" i="3"/>
  <c r="N229" i="3"/>
  <c r="S228" i="3"/>
  <c r="N228" i="3"/>
  <c r="S227" i="3"/>
  <c r="N227" i="3"/>
  <c r="S226" i="3"/>
  <c r="N226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4" i="3"/>
  <c r="N224" i="3"/>
  <c r="S223" i="3"/>
  <c r="N223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1" i="3"/>
  <c r="S222" i="3" s="1"/>
  <c r="N221" i="3"/>
  <c r="S220" i="3"/>
  <c r="N220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8" i="3"/>
  <c r="N218" i="3"/>
  <c r="S217" i="3"/>
  <c r="N217" i="3"/>
  <c r="S216" i="3"/>
  <c r="N216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4" i="3"/>
  <c r="S215" i="3" s="1"/>
  <c r="N214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2" i="3"/>
  <c r="N212" i="3"/>
  <c r="S211" i="3"/>
  <c r="N211" i="3"/>
  <c r="S210" i="3"/>
  <c r="N210" i="3"/>
  <c r="S209" i="3"/>
  <c r="N209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7" i="3"/>
  <c r="N207" i="3"/>
  <c r="S206" i="3"/>
  <c r="N206" i="3"/>
  <c r="S205" i="3"/>
  <c r="N205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3" i="3"/>
  <c r="S204" i="3" s="1"/>
  <c r="N203" i="3"/>
  <c r="S200" i="3"/>
  <c r="N200" i="3"/>
  <c r="S199" i="3"/>
  <c r="N199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7" i="3"/>
  <c r="S198" i="3" s="1"/>
  <c r="N197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5" i="3"/>
  <c r="S196" i="3" s="1"/>
  <c r="N195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3" i="3"/>
  <c r="S194" i="3" s="1"/>
  <c r="N193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1" i="3"/>
  <c r="S192" i="3" s="1"/>
  <c r="N191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89" i="3"/>
  <c r="S190" i="3" s="1"/>
  <c r="N189" i="3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S91" i="2"/>
  <c r="N91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89" i="2"/>
  <c r="S90" i="2" s="1"/>
  <c r="N89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S87" i="2"/>
  <c r="N87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5" i="2"/>
  <c r="N85" i="2"/>
  <c r="S84" i="2"/>
  <c r="N84" i="2"/>
  <c r="S83" i="2"/>
  <c r="N83" i="2"/>
  <c r="S82" i="2"/>
  <c r="N82" i="2"/>
  <c r="S81" i="2"/>
  <c r="N81" i="2"/>
  <c r="S80" i="2"/>
  <c r="N80" i="2"/>
  <c r="S79" i="2"/>
  <c r="N79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7" i="2"/>
  <c r="S78" i="2" s="1"/>
  <c r="N77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5" i="2"/>
  <c r="S76" i="2" s="1"/>
  <c r="N75" i="2"/>
  <c r="S86" i="2" l="1"/>
  <c r="S202" i="3"/>
  <c r="S219" i="3"/>
  <c r="S232" i="3"/>
  <c r="S266" i="3"/>
  <c r="S287" i="3"/>
  <c r="S250" i="3"/>
  <c r="S213" i="3"/>
  <c r="S208" i="3"/>
  <c r="S237" i="3"/>
  <c r="S296" i="3"/>
  <c r="S260" i="3"/>
  <c r="S284" i="3"/>
  <c r="S241" i="3"/>
  <c r="S316" i="3"/>
  <c r="S225" i="3"/>
  <c r="S277" i="3"/>
  <c r="S308" i="3"/>
  <c r="S11" i="1"/>
  <c r="AJ12" i="1"/>
  <c r="X12" i="1"/>
  <c r="S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I12" i="1"/>
  <c r="AH12" i="1"/>
  <c r="AG12" i="1"/>
  <c r="AF12" i="1"/>
  <c r="AE12" i="1"/>
  <c r="AD12" i="1"/>
  <c r="AC12" i="1"/>
  <c r="AB12" i="1"/>
  <c r="AA12" i="1"/>
  <c r="Z12" i="1"/>
  <c r="Y12" i="1"/>
  <c r="W12" i="1"/>
  <c r="V12" i="1"/>
  <c r="U12" i="1"/>
  <c r="T12" i="1"/>
  <c r="T60" i="2" l="1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S59" i="2"/>
  <c r="N59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S54" i="2"/>
  <c r="N54" i="2"/>
  <c r="S167" i="3" l="1"/>
  <c r="N167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N160" i="3"/>
  <c r="S160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N107" i="3"/>
  <c r="S107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S104" i="3"/>
  <c r="N104" i="3"/>
  <c r="S103" i="3"/>
  <c r="N103" i="3"/>
  <c r="S102" i="3"/>
  <c r="N102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S95" i="3"/>
  <c r="N95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S86" i="3"/>
  <c r="N86" i="3"/>
  <c r="S85" i="3"/>
  <c r="N85" i="3"/>
  <c r="S53" i="2"/>
  <c r="N53" i="2"/>
  <c r="S52" i="2"/>
  <c r="N52" i="2"/>
  <c r="S51" i="2"/>
  <c r="N51" i="2"/>
  <c r="AZ10" i="1" l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9" i="1"/>
  <c r="S10" i="1" s="1"/>
  <c r="N9" i="1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7" i="3"/>
  <c r="S188" i="3" s="1"/>
  <c r="N187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5" i="3"/>
  <c r="S186" i="3" s="1"/>
  <c r="N185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3" i="3"/>
  <c r="S184" i="3" s="1"/>
  <c r="N183" i="3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3" i="2"/>
  <c r="S74" i="2" s="1"/>
  <c r="N73" i="2"/>
  <c r="AZ182" i="3" l="1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1" i="3"/>
  <c r="S182" i="3" s="1"/>
  <c r="N181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79" i="3"/>
  <c r="S180" i="3" s="1"/>
  <c r="N179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7" i="3"/>
  <c r="S178" i="3" s="1"/>
  <c r="N177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5" i="3"/>
  <c r="S176" i="3" s="1"/>
  <c r="N175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3" i="3"/>
  <c r="S174" i="3" s="1"/>
  <c r="N173" i="3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1" i="2"/>
  <c r="S72" i="2" s="1"/>
  <c r="N71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69" i="2"/>
  <c r="S70" i="2" s="1"/>
  <c r="N69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7" i="2"/>
  <c r="S68" i="2" s="1"/>
  <c r="N67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5" i="2"/>
  <c r="S66" i="2" s="1"/>
  <c r="N65" i="2"/>
  <c r="AZ16" i="5" l="1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5" i="5"/>
  <c r="S16" i="5" s="1"/>
  <c r="N15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S13" i="5"/>
  <c r="N13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S11" i="5"/>
  <c r="N11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9" i="5"/>
  <c r="S10" i="5" s="1"/>
  <c r="N9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7" i="5"/>
  <c r="S8" i="5" s="1"/>
  <c r="N7" i="5"/>
  <c r="AZ6" i="5"/>
  <c r="AY6" i="5"/>
  <c r="AY33" i="5" s="1"/>
  <c r="AX6" i="5"/>
  <c r="AW6" i="5"/>
  <c r="AV6" i="5"/>
  <c r="AU6" i="5"/>
  <c r="AT6" i="5"/>
  <c r="AS6" i="5"/>
  <c r="AR6" i="5"/>
  <c r="AR33" i="5" s="1"/>
  <c r="AQ6" i="5"/>
  <c r="AP6" i="5"/>
  <c r="AP33" i="5" s="1"/>
  <c r="AO6" i="5"/>
  <c r="AO33" i="5" s="1"/>
  <c r="AN6" i="5"/>
  <c r="AM6" i="5"/>
  <c r="AL6" i="5"/>
  <c r="AL33" i="5" s="1"/>
  <c r="AK6" i="5"/>
  <c r="AJ6" i="5"/>
  <c r="AI6" i="5"/>
  <c r="AI33" i="5" s="1"/>
  <c r="AH6" i="5"/>
  <c r="AG6" i="5"/>
  <c r="AF6" i="5"/>
  <c r="AE6" i="5"/>
  <c r="AD6" i="5"/>
  <c r="AC6" i="5"/>
  <c r="AB6" i="5"/>
  <c r="AB33" i="5" s="1"/>
  <c r="AA6" i="5"/>
  <c r="Z6" i="5"/>
  <c r="Z33" i="5" s="1"/>
  <c r="Y6" i="5"/>
  <c r="X6" i="5"/>
  <c r="W6" i="5"/>
  <c r="V6" i="5"/>
  <c r="V33" i="5" s="1"/>
  <c r="U6" i="5"/>
  <c r="T6" i="5"/>
  <c r="S6" i="5"/>
  <c r="S5" i="5"/>
  <c r="N5" i="5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9" i="4"/>
  <c r="S10" i="4" s="1"/>
  <c r="N9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E11" i="4" s="1"/>
  <c r="AD8" i="4"/>
  <c r="AC8" i="4"/>
  <c r="AB8" i="4"/>
  <c r="AA8" i="4"/>
  <c r="Z8" i="4"/>
  <c r="Y8" i="4"/>
  <c r="X8" i="4"/>
  <c r="W8" i="4"/>
  <c r="V8" i="4"/>
  <c r="U8" i="4"/>
  <c r="T8" i="4"/>
  <c r="S7" i="4"/>
  <c r="S8" i="4" s="1"/>
  <c r="N7" i="4"/>
  <c r="BA6" i="4"/>
  <c r="BA11" i="4" s="1"/>
  <c r="AZ6" i="4"/>
  <c r="AZ11" i="4" s="1"/>
  <c r="AY6" i="4"/>
  <c r="AY11" i="4" s="1"/>
  <c r="AX6" i="4"/>
  <c r="AW6" i="4"/>
  <c r="AV6" i="4"/>
  <c r="AU6" i="4"/>
  <c r="AT6" i="4"/>
  <c r="AS6" i="4"/>
  <c r="AS11" i="4" s="1"/>
  <c r="AR6" i="4"/>
  <c r="AQ6" i="4"/>
  <c r="AP6" i="4"/>
  <c r="AP11" i="4" s="1"/>
  <c r="AO6" i="4"/>
  <c r="AO11" i="4" s="1"/>
  <c r="AN6" i="4"/>
  <c r="AN11" i="4" s="1"/>
  <c r="AM6" i="4"/>
  <c r="AM11" i="4" s="1"/>
  <c r="AL6" i="4"/>
  <c r="AK6" i="4"/>
  <c r="AJ6" i="4"/>
  <c r="AJ11" i="4" s="1"/>
  <c r="AI6" i="4"/>
  <c r="AI11" i="4" s="1"/>
  <c r="AH6" i="4"/>
  <c r="AG6" i="4"/>
  <c r="AG11" i="4" s="1"/>
  <c r="AF6" i="4"/>
  <c r="AE6" i="4"/>
  <c r="AD6" i="4"/>
  <c r="AC6" i="4"/>
  <c r="AC11" i="4" s="1"/>
  <c r="AB6" i="4"/>
  <c r="AA6" i="4"/>
  <c r="AA11" i="4" s="1"/>
  <c r="Z6" i="4"/>
  <c r="Z11" i="4" s="1"/>
  <c r="Y6" i="4"/>
  <c r="X6" i="4"/>
  <c r="X11" i="4" s="1"/>
  <c r="W6" i="4"/>
  <c r="W11" i="4" s="1"/>
  <c r="V6" i="4"/>
  <c r="U6" i="4"/>
  <c r="U11" i="4" s="1"/>
  <c r="T6" i="4"/>
  <c r="T11" i="4" s="1"/>
  <c r="S5" i="4"/>
  <c r="S6" i="4" s="1"/>
  <c r="N5" i="4"/>
  <c r="S166" i="3"/>
  <c r="N166" i="3"/>
  <c r="S165" i="3"/>
  <c r="N165" i="3"/>
  <c r="S164" i="3"/>
  <c r="N164" i="3"/>
  <c r="S163" i="3"/>
  <c r="N163" i="3"/>
  <c r="S162" i="3"/>
  <c r="N162" i="3"/>
  <c r="S159" i="3"/>
  <c r="S161" i="3" s="1"/>
  <c r="N159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7" i="3"/>
  <c r="S158" i="3" s="1"/>
  <c r="N157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5" i="3"/>
  <c r="N155" i="3"/>
  <c r="S154" i="3"/>
  <c r="N154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2" i="3"/>
  <c r="S153" i="3" s="1"/>
  <c r="N152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0" i="3"/>
  <c r="S151" i="3" s="1"/>
  <c r="N150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8" i="3"/>
  <c r="S149" i="3" s="1"/>
  <c r="N148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6" i="3"/>
  <c r="S147" i="3" s="1"/>
  <c r="N146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4" i="3"/>
  <c r="N144" i="3"/>
  <c r="S143" i="3"/>
  <c r="N143" i="3"/>
  <c r="S142" i="3"/>
  <c r="N142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0" i="3"/>
  <c r="N140" i="3"/>
  <c r="S139" i="3"/>
  <c r="N139" i="3"/>
  <c r="S138" i="3"/>
  <c r="N138" i="3"/>
  <c r="S137" i="3"/>
  <c r="N137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5" i="3"/>
  <c r="S136" i="3" s="1"/>
  <c r="N135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3" i="3"/>
  <c r="S134" i="3" s="1"/>
  <c r="N133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1" i="3"/>
  <c r="S132" i="3" s="1"/>
  <c r="N131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29" i="3"/>
  <c r="S130" i="3" s="1"/>
  <c r="N129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7" i="3"/>
  <c r="S128" i="3" s="1"/>
  <c r="N127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5" i="3"/>
  <c r="S126" i="3" s="1"/>
  <c r="N125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3" i="3"/>
  <c r="S124" i="3" s="1"/>
  <c r="N123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1" i="3"/>
  <c r="N121" i="3"/>
  <c r="S120" i="3"/>
  <c r="N120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8" i="3"/>
  <c r="N118" i="3"/>
  <c r="S117" i="3"/>
  <c r="N117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5" i="3"/>
  <c r="N115" i="3"/>
  <c r="S114" i="3"/>
  <c r="N114" i="3"/>
  <c r="S113" i="3"/>
  <c r="N113" i="3"/>
  <c r="S112" i="3"/>
  <c r="N112" i="3"/>
  <c r="S111" i="3"/>
  <c r="N111" i="3"/>
  <c r="S110" i="3"/>
  <c r="N110" i="3"/>
  <c r="S109" i="3"/>
  <c r="N109" i="3"/>
  <c r="S106" i="3"/>
  <c r="S108" i="3" s="1"/>
  <c r="N106" i="3"/>
  <c r="S101" i="3"/>
  <c r="N101" i="3"/>
  <c r="S100" i="3"/>
  <c r="N100" i="3"/>
  <c r="S99" i="3"/>
  <c r="N99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7" i="3"/>
  <c r="S98" i="3" s="1"/>
  <c r="N97" i="3"/>
  <c r="S94" i="3"/>
  <c r="N94" i="3"/>
  <c r="S93" i="3"/>
  <c r="N93" i="3"/>
  <c r="S92" i="3"/>
  <c r="N92" i="3"/>
  <c r="S91" i="3"/>
  <c r="N91" i="3"/>
  <c r="S90" i="3"/>
  <c r="N90" i="3"/>
  <c r="S89" i="3"/>
  <c r="N89" i="3"/>
  <c r="S88" i="3"/>
  <c r="N88" i="3"/>
  <c r="S84" i="3"/>
  <c r="N84" i="3"/>
  <c r="S83" i="3"/>
  <c r="N83" i="3"/>
  <c r="S82" i="3"/>
  <c r="N82" i="3"/>
  <c r="S81" i="3"/>
  <c r="N81" i="3"/>
  <c r="S80" i="3"/>
  <c r="N80" i="3"/>
  <c r="S79" i="3"/>
  <c r="N79" i="3"/>
  <c r="S78" i="3"/>
  <c r="N78" i="3"/>
  <c r="S77" i="3"/>
  <c r="N77" i="3"/>
  <c r="S76" i="3"/>
  <c r="N76" i="3"/>
  <c r="S75" i="3"/>
  <c r="N75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3" i="3"/>
  <c r="S74" i="3" s="1"/>
  <c r="N73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1" i="3"/>
  <c r="N71" i="3"/>
  <c r="S70" i="3"/>
  <c r="N70" i="3"/>
  <c r="S69" i="3"/>
  <c r="N69" i="3"/>
  <c r="S68" i="3"/>
  <c r="N68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6" i="3"/>
  <c r="N66" i="3"/>
  <c r="S65" i="3"/>
  <c r="N65" i="3"/>
  <c r="S64" i="3"/>
  <c r="N64" i="3"/>
  <c r="S63" i="3"/>
  <c r="N63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1" i="3"/>
  <c r="N61" i="3"/>
  <c r="S60" i="3"/>
  <c r="N60" i="3"/>
  <c r="S59" i="3"/>
  <c r="N59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7" i="3"/>
  <c r="N57" i="3"/>
  <c r="S56" i="3"/>
  <c r="N56" i="3"/>
  <c r="S55" i="3"/>
  <c r="N55" i="3"/>
  <c r="S54" i="3"/>
  <c r="N54" i="3"/>
  <c r="S53" i="3"/>
  <c r="N53" i="3"/>
  <c r="S52" i="3"/>
  <c r="N52" i="3"/>
  <c r="S51" i="3"/>
  <c r="N51" i="3"/>
  <c r="S50" i="3"/>
  <c r="N50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8" i="3"/>
  <c r="S49" i="3" s="1"/>
  <c r="N48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6" i="3"/>
  <c r="N46" i="3"/>
  <c r="S45" i="3"/>
  <c r="N45" i="3"/>
  <c r="S44" i="3"/>
  <c r="N44" i="3"/>
  <c r="S43" i="3"/>
  <c r="N43" i="3"/>
  <c r="S42" i="3"/>
  <c r="N42" i="3"/>
  <c r="S41" i="3"/>
  <c r="N41" i="3"/>
  <c r="S40" i="3"/>
  <c r="N40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8" i="3"/>
  <c r="N38" i="3"/>
  <c r="S37" i="3"/>
  <c r="N37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5" i="3"/>
  <c r="N35" i="3"/>
  <c r="S34" i="3"/>
  <c r="N34" i="3"/>
  <c r="S33" i="3"/>
  <c r="N33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1" i="3"/>
  <c r="N31" i="3"/>
  <c r="S30" i="3"/>
  <c r="N30" i="3"/>
  <c r="S29" i="3"/>
  <c r="N29" i="3"/>
  <c r="S28" i="3"/>
  <c r="N28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6" i="3"/>
  <c r="N26" i="3"/>
  <c r="S25" i="3"/>
  <c r="N25" i="3"/>
  <c r="S24" i="3"/>
  <c r="N24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2" i="3"/>
  <c r="N22" i="3"/>
  <c r="S21" i="3"/>
  <c r="N21" i="3"/>
  <c r="S20" i="3"/>
  <c r="N20" i="3"/>
  <c r="S19" i="3"/>
  <c r="N19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7" i="3"/>
  <c r="S18" i="3" s="1"/>
  <c r="N17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5" i="3"/>
  <c r="N15" i="3"/>
  <c r="S14" i="3"/>
  <c r="N14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2" i="3"/>
  <c r="N12" i="3"/>
  <c r="S11" i="3"/>
  <c r="N11" i="3"/>
  <c r="S10" i="3"/>
  <c r="N10" i="3"/>
  <c r="S9" i="3"/>
  <c r="N9" i="3"/>
  <c r="S8" i="3"/>
  <c r="N8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6" i="3"/>
  <c r="N6" i="3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3" i="2"/>
  <c r="S64" i="2" s="1"/>
  <c r="N63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1" i="2"/>
  <c r="S62" i="2" s="1"/>
  <c r="N61" i="2"/>
  <c r="S58" i="2"/>
  <c r="N58" i="2"/>
  <c r="S57" i="2"/>
  <c r="N57" i="2"/>
  <c r="S56" i="2"/>
  <c r="N56" i="2"/>
  <c r="S50" i="2"/>
  <c r="N50" i="2"/>
  <c r="S49" i="2"/>
  <c r="N49" i="2"/>
  <c r="S48" i="2"/>
  <c r="N48" i="2"/>
  <c r="S47" i="2"/>
  <c r="N47" i="2"/>
  <c r="S46" i="2"/>
  <c r="N46" i="2"/>
  <c r="S45" i="2"/>
  <c r="N45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3" i="2"/>
  <c r="S44" i="2" s="1"/>
  <c r="N43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1" i="2"/>
  <c r="N41" i="2"/>
  <c r="S40" i="2"/>
  <c r="N40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8" i="2"/>
  <c r="S39" i="2" s="1"/>
  <c r="N38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6" i="2"/>
  <c r="N36" i="2"/>
  <c r="S35" i="2"/>
  <c r="N35" i="2"/>
  <c r="S34" i="2"/>
  <c r="N34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N32" i="2"/>
  <c r="S31" i="2"/>
  <c r="N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29" i="2"/>
  <c r="S30" i="2" s="1"/>
  <c r="N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7" i="2"/>
  <c r="N27" i="2"/>
  <c r="S26" i="2"/>
  <c r="N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4" i="2"/>
  <c r="N24" i="2"/>
  <c r="S23" i="2"/>
  <c r="N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1" i="2"/>
  <c r="N21" i="2"/>
  <c r="S20" i="2"/>
  <c r="N20" i="2"/>
  <c r="S19" i="2"/>
  <c r="N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7" i="2"/>
  <c r="S18" i="2" s="1"/>
  <c r="N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5" i="2"/>
  <c r="N15" i="2"/>
  <c r="S14" i="2"/>
  <c r="N14" i="2"/>
  <c r="S13" i="2"/>
  <c r="N13" i="2"/>
  <c r="S12" i="2"/>
  <c r="N12" i="2"/>
  <c r="S11" i="2"/>
  <c r="N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Y97" i="2" s="1"/>
  <c r="X10" i="2"/>
  <c r="W10" i="2"/>
  <c r="V10" i="2"/>
  <c r="U10" i="2"/>
  <c r="T10" i="2"/>
  <c r="S9" i="2"/>
  <c r="N9" i="2"/>
  <c r="S8" i="2"/>
  <c r="N8" i="2"/>
  <c r="S7" i="2"/>
  <c r="N7" i="2"/>
  <c r="S6" i="2"/>
  <c r="N6" i="2"/>
  <c r="S5" i="2"/>
  <c r="N5" i="2"/>
  <c r="Y33" i="5" l="1"/>
  <c r="AT97" i="2"/>
  <c r="AE97" i="2"/>
  <c r="AU97" i="2"/>
  <c r="AA33" i="5"/>
  <c r="AQ33" i="5"/>
  <c r="AS97" i="2"/>
  <c r="AD97" i="2"/>
  <c r="AF97" i="2"/>
  <c r="AV97" i="2"/>
  <c r="AK11" i="4"/>
  <c r="AF336" i="3"/>
  <c r="AC33" i="5"/>
  <c r="AS33" i="5"/>
  <c r="AH97" i="2"/>
  <c r="AX97" i="2"/>
  <c r="AB11" i="4"/>
  <c r="AR11" i="4"/>
  <c r="AD33" i="5"/>
  <c r="AT33" i="5"/>
  <c r="AE33" i="5"/>
  <c r="AU33" i="5"/>
  <c r="AO97" i="2"/>
  <c r="AG97" i="2"/>
  <c r="AY97" i="2"/>
  <c r="AX336" i="3"/>
  <c r="T97" i="2"/>
  <c r="AZ97" i="2"/>
  <c r="AD11" i="4"/>
  <c r="AT11" i="4"/>
  <c r="Y11" i="4"/>
  <c r="AF33" i="5"/>
  <c r="AV33" i="5"/>
  <c r="AR336" i="3"/>
  <c r="AI97" i="2"/>
  <c r="AJ97" i="2"/>
  <c r="U97" i="2"/>
  <c r="AK97" i="2"/>
  <c r="BA97" i="2"/>
  <c r="T336" i="3"/>
  <c r="AU11" i="4"/>
  <c r="AG33" i="5"/>
  <c r="AW33" i="5"/>
  <c r="AC97" i="2"/>
  <c r="AW97" i="2"/>
  <c r="V97" i="2"/>
  <c r="AL97" i="2"/>
  <c r="AF11" i="4"/>
  <c r="AV11" i="4"/>
  <c r="AQ11" i="4"/>
  <c r="S33" i="5"/>
  <c r="AH33" i="5"/>
  <c r="AX33" i="5"/>
  <c r="W97" i="2"/>
  <c r="AP97" i="2"/>
  <c r="AM97" i="2"/>
  <c r="AL336" i="3"/>
  <c r="X97" i="2"/>
  <c r="AN97" i="2"/>
  <c r="S60" i="2"/>
  <c r="AH11" i="4"/>
  <c r="AX11" i="4"/>
  <c r="T33" i="5"/>
  <c r="AJ33" i="5"/>
  <c r="AZ33" i="5"/>
  <c r="U33" i="5"/>
  <c r="AK33" i="5"/>
  <c r="W33" i="5"/>
  <c r="AM33" i="5"/>
  <c r="Z97" i="2"/>
  <c r="AA97" i="2"/>
  <c r="AQ97" i="2"/>
  <c r="Z336" i="3"/>
  <c r="AB97" i="2"/>
  <c r="AR97" i="2"/>
  <c r="V11" i="4"/>
  <c r="AL11" i="4"/>
  <c r="AW11" i="4"/>
  <c r="X33" i="5"/>
  <c r="AN33" i="5"/>
  <c r="U336" i="3"/>
  <c r="AA336" i="3"/>
  <c r="AG336" i="3"/>
  <c r="AM336" i="3"/>
  <c r="AS336" i="3"/>
  <c r="AY336" i="3"/>
  <c r="V336" i="3"/>
  <c r="AB336" i="3"/>
  <c r="AH336" i="3"/>
  <c r="AN336" i="3"/>
  <c r="AT336" i="3"/>
  <c r="AZ336" i="3"/>
  <c r="AC336" i="3"/>
  <c r="AO336" i="3"/>
  <c r="W336" i="3"/>
  <c r="AU336" i="3"/>
  <c r="X336" i="3"/>
  <c r="AD336" i="3"/>
  <c r="AJ336" i="3"/>
  <c r="AP336" i="3"/>
  <c r="AV336" i="3"/>
  <c r="AI336" i="3"/>
  <c r="Y336" i="3"/>
  <c r="AE336" i="3"/>
  <c r="AK336" i="3"/>
  <c r="AQ336" i="3"/>
  <c r="AW336" i="3"/>
  <c r="S172" i="3"/>
  <c r="S7" i="3"/>
  <c r="S16" i="3"/>
  <c r="S55" i="2"/>
  <c r="S11" i="4"/>
  <c r="S119" i="3"/>
  <c r="S105" i="3"/>
  <c r="S67" i="3"/>
  <c r="S156" i="3"/>
  <c r="S122" i="3"/>
  <c r="S96" i="3"/>
  <c r="S141" i="3"/>
  <c r="S58" i="3"/>
  <c r="S116" i="3"/>
  <c r="S27" i="3"/>
  <c r="S47" i="3"/>
  <c r="S62" i="3"/>
  <c r="S87" i="3"/>
  <c r="S36" i="3"/>
  <c r="S72" i="3"/>
  <c r="S145" i="3"/>
  <c r="S23" i="3"/>
  <c r="S32" i="3"/>
  <c r="S13" i="3"/>
  <c r="S39" i="3"/>
  <c r="S42" i="2"/>
  <c r="S25" i="2"/>
  <c r="S22" i="2"/>
  <c r="S33" i="2"/>
  <c r="S37" i="2"/>
  <c r="S16" i="2"/>
  <c r="S10" i="2"/>
  <c r="S97" i="2" s="1"/>
  <c r="S28" i="2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7" i="1"/>
  <c r="S8" i="1" s="1"/>
  <c r="S336" i="3" l="1"/>
  <c r="AZ6" i="1"/>
  <c r="AZ13" i="1" s="1"/>
  <c r="AY6" i="1"/>
  <c r="AY13" i="1" s="1"/>
  <c r="AX6" i="1"/>
  <c r="AX13" i="1" s="1"/>
  <c r="AW6" i="1"/>
  <c r="AW13" i="1" s="1"/>
  <c r="AV6" i="1"/>
  <c r="AV13" i="1" s="1"/>
  <c r="AU6" i="1"/>
  <c r="AU13" i="1" s="1"/>
  <c r="AT6" i="1"/>
  <c r="AT13" i="1" s="1"/>
  <c r="AS6" i="1"/>
  <c r="AS13" i="1" s="1"/>
  <c r="AR6" i="1"/>
  <c r="AR13" i="1" s="1"/>
  <c r="AQ6" i="1"/>
  <c r="AQ13" i="1" s="1"/>
  <c r="AP6" i="1"/>
  <c r="AP13" i="1" s="1"/>
  <c r="AO6" i="1"/>
  <c r="AO13" i="1" s="1"/>
  <c r="AN6" i="1"/>
  <c r="AN13" i="1" s="1"/>
  <c r="AM6" i="1"/>
  <c r="AM13" i="1" s="1"/>
  <c r="AL6" i="1"/>
  <c r="AL13" i="1" s="1"/>
  <c r="AK6" i="1"/>
  <c r="AK13" i="1" s="1"/>
  <c r="AJ6" i="1"/>
  <c r="AJ13" i="1" s="1"/>
  <c r="AI6" i="1"/>
  <c r="AI13" i="1" s="1"/>
  <c r="AH6" i="1"/>
  <c r="AH13" i="1" s="1"/>
  <c r="AG6" i="1"/>
  <c r="AG13" i="1" s="1"/>
  <c r="AF6" i="1"/>
  <c r="AF13" i="1" s="1"/>
  <c r="AE6" i="1"/>
  <c r="AE13" i="1" s="1"/>
  <c r="AD6" i="1"/>
  <c r="AD13" i="1" s="1"/>
  <c r="AC6" i="1"/>
  <c r="AC13" i="1" s="1"/>
  <c r="AB6" i="1"/>
  <c r="AB13" i="1" s="1"/>
  <c r="AA6" i="1"/>
  <c r="AA13" i="1" s="1"/>
  <c r="Z6" i="1"/>
  <c r="Z13" i="1" s="1"/>
  <c r="Y6" i="1"/>
  <c r="Y13" i="1" s="1"/>
  <c r="X6" i="1"/>
  <c r="X13" i="1" s="1"/>
  <c r="W6" i="1"/>
  <c r="W13" i="1" s="1"/>
  <c r="V6" i="1"/>
  <c r="V13" i="1" s="1"/>
  <c r="U6" i="1"/>
  <c r="U13" i="1" s="1"/>
  <c r="T6" i="1"/>
  <c r="T13" i="1" s="1"/>
  <c r="S5" i="1"/>
  <c r="S6" i="1" l="1"/>
  <c r="S13" i="1" s="1"/>
  <c r="N5" i="1"/>
  <c r="C5" i="1" l="1"/>
</calcChain>
</file>

<file path=xl/comments1.xml><?xml version="1.0" encoding="utf-8"?>
<comments xmlns="http://schemas.openxmlformats.org/spreadsheetml/2006/main">
  <authors>
    <author>Loan Truong@DS (Truong Thi Hong Loan)</author>
  </authors>
  <commentList>
    <comment ref="S77" authorId="0" shapeId="0">
      <text>
        <r>
          <rPr>
            <b/>
            <sz val="9"/>
            <color indexed="81"/>
            <rFont val="Tahoma"/>
            <family val="2"/>
          </rPr>
          <t>1068</t>
        </r>
      </text>
    </comment>
    <comment ref="S78" authorId="0" shapeId="0">
      <text>
        <r>
          <rPr>
            <b/>
            <sz val="9"/>
            <color indexed="81"/>
            <rFont val="Tahoma"/>
            <family val="2"/>
          </rPr>
          <t>366</t>
        </r>
      </text>
    </comment>
    <comment ref="S89" authorId="0" shapeId="0">
      <text>
        <r>
          <rPr>
            <b/>
            <sz val="9"/>
            <color indexed="81"/>
            <rFont val="Tahoma"/>
            <family val="2"/>
          </rPr>
          <t>624</t>
        </r>
      </text>
    </comment>
    <comment ref="S99" authorId="0" shapeId="0">
      <text>
        <r>
          <rPr>
            <b/>
            <sz val="9"/>
            <color indexed="81"/>
            <rFont val="Tahoma"/>
            <family val="2"/>
          </rPr>
          <t>726</t>
        </r>
      </text>
    </comment>
    <comment ref="S100" authorId="0" shapeId="0">
      <text>
        <r>
          <rPr>
            <b/>
            <sz val="9"/>
            <color indexed="81"/>
            <rFont val="Tahoma"/>
            <family val="2"/>
          </rPr>
          <t>336</t>
        </r>
      </text>
    </comment>
    <comment ref="S101" authorId="0" shapeId="0">
      <text>
        <r>
          <rPr>
            <b/>
            <sz val="9"/>
            <color indexed="81"/>
            <rFont val="Tahoma"/>
            <family val="2"/>
          </rPr>
          <t>1302</t>
        </r>
      </text>
    </comment>
    <comment ref="S106" authorId="0" shapeId="0">
      <text>
        <r>
          <rPr>
            <b/>
            <sz val="9"/>
            <color indexed="81"/>
            <rFont val="Tahoma"/>
            <family val="2"/>
          </rPr>
          <t>1080</t>
        </r>
      </text>
    </comment>
    <comment ref="S159" authorId="0" shapeId="0">
      <text>
        <r>
          <rPr>
            <b/>
            <sz val="9"/>
            <color indexed="81"/>
            <rFont val="Tahoma"/>
            <family val="2"/>
          </rPr>
          <t>5070</t>
        </r>
      </text>
    </comment>
    <comment ref="S163" authorId="0" shapeId="0">
      <text>
        <r>
          <rPr>
            <b/>
            <sz val="9"/>
            <color indexed="81"/>
            <rFont val="Tahoma"/>
            <family val="2"/>
          </rPr>
          <t>5070
4056</t>
        </r>
      </text>
    </comment>
    <comment ref="S199" authorId="0" shapeId="0">
      <text>
        <r>
          <rPr>
            <b/>
            <sz val="9"/>
            <color indexed="81"/>
            <rFont val="Tahoma"/>
            <family val="2"/>
          </rPr>
          <t>894</t>
        </r>
      </text>
    </comment>
  </commentList>
</comments>
</file>

<file path=xl/comments2.xml><?xml version="1.0" encoding="utf-8"?>
<comments xmlns="http://schemas.openxmlformats.org/spreadsheetml/2006/main">
  <authors>
    <author>Loan Truong@DS (Truong Thi Hong Loan)</author>
    <author>TRAN T.MINH SA@(202306240754)</author>
  </authors>
  <commentList>
    <comment ref="S26" authorId="0" shapeId="0">
      <text>
        <r>
          <rPr>
            <b/>
            <sz val="9"/>
            <color indexed="81"/>
            <rFont val="Tahoma"/>
            <family val="2"/>
          </rPr>
          <t>2802</t>
        </r>
      </text>
    </comment>
    <comment ref="S27" authorId="0" shapeId="0">
      <text>
        <r>
          <rPr>
            <b/>
            <sz val="9"/>
            <color indexed="81"/>
            <rFont val="Tahoma"/>
            <family val="2"/>
          </rPr>
          <t>954</t>
        </r>
      </text>
    </comment>
    <comment ref="S32" authorId="1" shapeId="0">
      <text>
        <r>
          <rPr>
            <b/>
            <sz val="9"/>
            <color indexed="81"/>
            <rFont val="Tahoma"/>
            <family val="2"/>
          </rPr>
          <t>282</t>
        </r>
      </text>
    </comment>
    <comment ref="S36" authorId="0" shapeId="0">
      <text>
        <r>
          <rPr>
            <b/>
            <sz val="9"/>
            <color indexed="81"/>
            <rFont val="Tahoma"/>
            <family val="2"/>
          </rPr>
          <t>283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</rPr>
          <t>954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6" authorId="1" shapeId="0">
      <text>
        <r>
          <rPr>
            <b/>
            <sz val="9"/>
            <color indexed="81"/>
            <rFont val="Tahoma"/>
            <family val="2"/>
          </rPr>
          <t xml:space="preserve">936
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408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162</t>
        </r>
      </text>
    </comment>
    <comment ref="S49" authorId="0" shapeId="0">
      <text>
        <r>
          <rPr>
            <b/>
            <sz val="9"/>
            <color indexed="81"/>
            <rFont val="Tahoma"/>
            <family val="2"/>
          </rPr>
          <t>384</t>
        </r>
      </text>
    </comment>
    <comment ref="S57" authorId="1" shapeId="0">
      <text>
        <r>
          <rPr>
            <b/>
            <sz val="9"/>
            <color indexed="81"/>
            <rFont val="Tahoma"/>
            <family val="2"/>
          </rPr>
          <t>708</t>
        </r>
      </text>
    </comment>
    <comment ref="S58" authorId="0" shapeId="0">
      <text>
        <r>
          <rPr>
            <b/>
            <sz val="9"/>
            <color indexed="81"/>
            <rFont val="Tahoma"/>
            <family val="2"/>
          </rPr>
          <t>6945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1634</t>
        </r>
      </text>
    </comment>
    <comment ref="S85" authorId="0" shapeId="0">
      <text>
        <r>
          <rPr>
            <b/>
            <sz val="9"/>
            <color indexed="81"/>
            <rFont val="Tahoma"/>
            <family val="2"/>
          </rPr>
          <t>132</t>
        </r>
      </text>
    </comment>
  </commentList>
</comments>
</file>

<file path=xl/comments3.xml><?xml version="1.0" encoding="utf-8"?>
<comments xmlns="http://schemas.openxmlformats.org/spreadsheetml/2006/main">
  <authors>
    <author>Loan Truong@DS (Truong Thi Hong Loan)</author>
  </authors>
  <commentList>
    <comment ref="S17" authorId="0" shapeId="0">
      <text>
        <r>
          <rPr>
            <b/>
            <sz val="9"/>
            <color indexed="81"/>
            <rFont val="Tahoma"/>
            <family val="2"/>
          </rPr>
          <t>25</t>
        </r>
      </text>
    </comment>
  </commentList>
</comments>
</file>

<file path=xl/sharedStrings.xml><?xml version="1.0" encoding="utf-8"?>
<sst xmlns="http://schemas.openxmlformats.org/spreadsheetml/2006/main" count="3338" uniqueCount="1044">
  <si>
    <t>Launch Code</t>
  </si>
  <si>
    <t>Launch Date</t>
  </si>
  <si>
    <t>DH3161-101</t>
  </si>
  <si>
    <t>WMNS NIKE COURT LEGACY NN</t>
  </si>
  <si>
    <t>OS398926-1</t>
  </si>
  <si>
    <t>Belgium</t>
  </si>
  <si>
    <t>WOMENS</t>
  </si>
  <si>
    <t>LOT</t>
  </si>
  <si>
    <t>MFG</t>
  </si>
  <si>
    <t>Season</t>
  </si>
  <si>
    <t>FA 2023</t>
  </si>
  <si>
    <t>T3FAV-01</t>
  </si>
  <si>
    <t>PO Number</t>
  </si>
  <si>
    <t>PO Item</t>
  </si>
  <si>
    <t>PO- Item</t>
  </si>
  <si>
    <t>Outsole 1 Cd</t>
  </si>
  <si>
    <t>Customer</t>
  </si>
  <si>
    <t>Country</t>
  </si>
  <si>
    <t>China Flex Test - Add Canvas in RB</t>
  </si>
  <si>
    <t>OGAC Date</t>
  </si>
  <si>
    <t>Document date</t>
  </si>
  <si>
    <t>Material</t>
  </si>
  <si>
    <t>MODEL</t>
  </si>
  <si>
    <t>Remark</t>
  </si>
  <si>
    <t>Gender Age</t>
  </si>
  <si>
    <t>Total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</si>
  <si>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</si>
  <si>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</si>
  <si>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</si>
  <si>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</si>
  <si>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</si>
  <si>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</si>
  <si>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</si>
  <si>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</si>
  <si>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</si>
  <si>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</si>
  <si>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</si>
  <si>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</si>
  <si>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</si>
  <si>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</si>
  <si>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</si>
  <si>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</si>
  <si>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</si>
  <si>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</si>
  <si>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</si>
  <si>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</si>
  <si>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14</t>
  </si>
  <si>
    <t>15</t>
  </si>
  <si>
    <t>16</t>
  </si>
  <si>
    <t>17</t>
  </si>
  <si>
    <t>18</t>
  </si>
  <si>
    <t>19</t>
  </si>
  <si>
    <t>SLT 6.5wk</t>
  </si>
  <si>
    <t>T3FAV Total</t>
  </si>
  <si>
    <t>Grand Total</t>
  </si>
  <si>
    <t>Comparison for PO Buy in JUN.2023 (MEN ~ WOMEN ) - SLT</t>
  </si>
  <si>
    <t>4509525847-10</t>
  </si>
  <si>
    <t>T3FAW-01</t>
  </si>
  <si>
    <t>T3FAW</t>
  </si>
  <si>
    <t>T3FAW Total</t>
  </si>
  <si>
    <t>SLT 6.12wk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</si>
  <si>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</si>
  <si>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</si>
  <si>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</si>
  <si>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</si>
  <si>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</si>
  <si>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</si>
  <si>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</si>
  <si>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</si>
  <si>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</si>
  <si>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</si>
  <si>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</si>
  <si>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</si>
  <si>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</si>
  <si>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</si>
  <si>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</si>
  <si>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</si>
  <si>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</si>
  <si>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</si>
  <si>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</si>
  <si>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</si>
  <si>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</si>
  <si>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</si>
  <si>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</si>
  <si>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</si>
  <si>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</si>
  <si>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</si>
  <si>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</si>
  <si>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</si>
  <si>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</si>
  <si>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7.5Y</t>
  </si>
  <si>
    <t>8Y</t>
  </si>
  <si>
    <t>8.5Y</t>
  </si>
  <si>
    <t>9Y</t>
  </si>
  <si>
    <t>9.5Y</t>
  </si>
  <si>
    <t>3503406250-10</t>
  </si>
  <si>
    <t>OS398152-1</t>
  </si>
  <si>
    <t>South Korea</t>
  </si>
  <si>
    <t>HO 2023</t>
  </si>
  <si>
    <t>T3HAT-01</t>
  </si>
  <si>
    <t>FV3649-171</t>
  </si>
  <si>
    <t>COURT BOROUGH MID 2 (GS)</t>
  </si>
  <si>
    <t>6.14 Buy</t>
  </si>
  <si>
    <t>GRD SCHOOL UNSX</t>
  </si>
  <si>
    <t>3503405147-10</t>
  </si>
  <si>
    <t>Japan</t>
  </si>
  <si>
    <t>T3HAT-02</t>
  </si>
  <si>
    <t>6000729856-100</t>
  </si>
  <si>
    <t>China</t>
  </si>
  <si>
    <t>T3HAT-03</t>
  </si>
  <si>
    <t>4509528870-10</t>
  </si>
  <si>
    <t>Panama</t>
  </si>
  <si>
    <t>T3HAT-04</t>
  </si>
  <si>
    <t>3503406249-10</t>
  </si>
  <si>
    <t>T3HAT-05</t>
  </si>
  <si>
    <t>T3HAT Total</t>
  </si>
  <si>
    <t>4509530771-20</t>
  </si>
  <si>
    <t>OS399516-1</t>
  </si>
  <si>
    <t>USA</t>
  </si>
  <si>
    <t>T3K62-01</t>
  </si>
  <si>
    <t>DQ8650-100</t>
  </si>
  <si>
    <t>LEBRON WITNESS VII (GS)</t>
  </si>
  <si>
    <t>4509530773-10</t>
  </si>
  <si>
    <t>T3K62-02</t>
  </si>
  <si>
    <t>4509530771-10</t>
  </si>
  <si>
    <t>T3K62-03</t>
  </si>
  <si>
    <t>4509530769-10</t>
  </si>
  <si>
    <t>T3K62-04</t>
  </si>
  <si>
    <t>6000729850-100</t>
  </si>
  <si>
    <t>T3K62-05</t>
  </si>
  <si>
    <t>T3K62 Total</t>
  </si>
  <si>
    <t>4509530775-10</t>
  </si>
  <si>
    <t>T3K63-01</t>
  </si>
  <si>
    <t>T3K63 Total</t>
  </si>
  <si>
    <t>4509530771-40</t>
  </si>
  <si>
    <t>T3K64-01</t>
  </si>
  <si>
    <t>FQ8170-585</t>
  </si>
  <si>
    <t>LEBRON WITNESS VII GS</t>
  </si>
  <si>
    <t>4509530771-30</t>
  </si>
  <si>
    <t>T3K64-02</t>
  </si>
  <si>
    <t>6000729853-100</t>
  </si>
  <si>
    <t>T3K64-03</t>
  </si>
  <si>
    <t>T3K64 Total</t>
  </si>
  <si>
    <t>4509528871-10</t>
  </si>
  <si>
    <t>Peru</t>
  </si>
  <si>
    <t>T3K65-01</t>
  </si>
  <si>
    <t>3503406249-20</t>
  </si>
  <si>
    <t>T3K65-02</t>
  </si>
  <si>
    <t>T3K65 Total</t>
  </si>
  <si>
    <t>4509530298-50</t>
  </si>
  <si>
    <t>OS400533-1</t>
  </si>
  <si>
    <t>Canada</t>
  </si>
  <si>
    <t>SP 2024</t>
  </si>
  <si>
    <t>T3K77-01</t>
  </si>
  <si>
    <t>FB2689-501</t>
  </si>
  <si>
    <t>NIKE AIR ZOOM CROSSOVER 2 (GS)</t>
  </si>
  <si>
    <t>6.14 Buy; Cancel Lot</t>
  </si>
  <si>
    <t>4509530298-10</t>
  </si>
  <si>
    <t>T3K77-02</t>
  </si>
  <si>
    <t>T3K77 Total</t>
  </si>
  <si>
    <t>4509530298-30</t>
  </si>
  <si>
    <t>T3K78-01</t>
  </si>
  <si>
    <t>FB2689-600</t>
  </si>
  <si>
    <t>T3K78 Total</t>
  </si>
  <si>
    <t>4509529624-80</t>
  </si>
  <si>
    <t>N</t>
  </si>
  <si>
    <t>T3K79-01</t>
  </si>
  <si>
    <t>FB2689-601</t>
  </si>
  <si>
    <t>6000729464-100</t>
  </si>
  <si>
    <t>T3K79-02</t>
  </si>
  <si>
    <t>T3K79 Total</t>
  </si>
  <si>
    <t>4509529624-30</t>
  </si>
  <si>
    <t>T3K80-01</t>
  </si>
  <si>
    <t>FJ6988-001</t>
  </si>
  <si>
    <t>AIR ZOOM CROSSOVER 2 SE (GS)</t>
  </si>
  <si>
    <t>4509530298-60</t>
  </si>
  <si>
    <t>T3K80-02</t>
  </si>
  <si>
    <t>6000729465-100</t>
  </si>
  <si>
    <t>T3K80-03</t>
  </si>
  <si>
    <t>T3K80 Total</t>
  </si>
  <si>
    <t>6000729466-100</t>
  </si>
  <si>
    <t>T3K81-01</t>
  </si>
  <si>
    <t>FZ5527-161</t>
  </si>
  <si>
    <t>T3K81 Total</t>
  </si>
  <si>
    <t>3503405147-20</t>
  </si>
  <si>
    <t>T3M17-01</t>
  </si>
  <si>
    <t>3503406251-10</t>
  </si>
  <si>
    <t>T3M17-02</t>
  </si>
  <si>
    <t>T3M17 Total</t>
  </si>
  <si>
    <t>4509530298-20</t>
  </si>
  <si>
    <t>T3M21-01</t>
  </si>
  <si>
    <t>T3M21 Total</t>
  </si>
  <si>
    <t>4509529624-50</t>
  </si>
  <si>
    <t>T3M22-01</t>
  </si>
  <si>
    <t>4509529624-10</t>
  </si>
  <si>
    <t>T3M22-02</t>
  </si>
  <si>
    <t>4509529458-10</t>
  </si>
  <si>
    <t>T3M22-03</t>
  </si>
  <si>
    <t>4509529458-20</t>
  </si>
  <si>
    <t>T3M22-04</t>
  </si>
  <si>
    <t>4509529458-30</t>
  </si>
  <si>
    <t>T3M22-05</t>
  </si>
  <si>
    <t>4509530298-40</t>
  </si>
  <si>
    <t>T3M22-06</t>
  </si>
  <si>
    <t>T3M22 Total</t>
  </si>
  <si>
    <t>4509529624-70</t>
  </si>
  <si>
    <t>T3M23-01</t>
  </si>
  <si>
    <t>4509529624-60</t>
  </si>
  <si>
    <t>T3M23-02</t>
  </si>
  <si>
    <t>6000729852-100</t>
  </si>
  <si>
    <t>T3M23-03</t>
  </si>
  <si>
    <t>6.14 Buy; Cancel 3945prs</t>
  </si>
  <si>
    <t>T3M23 Total</t>
  </si>
  <si>
    <t>6000729852-200</t>
  </si>
  <si>
    <t>T3M24-01</t>
  </si>
  <si>
    <t>T3M24 Total</t>
  </si>
  <si>
    <t>6000729854-100</t>
  </si>
  <si>
    <t>T3M25-01</t>
  </si>
  <si>
    <t>T3M25 Total</t>
  </si>
  <si>
    <t>3503405473-20</t>
  </si>
  <si>
    <t>OS399549-1</t>
  </si>
  <si>
    <t>Philippines</t>
  </si>
  <si>
    <t>T3HAQ-01</t>
  </si>
  <si>
    <t>DC8185-009</t>
  </si>
  <si>
    <t>NIKE RENEW RIDE 3</t>
  </si>
  <si>
    <t>MENS</t>
  </si>
  <si>
    <t>T3HAQ Total</t>
  </si>
  <si>
    <t>4509528877-10</t>
  </si>
  <si>
    <t>T3HAR-01</t>
  </si>
  <si>
    <t>DC8185-010</t>
  </si>
  <si>
    <t>3503406005-10</t>
  </si>
  <si>
    <t>Malaysia</t>
  </si>
  <si>
    <t>T3HAR-02</t>
  </si>
  <si>
    <t>3503405033-10</t>
  </si>
  <si>
    <t>Thailand</t>
  </si>
  <si>
    <t>T3HAR-03</t>
  </si>
  <si>
    <t>3503405473-30</t>
  </si>
  <si>
    <t>T3HAR-04</t>
  </si>
  <si>
    <t>3503403924-10</t>
  </si>
  <si>
    <t>India</t>
  </si>
  <si>
    <t>T3HAR-05</t>
  </si>
  <si>
    <t>T3HAR Total</t>
  </si>
  <si>
    <t>3503404817-10</t>
  </si>
  <si>
    <t>OS399712-1</t>
  </si>
  <si>
    <t>T3HAS-01</t>
  </si>
  <si>
    <t>DD9304-008</t>
  </si>
  <si>
    <t>NIKE RENEW ELEVATE III</t>
  </si>
  <si>
    <t>3503403925-10</t>
  </si>
  <si>
    <t>T3HAS-02</t>
  </si>
  <si>
    <t>T3HAS Total</t>
  </si>
  <si>
    <t>4509529926-10</t>
  </si>
  <si>
    <t>T3HAU-01</t>
  </si>
  <si>
    <t>DD9304-010</t>
  </si>
  <si>
    <t>T3HAU Total</t>
  </si>
  <si>
    <t>4509530579-10</t>
  </si>
  <si>
    <t>OS398785-1</t>
  </si>
  <si>
    <t>T3K44-01</t>
  </si>
  <si>
    <t>CU4826-001</t>
  </si>
  <si>
    <t>NIKE AIR MAX AP</t>
  </si>
  <si>
    <t>3503405148-20</t>
  </si>
  <si>
    <t>T3K44-02</t>
  </si>
  <si>
    <t>3503406004-10</t>
  </si>
  <si>
    <t>T3K44-03</t>
  </si>
  <si>
    <t>3503406252-10</t>
  </si>
  <si>
    <t>T3K44-04</t>
  </si>
  <si>
    <t>T3K44 Total</t>
  </si>
  <si>
    <t>3503406254-10</t>
  </si>
  <si>
    <t>T3K45-01</t>
  </si>
  <si>
    <t>3503406255-10</t>
  </si>
  <si>
    <t>T3K45-02</t>
  </si>
  <si>
    <t>4509527410-10</t>
  </si>
  <si>
    <t>Brazil</t>
  </si>
  <si>
    <t>T3K45-03</t>
  </si>
  <si>
    <t>T3K45 Total</t>
  </si>
  <si>
    <t>3503406253-20</t>
  </si>
  <si>
    <t>T3K46-01</t>
  </si>
  <si>
    <t>CU4826-100</t>
  </si>
  <si>
    <t>4509527410-20</t>
  </si>
  <si>
    <t>T3K46-02</t>
  </si>
  <si>
    <t>4509528874-10</t>
  </si>
  <si>
    <t>T3K46-03</t>
  </si>
  <si>
    <t>3503406254-20</t>
  </si>
  <si>
    <t>T3K46-04</t>
  </si>
  <si>
    <t>T3K46 Total</t>
  </si>
  <si>
    <t>4509528875-10</t>
  </si>
  <si>
    <t>T3K47-01</t>
  </si>
  <si>
    <t>CU4870-001</t>
  </si>
  <si>
    <t>WMNS NIKE AIR MAX AP</t>
  </si>
  <si>
    <t>3503405149-40</t>
  </si>
  <si>
    <t>T3K47-02</t>
  </si>
  <si>
    <t>3503405150-20</t>
  </si>
  <si>
    <t>T3K47-03</t>
  </si>
  <si>
    <t>T3K47 Total</t>
  </si>
  <si>
    <t>3503406259-20</t>
  </si>
  <si>
    <t>T3K48-01</t>
  </si>
  <si>
    <t>4509527411-10</t>
  </si>
  <si>
    <t>T3K48-02</t>
  </si>
  <si>
    <t>T3K48 Total</t>
  </si>
  <si>
    <t>3503406258-10</t>
  </si>
  <si>
    <t>T3K49-01</t>
  </si>
  <si>
    <t>CU4870-005</t>
  </si>
  <si>
    <t>3503405149-30</t>
  </si>
  <si>
    <t>T3K49-02</t>
  </si>
  <si>
    <t>3503405150-10</t>
  </si>
  <si>
    <t>T3K49-03</t>
  </si>
  <si>
    <t>3503405149-10</t>
  </si>
  <si>
    <t>T3K49-04</t>
  </si>
  <si>
    <t>3503405149-20</t>
  </si>
  <si>
    <t>T3K49-05</t>
  </si>
  <si>
    <t>3503406256-10</t>
  </si>
  <si>
    <t>T3K49-06</t>
  </si>
  <si>
    <t>3503406257-10</t>
  </si>
  <si>
    <t>T3K49-07</t>
  </si>
  <si>
    <t>T3K49 Total</t>
  </si>
  <si>
    <t>3503406259-10</t>
  </si>
  <si>
    <t>T3K50-01</t>
  </si>
  <si>
    <t>T3K50 Total</t>
  </si>
  <si>
    <t>3503406005-20</t>
  </si>
  <si>
    <t>T3K51-01</t>
  </si>
  <si>
    <t>3503405033-20</t>
  </si>
  <si>
    <t>T3K51-02</t>
  </si>
  <si>
    <t>4509528876-10</t>
  </si>
  <si>
    <t>T3K51-03</t>
  </si>
  <si>
    <t>4509528876-20</t>
  </si>
  <si>
    <t>T3K51-04</t>
  </si>
  <si>
    <t>4509528876-30</t>
  </si>
  <si>
    <t>T3K51-05</t>
  </si>
  <si>
    <t>4509528876-40</t>
  </si>
  <si>
    <t>T3K51-06</t>
  </si>
  <si>
    <t>4509528876-50</t>
  </si>
  <si>
    <t>T3K51-07</t>
  </si>
  <si>
    <t>4509528876-60</t>
  </si>
  <si>
    <t>T3K51-08</t>
  </si>
  <si>
    <t>T3K51 Total</t>
  </si>
  <si>
    <t>4509530764-10</t>
  </si>
  <si>
    <t>T3K52-01</t>
  </si>
  <si>
    <t>3503405473-10</t>
  </si>
  <si>
    <t>T3K52-02</t>
  </si>
  <si>
    <t>3503405473-50</t>
  </si>
  <si>
    <t>T3K52-03</t>
  </si>
  <si>
    <t>T3K52 Total</t>
  </si>
  <si>
    <t>3503405320-10</t>
  </si>
  <si>
    <t>T3K53-01</t>
  </si>
  <si>
    <t>3503404817-20</t>
  </si>
  <si>
    <t>T3K53-02</t>
  </si>
  <si>
    <t>3503404817-30</t>
  </si>
  <si>
    <t>T3K53-03</t>
  </si>
  <si>
    <t>4509530096-10</t>
  </si>
  <si>
    <t>Chile</t>
  </si>
  <si>
    <t>T3K53-04</t>
  </si>
  <si>
    <t>T3K53 Total</t>
  </si>
  <si>
    <t>4509529713-10</t>
  </si>
  <si>
    <t>T3K54-01</t>
  </si>
  <si>
    <t>DH3161-003</t>
  </si>
  <si>
    <t>3503404422-10</t>
  </si>
  <si>
    <t>Singapore</t>
  </si>
  <si>
    <t>T3K54-02</t>
  </si>
  <si>
    <t>3503406002-10</t>
  </si>
  <si>
    <t>T3K54-03</t>
  </si>
  <si>
    <t>4509528872-10</t>
  </si>
  <si>
    <t>T3K54-04</t>
  </si>
  <si>
    <t>T3K54 Total</t>
  </si>
  <si>
    <t>3503405471-20</t>
  </si>
  <si>
    <t>T3K55-01</t>
  </si>
  <si>
    <t>T3K55 Total</t>
  </si>
  <si>
    <t>4509530766-10</t>
  </si>
  <si>
    <t>OS398877-1</t>
  </si>
  <si>
    <t>T3K56-01</t>
  </si>
  <si>
    <t>DM0823-003</t>
  </si>
  <si>
    <t>M NIKE MC TRAINER 2</t>
  </si>
  <si>
    <t>4509530767-10</t>
  </si>
  <si>
    <t>T3K56-02</t>
  </si>
  <si>
    <t>4509529429-10</t>
  </si>
  <si>
    <t>T3K56-03</t>
  </si>
  <si>
    <t>4509529429-20</t>
  </si>
  <si>
    <t>T3K56-04</t>
  </si>
  <si>
    <t>3503404818-10</t>
  </si>
  <si>
    <t>T3K56-05</t>
  </si>
  <si>
    <t>3503403926-10</t>
  </si>
  <si>
    <t>T3K56-06</t>
  </si>
  <si>
    <t>4509528945-10</t>
  </si>
  <si>
    <t>Mexico</t>
  </si>
  <si>
    <t>T3K56-07</t>
  </si>
  <si>
    <t>3503405035-10</t>
  </si>
  <si>
    <t>T3K56-08</t>
  </si>
  <si>
    <t>3503404818-20</t>
  </si>
  <si>
    <t>T3K56-09</t>
  </si>
  <si>
    <t>4509530099-10</t>
  </si>
  <si>
    <t>T3K56-10</t>
  </si>
  <si>
    <t>T3K56 Total</t>
  </si>
  <si>
    <t>3503405152-10</t>
  </si>
  <si>
    <t>T3K57-01</t>
  </si>
  <si>
    <t>DM0824-104</t>
  </si>
  <si>
    <t>W NIKE MC TRAINER 2</t>
  </si>
  <si>
    <t>4509529437-10</t>
  </si>
  <si>
    <t>T3K57-02</t>
  </si>
  <si>
    <t>4509530100-10</t>
  </si>
  <si>
    <t>T3K57-03</t>
  </si>
  <si>
    <t>4509530100-20</t>
  </si>
  <si>
    <t>T3K57-04</t>
  </si>
  <si>
    <t>4509530100-30</t>
  </si>
  <si>
    <t>T3K57-05</t>
  </si>
  <si>
    <t>4509530103-10</t>
  </si>
  <si>
    <t>Paraguay</t>
  </si>
  <si>
    <t>T3K57-06</t>
  </si>
  <si>
    <t>3503404819-10</t>
  </si>
  <si>
    <t>T3K57-07</t>
  </si>
  <si>
    <t>T3K57 Total</t>
  </si>
  <si>
    <t>4509530786-10</t>
  </si>
  <si>
    <t>Poland</t>
  </si>
  <si>
    <t>T3K58-01</t>
  </si>
  <si>
    <t>T3K58 Total</t>
  </si>
  <si>
    <t>4509529437-20</t>
  </si>
  <si>
    <t>T3K59-01</t>
  </si>
  <si>
    <t>DM0824-600</t>
  </si>
  <si>
    <t>4509529437-30</t>
  </si>
  <si>
    <t>T3K59-02</t>
  </si>
  <si>
    <t>4509529437-40</t>
  </si>
  <si>
    <t>T3K59-03</t>
  </si>
  <si>
    <t>T3K59 Total</t>
  </si>
  <si>
    <t>4509529437-50</t>
  </si>
  <si>
    <t>T3K60-01</t>
  </si>
  <si>
    <t>T3K60 Total</t>
  </si>
  <si>
    <t>3503405148-10</t>
  </si>
  <si>
    <t>T3K61-01</t>
  </si>
  <si>
    <t>DQ3959-001</t>
  </si>
  <si>
    <t>3503405472-10</t>
  </si>
  <si>
    <t>T3K61-02</t>
  </si>
  <si>
    <t>3503405032-10</t>
  </si>
  <si>
    <t>T3K61-03</t>
  </si>
  <si>
    <t>4509528873-10</t>
  </si>
  <si>
    <t>T3K61-04</t>
  </si>
  <si>
    <t>3503406253-10</t>
  </si>
  <si>
    <t>T3K61-05</t>
  </si>
  <si>
    <t>4509527410-30</t>
  </si>
  <si>
    <t>T3K61-06</t>
  </si>
  <si>
    <t>3503406003-10</t>
  </si>
  <si>
    <t>T3K61-07</t>
  </si>
  <si>
    <t>T3K61 Total</t>
  </si>
  <si>
    <t>4509528949-10</t>
  </si>
  <si>
    <t>T3K66-01</t>
  </si>
  <si>
    <t>4509530293-10</t>
  </si>
  <si>
    <t>T3K66-02</t>
  </si>
  <si>
    <t>T3K66 Total</t>
  </si>
  <si>
    <t>4509529716-10</t>
  </si>
  <si>
    <t>T3K67-01</t>
  </si>
  <si>
    <t>DH3161-108</t>
  </si>
  <si>
    <t>4509528947-10</t>
  </si>
  <si>
    <t>T3K67-02</t>
  </si>
  <si>
    <t>T3K67 Total</t>
  </si>
  <si>
    <t>4509528951-20</t>
  </si>
  <si>
    <t>T3K68-01</t>
  </si>
  <si>
    <t>T3K68 Total</t>
  </si>
  <si>
    <t>4509530294-30</t>
  </si>
  <si>
    <t>T3K69-01</t>
  </si>
  <si>
    <t>DM0823-011</t>
  </si>
  <si>
    <t>T3K69 Total</t>
  </si>
  <si>
    <t>4509530294-40</t>
  </si>
  <si>
    <t>T3K70-01</t>
  </si>
  <si>
    <t>T3K70 Total</t>
  </si>
  <si>
    <t>4509530294-10</t>
  </si>
  <si>
    <t>T3K71-01</t>
  </si>
  <si>
    <t>DM0823-102</t>
  </si>
  <si>
    <t>T3K71 Total</t>
  </si>
  <si>
    <t>4509530294-20</t>
  </si>
  <si>
    <t>T3K72-01</t>
  </si>
  <si>
    <t>T3K72 Total</t>
  </si>
  <si>
    <t>4509530294-50</t>
  </si>
  <si>
    <t>T3K73-01</t>
  </si>
  <si>
    <t>T3K73 Total</t>
  </si>
  <si>
    <t>4509530294-60</t>
  </si>
  <si>
    <t>T3K74-01</t>
  </si>
  <si>
    <t>T3K74 Total</t>
  </si>
  <si>
    <t>4509529929-10</t>
  </si>
  <si>
    <t>T3K75-01</t>
  </si>
  <si>
    <t>DM0824-003</t>
  </si>
  <si>
    <t>4509530295-60</t>
  </si>
  <si>
    <t>T3K75-02</t>
  </si>
  <si>
    <t>4509530295-30</t>
  </si>
  <si>
    <t>T3K75-03</t>
  </si>
  <si>
    <t>4509530295-50</t>
  </si>
  <si>
    <t>T3K75-04</t>
  </si>
  <si>
    <t>T3K75 Total</t>
  </si>
  <si>
    <t>4509530295-10</t>
  </si>
  <si>
    <t>T3K76-01</t>
  </si>
  <si>
    <t>DM0824-008</t>
  </si>
  <si>
    <t>4509528952-10</t>
  </si>
  <si>
    <t>T3K76-02</t>
  </si>
  <si>
    <t>4509530295-20</t>
  </si>
  <si>
    <t>T3K76-03</t>
  </si>
  <si>
    <t>T3K76 Total</t>
  </si>
  <si>
    <t>3503405148-30</t>
  </si>
  <si>
    <t>T3M12-01</t>
  </si>
  <si>
    <t>T3M12 Total</t>
  </si>
  <si>
    <t>3503405473-40</t>
  </si>
  <si>
    <t>T3M13-01</t>
  </si>
  <si>
    <t>T3M13 Total</t>
  </si>
  <si>
    <t>3503405471-10</t>
  </si>
  <si>
    <t>T3M14-01</t>
  </si>
  <si>
    <t>T3M14 Total</t>
  </si>
  <si>
    <t>3503405152-20</t>
  </si>
  <si>
    <t>T3M15-01</t>
  </si>
  <si>
    <t>T3M15 Total</t>
  </si>
  <si>
    <t>3503405472-20</t>
  </si>
  <si>
    <t>T3M16-01</t>
  </si>
  <si>
    <t>3503405032-20</t>
  </si>
  <si>
    <t>T3M16-02</t>
  </si>
  <si>
    <t>T3M16 Total</t>
  </si>
  <si>
    <t>4509528951-10</t>
  </si>
  <si>
    <t>T3M18-01</t>
  </si>
  <si>
    <t>T3M18 Total</t>
  </si>
  <si>
    <t>4509529443-10</t>
  </si>
  <si>
    <t>T3M19-01</t>
  </si>
  <si>
    <t>T3M19 Total</t>
  </si>
  <si>
    <t>4509529929-20</t>
  </si>
  <si>
    <t>T3M20-01</t>
  </si>
  <si>
    <t>4509529443-20</t>
  </si>
  <si>
    <t>T3M20-02</t>
  </si>
  <si>
    <t>4509531095-10</t>
  </si>
  <si>
    <t>T3M20-03</t>
  </si>
  <si>
    <t>4509530295-40</t>
  </si>
  <si>
    <t>T3M20-04</t>
  </si>
  <si>
    <t>4509530116-10</t>
  </si>
  <si>
    <t>T3M20-05</t>
  </si>
  <si>
    <t>T3M20 Total</t>
  </si>
  <si>
    <t>4509528576-10</t>
  </si>
  <si>
    <t>OS399518-1</t>
  </si>
  <si>
    <t>T3WCE-01</t>
  </si>
  <si>
    <t>DQ8647-101</t>
  </si>
  <si>
    <t>LEBRON WITNESS VII (PS)</t>
  </si>
  <si>
    <t>PRE SCHOOL UNSX</t>
  </si>
  <si>
    <t>T3WCE Total</t>
  </si>
  <si>
    <t>4509528575-10</t>
  </si>
  <si>
    <t>T3WCF-01</t>
  </si>
  <si>
    <t>DQ8650-005</t>
  </si>
  <si>
    <t>T3WCF Total</t>
  </si>
  <si>
    <t>4509528581-10</t>
  </si>
  <si>
    <t>T3WCG-01</t>
  </si>
  <si>
    <t>T3WCG Total</t>
  </si>
  <si>
    <t>4509529561-10</t>
  </si>
  <si>
    <t>T3WC8-01</t>
  </si>
  <si>
    <t>T3WC8 Total</t>
  </si>
  <si>
    <t>4509529561-20</t>
  </si>
  <si>
    <t>T3WC9-01</t>
  </si>
  <si>
    <t>CU4826-002</t>
  </si>
  <si>
    <t>T3WC9 Total</t>
  </si>
  <si>
    <t>4509528574-40</t>
  </si>
  <si>
    <t>T3WCA-01</t>
  </si>
  <si>
    <t>T3WCA Total</t>
  </si>
  <si>
    <t>4509528574-20</t>
  </si>
  <si>
    <t>T3WCB-01</t>
  </si>
  <si>
    <t>DM0823-004</t>
  </si>
  <si>
    <t>T3WCB Total</t>
  </si>
  <si>
    <t>4509528574-30</t>
  </si>
  <si>
    <t>T3WCC-01</t>
  </si>
  <si>
    <t>T3WCC Total</t>
  </si>
  <si>
    <t>4509528574-10</t>
  </si>
  <si>
    <t>T3WCD-01</t>
  </si>
  <si>
    <t>T3WCD Total</t>
  </si>
  <si>
    <t>Comparison for PO Buy in JUN.2023 (MEN ~ WOMEN ) - Shoes</t>
  </si>
  <si>
    <t>Comparison for PO Buy in JUN.2023 (PS~GS)- Promo Shoes</t>
  </si>
  <si>
    <t>Comparison for PO Buy in Jun.2023 (Men ~ Women)- Promo Shoes</t>
  </si>
  <si>
    <t>4509537649-40</t>
  </si>
  <si>
    <t>T3HAX-01</t>
  </si>
  <si>
    <t>DQ8647-004</t>
  </si>
  <si>
    <t>T3HAX Total</t>
  </si>
  <si>
    <t>4509537649-30</t>
  </si>
  <si>
    <t>T3K82-01</t>
  </si>
  <si>
    <t>T3K82 Total</t>
  </si>
  <si>
    <t>4509537649-20</t>
  </si>
  <si>
    <t>T3K83-01</t>
  </si>
  <si>
    <t>T3K83 Total</t>
  </si>
  <si>
    <t>4509537649-10</t>
  </si>
  <si>
    <t>T3K84-01</t>
  </si>
  <si>
    <t>DQ8650-400</t>
  </si>
  <si>
    <t>T3K84 Total</t>
  </si>
  <si>
    <t>4509536631-10</t>
  </si>
  <si>
    <t>T3HAV-01</t>
  </si>
  <si>
    <t>T3HAV Total</t>
  </si>
  <si>
    <t>4509536631-20</t>
  </si>
  <si>
    <t>T3HAW-01</t>
  </si>
  <si>
    <t>DM0824-301</t>
  </si>
  <si>
    <t>T3HAW Total</t>
  </si>
  <si>
    <t>3503408333-10</t>
  </si>
  <si>
    <t>T3M26-01</t>
  </si>
  <si>
    <t>T3M26 Total</t>
  </si>
  <si>
    <t>3503408333-20</t>
  </si>
  <si>
    <t>T3M27-01</t>
  </si>
  <si>
    <t>CU4826-105</t>
  </si>
  <si>
    <t>T3M27 Total</t>
  </si>
  <si>
    <t>3503408333-30</t>
  </si>
  <si>
    <t>T3M28-01</t>
  </si>
  <si>
    <t>T3M28 Total</t>
  </si>
  <si>
    <t>4509541916-100</t>
  </si>
  <si>
    <t>T3K87-01</t>
  </si>
  <si>
    <t>6.14 Buy - Late add</t>
  </si>
  <si>
    <t>T3K87 Total</t>
  </si>
  <si>
    <t>4509542228-10</t>
  </si>
  <si>
    <t>T3HAY-01</t>
  </si>
  <si>
    <t>T3HAY Total</t>
  </si>
  <si>
    <t>4509541916-20</t>
  </si>
  <si>
    <t>T3K85-01</t>
  </si>
  <si>
    <t>T3K85 Total</t>
  </si>
  <si>
    <t>4509541916-30</t>
  </si>
  <si>
    <t>T3K86-01</t>
  </si>
  <si>
    <t>T3K86 Total</t>
  </si>
  <si>
    <t>4509541339-10</t>
  </si>
  <si>
    <t>T3GDV-01</t>
  </si>
  <si>
    <t>SLT 6.19wk</t>
  </si>
  <si>
    <t>T3GDV Total</t>
  </si>
  <si>
    <t>4509529458-40</t>
  </si>
  <si>
    <t>T3M22-07</t>
  </si>
  <si>
    <t>6.14 Buy; Divert from T3M22-03</t>
  </si>
  <si>
    <t>6.14 Buy; Cancel 80prs</t>
  </si>
  <si>
    <t>4509529458-50</t>
  </si>
  <si>
    <t>T3M22-08</t>
  </si>
  <si>
    <t>6.14 Buy; Divert from T3M22-04</t>
  </si>
  <si>
    <t>6.14 Buy; Cancel 33prs</t>
  </si>
  <si>
    <t>4509529458-60</t>
  </si>
  <si>
    <t>T3M22-09</t>
  </si>
  <si>
    <t>6.14 Buy; Divert from T3M22-05</t>
  </si>
  <si>
    <t>6.14 Buy; Cancel 76prs</t>
  </si>
  <si>
    <t>4509529429-30</t>
  </si>
  <si>
    <t>T3K56-11</t>
  </si>
  <si>
    <t>6.14 Buy; Divert from T3K56-03</t>
  </si>
  <si>
    <t>6.14 Buy; Cancel 215prs</t>
  </si>
  <si>
    <t>4509529429-40</t>
  </si>
  <si>
    <t>T3K56-12</t>
  </si>
  <si>
    <t>6.14 Buy; Divert from T3K56-04</t>
  </si>
  <si>
    <t>6.14 Buy; Cancel 73prs</t>
  </si>
  <si>
    <t>4509529437-60</t>
  </si>
  <si>
    <t>T3K57-08</t>
  </si>
  <si>
    <t>6.14 Buy; Divert from T3K57-02</t>
  </si>
  <si>
    <t>6.14 Buy; Cancel 125prs</t>
  </si>
  <si>
    <t>4509529437-70</t>
  </si>
  <si>
    <t>T3K59-04</t>
  </si>
  <si>
    <t>6.14 Buy; Divert from T3K59-01</t>
  </si>
  <si>
    <t>6.14 Buy; Cancel 146prs</t>
  </si>
  <si>
    <t>4509529437-80</t>
  </si>
  <si>
    <t>T3K59-05</t>
  </si>
  <si>
    <t>6.14 Buy; Divert from T3K59-02</t>
  </si>
  <si>
    <t>6.14 Buy; Cancel 65prs</t>
  </si>
  <si>
    <t>4509529437-90</t>
  </si>
  <si>
    <t>T3K59-06</t>
  </si>
  <si>
    <t>6.14 Buy; Divert from T3K59-03</t>
  </si>
  <si>
    <t>6.14 Buy; Cancel 261prs</t>
  </si>
  <si>
    <t>4509529437-100</t>
  </si>
  <si>
    <t>T3K60-02</t>
  </si>
  <si>
    <t>6.14 Buy; Divert from T3K60-01</t>
  </si>
  <si>
    <t>6.14 Buy; Cancel 214prs</t>
  </si>
  <si>
    <t>4509529443-30</t>
  </si>
  <si>
    <t>T3M19-02</t>
  </si>
  <si>
    <t>6.14 Buy; Divert from T3M19-01</t>
  </si>
  <si>
    <t>6.14 Buy; Cancel 1014prs</t>
  </si>
  <si>
    <t>4509529443-40</t>
  </si>
  <si>
    <t>T3M20-06</t>
  </si>
  <si>
    <t>6.14 Buy; Divert from T3M20-02</t>
  </si>
  <si>
    <t>110</t>
  </si>
  <si>
    <t>4509529624</t>
  </si>
  <si>
    <t>4509529624-110</t>
  </si>
  <si>
    <t>T3M22-10</t>
  </si>
  <si>
    <t>6.14 Buy; Divert from T3M22-02</t>
  </si>
  <si>
    <t>6.14 Buy; Cancel 102 prs</t>
  </si>
  <si>
    <t>T3M23-04</t>
  </si>
  <si>
    <t>100</t>
  </si>
  <si>
    <t>4509529624-100</t>
  </si>
  <si>
    <t>6.14 Buy; Divert from T3M23-02</t>
  </si>
  <si>
    <t>6.14 Buy; Cancel 138 prs</t>
  </si>
  <si>
    <t>4509544240-10</t>
  </si>
  <si>
    <t>T3GDW-01</t>
  </si>
  <si>
    <t>T3GDW</t>
  </si>
  <si>
    <t>T3GDW Total</t>
  </si>
  <si>
    <t>SLT 6.26wk</t>
  </si>
  <si>
    <t>4509562002-20</t>
  </si>
  <si>
    <t>Germany</t>
  </si>
  <si>
    <t>T3KA6-01</t>
  </si>
  <si>
    <t>FB2689-002</t>
  </si>
  <si>
    <t>6.28 Buy</t>
  </si>
  <si>
    <t>T3KA6 Total</t>
  </si>
  <si>
    <t>4509562002-10</t>
  </si>
  <si>
    <t>T3KA7-01</t>
  </si>
  <si>
    <t>FB2689-100</t>
  </si>
  <si>
    <t>T3KA7 Total</t>
  </si>
  <si>
    <t>4509553679-10</t>
  </si>
  <si>
    <t>OS400631-1</t>
  </si>
  <si>
    <t>T3KA8-01</t>
  </si>
  <si>
    <t>FN1193-001</t>
  </si>
  <si>
    <t>AIR FORCE 1 MID EASYON (GS)</t>
  </si>
  <si>
    <t>BOYS GRADE SCHL</t>
  </si>
  <si>
    <t>4509560854-10</t>
  </si>
  <si>
    <t>Malta</t>
  </si>
  <si>
    <t>T3KA8-02</t>
  </si>
  <si>
    <t>4509561081-10</t>
  </si>
  <si>
    <t>Utd.Arab.Emir.</t>
  </si>
  <si>
    <t>T3KA8-03</t>
  </si>
  <si>
    <t>4509553679-20</t>
  </si>
  <si>
    <t>T3KA8-04</t>
  </si>
  <si>
    <t>4509562005-10</t>
  </si>
  <si>
    <t>T3KA8-05</t>
  </si>
  <si>
    <t>4509562006-10</t>
  </si>
  <si>
    <t>T3KA8-06</t>
  </si>
  <si>
    <t>4509557503-10</t>
  </si>
  <si>
    <t>T3KA8-07</t>
  </si>
  <si>
    <t>T3KA8 Total</t>
  </si>
  <si>
    <t>4509560855-10</t>
  </si>
  <si>
    <t>Israel</t>
  </si>
  <si>
    <t>T3M39-01</t>
  </si>
  <si>
    <t>T3M39 Total</t>
  </si>
  <si>
    <t>4509583649-10</t>
  </si>
  <si>
    <t>T3KAD-01</t>
  </si>
  <si>
    <t>DQ8647-400</t>
  </si>
  <si>
    <t>T3KAD Total</t>
  </si>
  <si>
    <t>4509583649-20</t>
  </si>
  <si>
    <t>T3KAE-01</t>
  </si>
  <si>
    <t>DQ8650-004</t>
  </si>
  <si>
    <t>T3KAE Total</t>
  </si>
  <si>
    <t>4509580793-10</t>
  </si>
  <si>
    <t>T3KAB-01</t>
  </si>
  <si>
    <t>T3KAB Total</t>
  </si>
  <si>
    <t>4509554316-10</t>
  </si>
  <si>
    <t>T3KA9-01</t>
  </si>
  <si>
    <t>T3KA9 Total</t>
  </si>
  <si>
    <t>4509581966-10</t>
  </si>
  <si>
    <t>T3KAA-01</t>
  </si>
  <si>
    <t>T3KAA Total</t>
  </si>
  <si>
    <t>4509555191-10</t>
  </si>
  <si>
    <t>T3KAC-01</t>
  </si>
  <si>
    <t>T3KAC Total</t>
  </si>
  <si>
    <t>4509554320-10</t>
  </si>
  <si>
    <t>T3M40-01</t>
  </si>
  <si>
    <t>T3M40 Total</t>
  </si>
  <si>
    <t>4509555100-10</t>
  </si>
  <si>
    <t>T3K88-01</t>
  </si>
  <si>
    <t>4509554209-10</t>
  </si>
  <si>
    <t>T3K88-02</t>
  </si>
  <si>
    <t>T3K88 Total</t>
  </si>
  <si>
    <t>4509568634-10</t>
  </si>
  <si>
    <t>T3K89-01</t>
  </si>
  <si>
    <t>T3K89 Total</t>
  </si>
  <si>
    <t>4509568682-10</t>
  </si>
  <si>
    <t>T3K90-01</t>
  </si>
  <si>
    <t>DD9304-005</t>
  </si>
  <si>
    <t>4509568685-10</t>
  </si>
  <si>
    <t>T3K90-02</t>
  </si>
  <si>
    <t>4509568685-20</t>
  </si>
  <si>
    <t>T3K90-03</t>
  </si>
  <si>
    <t>T3K90 Total</t>
  </si>
  <si>
    <t>3503414605-10</t>
  </si>
  <si>
    <t>T3K91-01</t>
  </si>
  <si>
    <t>3503412174-10</t>
  </si>
  <si>
    <t>T3K91-02</t>
  </si>
  <si>
    <t>4509552014-10</t>
  </si>
  <si>
    <t>Argentina</t>
  </si>
  <si>
    <t>T3K91-03</t>
  </si>
  <si>
    <t>3503411501-10</t>
  </si>
  <si>
    <t>T3K91-04</t>
  </si>
  <si>
    <t>T3K91 Total</t>
  </si>
  <si>
    <t>3503412174-30</t>
  </si>
  <si>
    <t>T3K92-01</t>
  </si>
  <si>
    <t>T3K92 Total</t>
  </si>
  <si>
    <t>4509568682-20</t>
  </si>
  <si>
    <t>T3K93-01</t>
  </si>
  <si>
    <t>4509568685-30</t>
  </si>
  <si>
    <t>T3K93-02</t>
  </si>
  <si>
    <t>4509568685-40</t>
  </si>
  <si>
    <t>T3K93-03</t>
  </si>
  <si>
    <t>T3K93 Total</t>
  </si>
  <si>
    <t>4509562318-10</t>
  </si>
  <si>
    <t>T3K94-01</t>
  </si>
  <si>
    <t>4509554208-10</t>
  </si>
  <si>
    <t>T3K94-02</t>
  </si>
  <si>
    <t>T3K94 Total</t>
  </si>
  <si>
    <t>4509554474-10</t>
  </si>
  <si>
    <t>T3K95-01</t>
  </si>
  <si>
    <t>3503411502-10</t>
  </si>
  <si>
    <t>T3K95-02</t>
  </si>
  <si>
    <t>T3K95 Total</t>
  </si>
  <si>
    <t>4509555113-20</t>
  </si>
  <si>
    <t>T3K96-01</t>
  </si>
  <si>
    <t>4509559947-10</t>
  </si>
  <si>
    <t>T3K96-02</t>
  </si>
  <si>
    <t>4509562320-10</t>
  </si>
  <si>
    <t>T3K96-03</t>
  </si>
  <si>
    <t>4509562320-20</t>
  </si>
  <si>
    <t>T3K96-04</t>
  </si>
  <si>
    <t>4509559948-10</t>
  </si>
  <si>
    <t>Ukraine</t>
  </si>
  <si>
    <t>T3K96-05</t>
  </si>
  <si>
    <t>4509562114-10</t>
  </si>
  <si>
    <t>T3K96-06</t>
  </si>
  <si>
    <t>T3K96 Total</t>
  </si>
  <si>
    <t>4509555113-30</t>
  </si>
  <si>
    <t>T3K97-01</t>
  </si>
  <si>
    <t>4509559947-20</t>
  </si>
  <si>
    <t>T3K97-02</t>
  </si>
  <si>
    <t>4509562320-30</t>
  </si>
  <si>
    <t>T3K97-03</t>
  </si>
  <si>
    <t>4509562114-20</t>
  </si>
  <si>
    <t>T3K97-04</t>
  </si>
  <si>
    <t>T3K97 Total</t>
  </si>
  <si>
    <t>4509560228-10</t>
  </si>
  <si>
    <t>T3K98-01</t>
  </si>
  <si>
    <t>4509562321-10</t>
  </si>
  <si>
    <t>T3K98-02</t>
  </si>
  <si>
    <t>4509560227-10</t>
  </si>
  <si>
    <t>United Kingdom</t>
  </si>
  <si>
    <t>T3K98-03</t>
  </si>
  <si>
    <t>T3K98 Total</t>
  </si>
  <si>
    <t>4509555115-10</t>
  </si>
  <si>
    <t>T3K99-01</t>
  </si>
  <si>
    <t>4509558133-10</t>
  </si>
  <si>
    <t>T3K99-02</t>
  </si>
  <si>
    <t>4509560228-20</t>
  </si>
  <si>
    <t>T3K99-03</t>
  </si>
  <si>
    <t>4509554484-10</t>
  </si>
  <si>
    <t>T3K99-04</t>
  </si>
  <si>
    <t>4509562321-20</t>
  </si>
  <si>
    <t>T3K99-05</t>
  </si>
  <si>
    <t>4509559949-10</t>
  </si>
  <si>
    <t>T3K99-06</t>
  </si>
  <si>
    <t>4509562115-20</t>
  </si>
  <si>
    <t>T3K99-07</t>
  </si>
  <si>
    <t>4509554212-20</t>
  </si>
  <si>
    <t>T3K99-08</t>
  </si>
  <si>
    <t>T3K99 Total</t>
  </si>
  <si>
    <t>4509562115-10</t>
  </si>
  <si>
    <t>T3KA1-01</t>
  </si>
  <si>
    <t>DM0824-105</t>
  </si>
  <si>
    <t>T3KA1 Total</t>
  </si>
  <si>
    <t>4509561848-10</t>
  </si>
  <si>
    <t>T3KA2-01</t>
  </si>
  <si>
    <t>T3KA2 Total</t>
  </si>
  <si>
    <t>4509559852-20</t>
  </si>
  <si>
    <t>OS400317-1</t>
  </si>
  <si>
    <t>Italy</t>
  </si>
  <si>
    <t>T3KA3-01</t>
  </si>
  <si>
    <t>DX3666-002</t>
  </si>
  <si>
    <t>NIKE AIR MAX SOLO</t>
  </si>
  <si>
    <t>4509562242-20</t>
  </si>
  <si>
    <t>T3KA3-02</t>
  </si>
  <si>
    <t>4509562323-10</t>
  </si>
  <si>
    <t>T3KA3-03</t>
  </si>
  <si>
    <t>4509562323-50</t>
  </si>
  <si>
    <t>T3KA3-04</t>
  </si>
  <si>
    <t>4509557489-10</t>
  </si>
  <si>
    <t>T3KA3-05</t>
  </si>
  <si>
    <t>T3KA3 Total</t>
  </si>
  <si>
    <t>4509554693-20</t>
  </si>
  <si>
    <t>T3KA4-01</t>
  </si>
  <si>
    <t>DX3666-010</t>
  </si>
  <si>
    <t>4509554693-10</t>
  </si>
  <si>
    <t>T3KA4-02</t>
  </si>
  <si>
    <t>4509561947-10</t>
  </si>
  <si>
    <t>T3KA4-03</t>
  </si>
  <si>
    <t>4509562323-20</t>
  </si>
  <si>
    <t>T3KA4-04</t>
  </si>
  <si>
    <t>4509562323-60</t>
  </si>
  <si>
    <t>T3KA4-05</t>
  </si>
  <si>
    <t>T3KA4 Total</t>
  </si>
  <si>
    <t>4509559851-20</t>
  </si>
  <si>
    <t>France</t>
  </si>
  <si>
    <t>T3KA5-01</t>
  </si>
  <si>
    <t>DX3666-102</t>
  </si>
  <si>
    <t>4509559851-10</t>
  </si>
  <si>
    <t>T3KA5-02</t>
  </si>
  <si>
    <t>4509559852-10</t>
  </si>
  <si>
    <t>T3KA5-03</t>
  </si>
  <si>
    <t>4509562243-10</t>
  </si>
  <si>
    <t>Romania</t>
  </si>
  <si>
    <t>T3KA5-04</t>
  </si>
  <si>
    <t>4509560131-10</t>
  </si>
  <si>
    <t>Spain</t>
  </si>
  <si>
    <t>T3KA5-05</t>
  </si>
  <si>
    <t>4509562242-10</t>
  </si>
  <si>
    <t>T3KA5-06</t>
  </si>
  <si>
    <t>4509562323-30</t>
  </si>
  <si>
    <t>T3KA5-07</t>
  </si>
  <si>
    <t>4509562323-40</t>
  </si>
  <si>
    <t>T3KA5-08</t>
  </si>
  <si>
    <t>4509557489-20</t>
  </si>
  <si>
    <t>T3KA5-09</t>
  </si>
  <si>
    <t>3503412858-10</t>
  </si>
  <si>
    <t>New Zealand</t>
  </si>
  <si>
    <t>T3KA5-10</t>
  </si>
  <si>
    <t>T3KA5 Total</t>
  </si>
  <si>
    <t>4509554209-20</t>
  </si>
  <si>
    <t>T3M29-01</t>
  </si>
  <si>
    <t>T3M29 Total</t>
  </si>
  <si>
    <t>4509553978-10</t>
  </si>
  <si>
    <t>OS398460-1</t>
  </si>
  <si>
    <t>T3M30-01</t>
  </si>
  <si>
    <t>CW3406-008</t>
  </si>
  <si>
    <t>NIKE RENEW ELEVATE II</t>
  </si>
  <si>
    <t>ADULT UNISEX</t>
  </si>
  <si>
    <t>4509561946-10</t>
  </si>
  <si>
    <t>Latvia</t>
  </si>
  <si>
    <t>T3M30-02</t>
  </si>
  <si>
    <t>4509554210-10</t>
  </si>
  <si>
    <t>T3M30-03</t>
  </si>
  <si>
    <t>4509554210-20</t>
  </si>
  <si>
    <t>T3M30-04</t>
  </si>
  <si>
    <t>T3M30 Total</t>
  </si>
  <si>
    <t>3503411226-10</t>
  </si>
  <si>
    <t>T3M31-01</t>
  </si>
  <si>
    <t>3503412174-20</t>
  </si>
  <si>
    <t>T3M31-02</t>
  </si>
  <si>
    <t>T3M31 Total</t>
  </si>
  <si>
    <t>3503411501-20</t>
  </si>
  <si>
    <t>T3M32-01</t>
  </si>
  <si>
    <t>T3M32 Total</t>
  </si>
  <si>
    <t>4509557943-20</t>
  </si>
  <si>
    <t>T3M33-01</t>
  </si>
  <si>
    <t>4509557943-10</t>
  </si>
  <si>
    <t>T3M33-02</t>
  </si>
  <si>
    <t>4509553977-20</t>
  </si>
  <si>
    <t>T3M33-03</t>
  </si>
  <si>
    <t>4509553977-10</t>
  </si>
  <si>
    <t>T3M33-04</t>
  </si>
  <si>
    <t>3503411028-20</t>
  </si>
  <si>
    <t>T3M33-05</t>
  </si>
  <si>
    <t>3503411028-10</t>
  </si>
  <si>
    <t>T3M33-06</t>
  </si>
  <si>
    <t>T3M33 Total</t>
  </si>
  <si>
    <t>4509555113-10</t>
  </si>
  <si>
    <t>T3M34-01</t>
  </si>
  <si>
    <t>T3M34 Total</t>
  </si>
  <si>
    <t>4509555113-40</t>
  </si>
  <si>
    <t>T3M35-01</t>
  </si>
  <si>
    <t>T3M35 Total</t>
  </si>
  <si>
    <t>4509560226-10</t>
  </si>
  <si>
    <t>T3M36-01</t>
  </si>
  <si>
    <t>4509560224-10</t>
  </si>
  <si>
    <t>Switzerland</t>
  </si>
  <si>
    <t>T3M36-02</t>
  </si>
  <si>
    <t>4509560225-10</t>
  </si>
  <si>
    <t>Sweden</t>
  </si>
  <si>
    <t>T3M36-03</t>
  </si>
  <si>
    <t>4509560229-10</t>
  </si>
  <si>
    <t>T3M36-04</t>
  </si>
  <si>
    <t>4509560230-10</t>
  </si>
  <si>
    <t>Ireland</t>
  </si>
  <si>
    <t>T3M36-05</t>
  </si>
  <si>
    <t>4509560231-10</t>
  </si>
  <si>
    <t>T3M36-06</t>
  </si>
  <si>
    <t>4509560718-10</t>
  </si>
  <si>
    <t>Czech Republic</t>
  </si>
  <si>
    <t>T3M36-07</t>
  </si>
  <si>
    <t>T3M36 Total</t>
  </si>
  <si>
    <t>4509558135-10</t>
  </si>
  <si>
    <t>T3M37-01</t>
  </si>
  <si>
    <t>4509555115-20</t>
  </si>
  <si>
    <t>T3M37-02</t>
  </si>
  <si>
    <t>4509558135-20</t>
  </si>
  <si>
    <t>T3M37-03</t>
  </si>
  <si>
    <t>4509558134-10</t>
  </si>
  <si>
    <t>T3M37-04</t>
  </si>
  <si>
    <t>4509558135-30</t>
  </si>
  <si>
    <t>T3M37-05</t>
  </si>
  <si>
    <t>4509562240-10</t>
  </si>
  <si>
    <t>T3M37-06</t>
  </si>
  <si>
    <t>4509554212-10</t>
  </si>
  <si>
    <t>T3M37-07</t>
  </si>
  <si>
    <t>T3M37 Total</t>
  </si>
  <si>
    <t>4509561848-20</t>
  </si>
  <si>
    <t>T3M38-01</t>
  </si>
  <si>
    <t>T3M38 Total</t>
  </si>
  <si>
    <t>4509555863-10</t>
  </si>
  <si>
    <t>Uruguay</t>
  </si>
  <si>
    <t>T3N01-01</t>
  </si>
  <si>
    <t>T3N01 Total</t>
  </si>
  <si>
    <t>4509555305-10</t>
  </si>
  <si>
    <t>T3WCH-01</t>
  </si>
  <si>
    <t>CU4826-101</t>
  </si>
  <si>
    <t>T3WCH Total</t>
  </si>
  <si>
    <t>4509555306-10</t>
  </si>
  <si>
    <t>T3WCJ-01</t>
  </si>
  <si>
    <t>T3WCJ Total</t>
  </si>
  <si>
    <t>4509555309-40</t>
  </si>
  <si>
    <t>T3WCM-01</t>
  </si>
  <si>
    <t>T3WCM Total</t>
  </si>
  <si>
    <t>4509555309-20</t>
  </si>
  <si>
    <t>T3WCN-01</t>
  </si>
  <si>
    <t>DX3666-003</t>
  </si>
  <si>
    <t>T3WCN Total</t>
  </si>
  <si>
    <t>4509555309-30</t>
  </si>
  <si>
    <t>T3WCP-01</t>
  </si>
  <si>
    <t>T3WCP Total</t>
  </si>
  <si>
    <t>4509555309-10</t>
  </si>
  <si>
    <t>T3WCQ-01</t>
  </si>
  <si>
    <t>DX3666-103</t>
  </si>
  <si>
    <t>T3WCQ Total</t>
  </si>
  <si>
    <t>3503410667-20</t>
  </si>
  <si>
    <t>Australia</t>
  </si>
  <si>
    <t>T3WCK-01</t>
  </si>
  <si>
    <t>T3WCK Total</t>
  </si>
  <si>
    <t>3503410667-10</t>
  </si>
  <si>
    <t>T3WCL-01</t>
  </si>
  <si>
    <t>T3WCL Total</t>
  </si>
  <si>
    <t>6.28 Buy; Cancel Lot</t>
  </si>
  <si>
    <t>T3KAG-01</t>
  </si>
  <si>
    <t>6.28 Buy - Late add</t>
  </si>
  <si>
    <t>T3KAG Total</t>
  </si>
  <si>
    <t>T3KAF-01</t>
  </si>
  <si>
    <t>DH3161-103</t>
  </si>
  <si>
    <t>T3KAF Total</t>
  </si>
  <si>
    <t>T3M41-01</t>
  </si>
  <si>
    <t>T3M41-02</t>
  </si>
  <si>
    <t>T3M41 Total</t>
  </si>
  <si>
    <t>6.28 Buy; Cancel 12prs</t>
  </si>
  <si>
    <t>4509583543-10</t>
  </si>
  <si>
    <t>4509584295-10</t>
  </si>
  <si>
    <t>4509584295-20</t>
  </si>
  <si>
    <t>4509584295-30</t>
  </si>
  <si>
    <t>4509555100-20</t>
  </si>
  <si>
    <t>T3K88-03</t>
  </si>
  <si>
    <t>6.28 Buy; Divert from T3K88-01</t>
  </si>
  <si>
    <t>6.28 Buy; Cancel 216prs</t>
  </si>
  <si>
    <t>4509529443-50</t>
  </si>
  <si>
    <t>T3M20-07</t>
  </si>
  <si>
    <t>4509529443-60</t>
  </si>
  <si>
    <t>T3M20-08</t>
  </si>
  <si>
    <t>4509529443-70</t>
  </si>
  <si>
    <t>T3M20-09</t>
  </si>
  <si>
    <t>4509529443-80</t>
  </si>
  <si>
    <t>T3M20-10</t>
  </si>
  <si>
    <t>6.14 Buy; Cancel 1014prs; Cancel 1686prs</t>
  </si>
  <si>
    <t>4509584898-10</t>
  </si>
  <si>
    <t>T3KAH-01</t>
  </si>
  <si>
    <t>T3KAH Total</t>
  </si>
  <si>
    <t>4509584898-20</t>
  </si>
  <si>
    <t>T3KAJ-01</t>
  </si>
  <si>
    <t>T3KAJ Total</t>
  </si>
  <si>
    <t>4509584898-30</t>
  </si>
  <si>
    <t>T3KAK-01</t>
  </si>
  <si>
    <t>T3KAK Total</t>
  </si>
  <si>
    <t>4509584898-120</t>
  </si>
  <si>
    <t>T3KAL-01</t>
  </si>
  <si>
    <t>T3KAL Total</t>
  </si>
  <si>
    <t>4509584898-130</t>
  </si>
  <si>
    <t>T3KAM-01</t>
  </si>
  <si>
    <t>T3KAM Total</t>
  </si>
  <si>
    <t>4509584898-250</t>
  </si>
  <si>
    <t>T3KAN-01</t>
  </si>
  <si>
    <t>T3KAN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</si>
</sst>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m/d"/>
    <numFmt numFmtId="165" formatCode="m/d/yy;@"/>
    <numFmt numFmtId="166" formatCode="\(0\)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color indexed="12"/>
      <name val="Arial Narrow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8"/>
      </bottom>
      <diagonal/>
    </border>
  </borders>
  <cellStyleXfs count="8">
    <xf numFmtId="0" fontId="0" fillId="0" borderId="0"/>
    <xf numFmtId="0" fontId="1" fillId="0" borderId="0" applyNumberFormat="0" applyBorder="0" applyAlignment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</cellStyleXfs>
  <cellXfs count="146">
    <xf numFmtId="0" fontId="0" fillId="0" borderId="0" xfId="0"/>
    <xf numFmtId="14" fontId="0" fillId="0" borderId="0" xfId="0" applyNumberFormat="1"/>
    <xf numFmtId="164" fontId="4" fillId="2" borderId="1" xfId="2" applyNumberFormat="1" applyFont="1" applyFill="1" applyBorder="1" applyAlignment="1" applyProtection="1">
      <alignment horizontal="center" vertical="center"/>
      <protection locked="0"/>
    </xf>
    <xf numFmtId="14" fontId="4" fillId="2" borderId="1" xfId="2" applyNumberFormat="1" applyFont="1" applyFill="1" applyBorder="1" applyAlignment="1" applyProtection="1">
      <alignment horizontal="center" vertical="center"/>
      <protection locked="0"/>
    </xf>
    <xf numFmtId="0" fontId="4" fillId="3" borderId="1" xfId="2" applyFont="1" applyFill="1" applyBorder="1" applyAlignment="1" applyProtection="1">
      <alignment horizontal="center" vertical="center"/>
      <protection locked="0"/>
    </xf>
    <xf numFmtId="14" fontId="4" fillId="3" borderId="1" xfId="2" applyNumberFormat="1" applyFont="1" applyFill="1" applyBorder="1" applyAlignment="1" applyProtection="1">
      <alignment horizontal="center" vertical="center"/>
      <protection locked="0"/>
    </xf>
    <xf numFmtId="165" fontId="4" fillId="2" borderId="1" xfId="2" applyNumberFormat="1" applyFont="1" applyFill="1" applyBorder="1" applyAlignment="1" applyProtection="1">
      <alignment horizontal="center" vertical="center"/>
      <protection locked="0"/>
    </xf>
    <xf numFmtId="166" fontId="4" fillId="3" borderId="1" xfId="2" applyNumberFormat="1" applyFont="1" applyFill="1" applyBorder="1" applyAlignment="1" applyProtection="1">
      <alignment horizontal="center" vertical="center"/>
      <protection locked="0"/>
    </xf>
    <xf numFmtId="166" fontId="4" fillId="2" borderId="1" xfId="2" applyNumberFormat="1" applyFont="1" applyFill="1" applyBorder="1" applyAlignment="1" applyProtection="1">
      <alignment horizontal="center" vertical="center"/>
      <protection locked="0"/>
    </xf>
    <xf numFmtId="0" fontId="4" fillId="2" borderId="1" xfId="2" applyFont="1" applyFill="1" applyBorder="1" applyAlignment="1" applyProtection="1">
      <alignment horizontal="center" vertical="center"/>
      <protection locked="0"/>
    </xf>
    <xf numFmtId="0" fontId="5" fillId="2" borderId="1" xfId="2" applyFont="1" applyFill="1" applyBorder="1" applyAlignment="1" applyProtection="1">
      <alignment horizontal="center" vertical="center"/>
      <protection locked="0"/>
    </xf>
    <xf numFmtId="0" fontId="4" fillId="2" borderId="1" xfId="2" quotePrefix="1" applyFont="1" applyFill="1" applyBorder="1" applyAlignment="1" applyProtection="1">
      <alignment horizontal="center" vertical="center"/>
      <protection locked="0"/>
    </xf>
    <xf numFmtId="0" fontId="6" fillId="0" borderId="2" xfId="2" applyFont="1" applyFill="1" applyBorder="1" applyAlignment="1">
      <alignment horizontal="left" vertical="center"/>
    </xf>
    <xf numFmtId="0" fontId="6" fillId="0" borderId="3" xfId="2" applyFont="1" applyFill="1" applyBorder="1" applyAlignment="1">
      <alignment horizontal="left" vertical="center"/>
    </xf>
    <xf numFmtId="14" fontId="6" fillId="0" borderId="4" xfId="2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6" fillId="0" borderId="4" xfId="2" applyNumberFormat="1" applyFont="1" applyFill="1" applyBorder="1" applyAlignment="1">
      <alignment horizontal="center" vertical="center"/>
    </xf>
    <xf numFmtId="0" fontId="6" fillId="0" borderId="4" xfId="3" applyNumberFormat="1" applyFont="1" applyFill="1" applyBorder="1" applyAlignment="1" applyProtection="1">
      <alignment horizontal="center" vertical="center"/>
      <protection locked="0"/>
    </xf>
    <xf numFmtId="0" fontId="6" fillId="0" borderId="4" xfId="3" quotePrefix="1" applyNumberFormat="1" applyFont="1" applyFill="1" applyBorder="1" applyAlignment="1" applyProtection="1">
      <alignment horizontal="center" vertical="center"/>
      <protection locked="0"/>
    </xf>
    <xf numFmtId="167" fontId="6" fillId="0" borderId="4" xfId="3" applyNumberFormat="1" applyFont="1" applyFill="1" applyBorder="1" applyAlignment="1" applyProtection="1">
      <alignment horizontal="center" vertical="center"/>
      <protection locked="0"/>
    </xf>
    <xf numFmtId="167" fontId="8" fillId="0" borderId="5" xfId="2" applyNumberFormat="1" applyFont="1" applyFill="1" applyBorder="1" applyAlignment="1" applyProtection="1">
      <alignment horizontal="center" vertical="center"/>
      <protection locked="0"/>
    </xf>
    <xf numFmtId="167" fontId="9" fillId="0" borderId="4" xfId="2" applyNumberFormat="1" applyFont="1" applyFill="1" applyBorder="1" applyAlignment="1" applyProtection="1">
      <alignment horizontal="right" vertical="center"/>
    </xf>
    <xf numFmtId="167" fontId="9" fillId="0" borderId="4" xfId="2" applyNumberFormat="1" applyFont="1" applyFill="1" applyBorder="1" applyAlignment="1" applyProtection="1">
      <alignment horizontal="right" vertical="center"/>
      <protection locked="0"/>
    </xf>
    <xf numFmtId="167" fontId="9" fillId="0" borderId="4" xfId="3" applyNumberFormat="1" applyFont="1" applyFill="1" applyBorder="1" applyAlignment="1" applyProtection="1">
      <alignment horizontal="right" vertical="center"/>
      <protection locked="0"/>
    </xf>
    <xf numFmtId="0" fontId="3" fillId="0" borderId="0" xfId="4" applyFont="1" applyFill="1" applyAlignment="1">
      <alignment vertical="center"/>
    </xf>
    <xf numFmtId="0" fontId="10" fillId="0" borderId="0" xfId="4" applyFont="1" applyFill="1" applyAlignment="1">
      <alignment vertical="center"/>
    </xf>
    <xf numFmtId="0" fontId="7" fillId="4" borderId="0" xfId="2" applyFont="1" applyFill="1" applyBorder="1" applyAlignment="1">
      <alignment horizontal="left" vertical="center"/>
    </xf>
    <xf numFmtId="14" fontId="7" fillId="4" borderId="0" xfId="2" applyNumberFormat="1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164" fontId="7" fillId="4" borderId="0" xfId="2" applyNumberFormat="1" applyFont="1" applyFill="1" applyBorder="1" applyAlignment="1">
      <alignment horizontal="center" vertical="center"/>
    </xf>
    <xf numFmtId="0" fontId="7" fillId="4" borderId="0" xfId="3" applyNumberFormat="1" applyFont="1" applyFill="1" applyBorder="1" applyAlignment="1" applyProtection="1">
      <alignment horizontal="center" vertical="center"/>
      <protection locked="0"/>
    </xf>
    <xf numFmtId="0" fontId="7" fillId="4" borderId="0" xfId="3" quotePrefix="1" applyNumberFormat="1" applyFont="1" applyFill="1" applyBorder="1" applyAlignment="1" applyProtection="1">
      <alignment horizontal="center" vertical="center"/>
      <protection locked="0"/>
    </xf>
    <xf numFmtId="167" fontId="7" fillId="4" borderId="0" xfId="3" applyNumberFormat="1" applyFont="1" applyFill="1" applyBorder="1" applyAlignment="1" applyProtection="1">
      <alignment horizontal="center" vertical="center"/>
      <protection locked="0"/>
    </xf>
    <xf numFmtId="167" fontId="7" fillId="4" borderId="0" xfId="2" applyNumberFormat="1" applyFont="1" applyFill="1" applyBorder="1" applyAlignment="1" applyProtection="1">
      <alignment horizontal="center" vertical="center"/>
      <protection locked="0"/>
    </xf>
    <xf numFmtId="167" fontId="7" fillId="4" borderId="0" xfId="2" applyNumberFormat="1" applyFont="1" applyFill="1" applyBorder="1" applyAlignment="1" applyProtection="1">
      <alignment horizontal="right" vertical="center"/>
    </xf>
    <xf numFmtId="0" fontId="10" fillId="4" borderId="0" xfId="4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0" borderId="2" xfId="2" applyFont="1" applyFill="1" applyBorder="1" applyAlignment="1">
      <alignment horizontal="left" vertical="center"/>
    </xf>
    <xf numFmtId="0" fontId="7" fillId="0" borderId="3" xfId="2" applyFont="1" applyFill="1" applyBorder="1" applyAlignment="1">
      <alignment horizontal="left" vertical="center"/>
    </xf>
    <xf numFmtId="14" fontId="7" fillId="0" borderId="4" xfId="2" applyNumberFormat="1" applyFont="1" applyFill="1" applyBorder="1" applyAlignment="1">
      <alignment horizontal="center" vertical="center"/>
    </xf>
    <xf numFmtId="0" fontId="7" fillId="0" borderId="4" xfId="2" applyNumberFormat="1" applyFont="1" applyFill="1" applyBorder="1" applyAlignment="1">
      <alignment horizontal="center" vertical="center"/>
    </xf>
    <xf numFmtId="0" fontId="7" fillId="0" borderId="4" xfId="3" applyNumberFormat="1" applyFont="1" applyFill="1" applyBorder="1" applyAlignment="1" applyProtection="1">
      <alignment horizontal="center" vertical="center"/>
      <protection locked="0"/>
    </xf>
    <xf numFmtId="0" fontId="7" fillId="0" borderId="4" xfId="3" quotePrefix="1" applyNumberFormat="1" applyFont="1" applyFill="1" applyBorder="1" applyAlignment="1" applyProtection="1">
      <alignment horizontal="center" vertical="center"/>
      <protection locked="0"/>
    </xf>
    <xf numFmtId="167" fontId="7" fillId="0" borderId="4" xfId="3" applyNumberFormat="1" applyFont="1" applyFill="1" applyBorder="1" applyAlignment="1" applyProtection="1">
      <alignment horizontal="center" vertical="center"/>
      <protection locked="0"/>
    </xf>
    <xf numFmtId="167" fontId="7" fillId="0" borderId="5" xfId="2" applyNumberFormat="1" applyFont="1" applyFill="1" applyBorder="1" applyAlignment="1" applyProtection="1">
      <alignment horizontal="center" vertical="center"/>
      <protection locked="0"/>
    </xf>
    <xf numFmtId="167" fontId="7" fillId="0" borderId="4" xfId="2" applyNumberFormat="1" applyFont="1" applyFill="1" applyBorder="1" applyAlignment="1" applyProtection="1">
      <alignment horizontal="right" vertical="center"/>
    </xf>
    <xf numFmtId="0" fontId="4" fillId="0" borderId="1" xfId="2" applyFont="1" applyFill="1" applyBorder="1" applyAlignment="1" applyProtection="1">
      <alignment vertical="center"/>
      <protection locked="0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14" fontId="6" fillId="0" borderId="4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6" fillId="0" borderId="4" xfId="2" applyNumberFormat="1" applyFont="1" applyFill="1" applyBorder="1" applyAlignment="1">
      <alignment horizontal="center"/>
    </xf>
    <xf numFmtId="0" fontId="6" fillId="0" borderId="4" xfId="3" applyNumberFormat="1" applyFont="1" applyFill="1" applyBorder="1" applyAlignment="1" applyProtection="1">
      <alignment horizontal="center"/>
      <protection locked="0"/>
    </xf>
    <xf numFmtId="0" fontId="6" fillId="0" borderId="4" xfId="3" quotePrefix="1" applyNumberFormat="1" applyFont="1" applyFill="1" applyBorder="1" applyAlignment="1" applyProtection="1">
      <alignment horizontal="center"/>
      <protection locked="0"/>
    </xf>
    <xf numFmtId="167" fontId="6" fillId="0" borderId="4" xfId="3" applyNumberFormat="1" applyFont="1" applyFill="1" applyBorder="1" applyAlignment="1" applyProtection="1">
      <alignment horizontal="center"/>
      <protection locked="0"/>
    </xf>
    <xf numFmtId="167" fontId="8" fillId="0" borderId="5" xfId="2" applyNumberFormat="1" applyFont="1" applyFill="1" applyBorder="1" applyAlignment="1" applyProtection="1">
      <alignment horizontal="center"/>
      <protection locked="0"/>
    </xf>
    <xf numFmtId="167" fontId="9" fillId="0" borderId="4" xfId="2" applyNumberFormat="1" applyFont="1" applyFill="1" applyBorder="1" applyAlignment="1" applyProtection="1">
      <alignment horizontal="right"/>
      <protection locked="0"/>
    </xf>
    <xf numFmtId="167" fontId="9" fillId="0" borderId="4" xfId="3" applyNumberFormat="1" applyFont="1" applyFill="1" applyBorder="1" applyAlignment="1" applyProtection="1">
      <alignment horizontal="right"/>
      <protection locked="0"/>
    </xf>
    <xf numFmtId="0" fontId="0" fillId="0" borderId="0" xfId="0" applyFill="1"/>
    <xf numFmtId="0" fontId="7" fillId="0" borderId="2" xfId="2" applyFont="1" applyFill="1" applyBorder="1" applyAlignment="1">
      <alignment horizontal="left"/>
    </xf>
    <xf numFmtId="0" fontId="7" fillId="0" borderId="3" xfId="2" applyFont="1" applyFill="1" applyBorder="1" applyAlignment="1">
      <alignment horizontal="left"/>
    </xf>
    <xf numFmtId="14" fontId="7" fillId="0" borderId="4" xfId="2" applyNumberFormat="1" applyFont="1" applyFill="1" applyBorder="1" applyAlignment="1">
      <alignment horizontal="center"/>
    </xf>
    <xf numFmtId="167" fontId="7" fillId="0" borderId="4" xfId="2" applyNumberFormat="1" applyFont="1" applyFill="1" applyBorder="1" applyAlignment="1">
      <alignment horizontal="center"/>
    </xf>
    <xf numFmtId="0" fontId="7" fillId="0" borderId="4" xfId="3" applyNumberFormat="1" applyFont="1" applyFill="1" applyBorder="1" applyAlignment="1" applyProtection="1">
      <alignment horizontal="center"/>
      <protection locked="0"/>
    </xf>
    <xf numFmtId="0" fontId="7" fillId="0" borderId="4" xfId="3" quotePrefix="1" applyNumberFormat="1" applyFont="1" applyFill="1" applyBorder="1" applyAlignment="1" applyProtection="1">
      <alignment horizontal="center"/>
      <protection locked="0"/>
    </xf>
    <xf numFmtId="167" fontId="7" fillId="0" borderId="4" xfId="3" applyNumberFormat="1" applyFont="1" applyFill="1" applyBorder="1" applyAlignment="1" applyProtection="1">
      <alignment horizontal="center"/>
      <protection locked="0"/>
    </xf>
    <xf numFmtId="167" fontId="7" fillId="0" borderId="5" xfId="2" applyNumberFormat="1" applyFont="1" applyFill="1" applyBorder="1" applyAlignment="1" applyProtection="1">
      <alignment horizontal="center"/>
      <protection locked="0"/>
    </xf>
    <xf numFmtId="167" fontId="7" fillId="0" borderId="4" xfId="2" applyNumberFormat="1" applyFont="1" applyFill="1" applyBorder="1" applyAlignment="1" applyProtection="1">
      <alignment horizontal="right"/>
      <protection locked="0"/>
    </xf>
    <xf numFmtId="167" fontId="7" fillId="0" borderId="4" xfId="3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7" fillId="0" borderId="4" xfId="2" applyNumberFormat="1" applyFont="1" applyFill="1" applyBorder="1" applyAlignment="1">
      <alignment horizontal="center"/>
    </xf>
    <xf numFmtId="0" fontId="7" fillId="4" borderId="0" xfId="2" applyFont="1" applyFill="1" applyBorder="1" applyAlignment="1">
      <alignment horizontal="left"/>
    </xf>
    <xf numFmtId="14" fontId="7" fillId="4" borderId="0" xfId="2" applyNumberFormat="1" applyFont="1" applyFill="1" applyBorder="1" applyAlignment="1">
      <alignment horizontal="center"/>
    </xf>
    <xf numFmtId="0" fontId="7" fillId="4" borderId="0" xfId="2" applyFont="1" applyFill="1" applyBorder="1" applyAlignment="1">
      <alignment horizontal="center"/>
    </xf>
    <xf numFmtId="0" fontId="7" fillId="4" borderId="0" xfId="2" applyNumberFormat="1" applyFont="1" applyFill="1" applyBorder="1" applyAlignment="1">
      <alignment horizontal="center"/>
    </xf>
    <xf numFmtId="0" fontId="7" fillId="4" borderId="0" xfId="3" applyNumberFormat="1" applyFont="1" applyFill="1" applyBorder="1" applyAlignment="1" applyProtection="1">
      <alignment horizontal="center"/>
      <protection locked="0"/>
    </xf>
    <xf numFmtId="0" fontId="7" fillId="4" borderId="0" xfId="3" quotePrefix="1" applyNumberFormat="1" applyFont="1" applyFill="1" applyBorder="1" applyAlignment="1" applyProtection="1">
      <alignment horizontal="center"/>
      <protection locked="0"/>
    </xf>
    <xf numFmtId="167" fontId="7" fillId="4" borderId="0" xfId="3" applyNumberFormat="1" applyFont="1" applyFill="1" applyBorder="1" applyAlignment="1" applyProtection="1">
      <alignment horizontal="center"/>
      <protection locked="0"/>
    </xf>
    <xf numFmtId="167" fontId="7" fillId="4" borderId="0" xfId="2" applyNumberFormat="1" applyFont="1" applyFill="1" applyBorder="1" applyAlignment="1" applyProtection="1">
      <alignment horizontal="center"/>
      <protection locked="0"/>
    </xf>
    <xf numFmtId="167" fontId="7" fillId="4" borderId="0" xfId="2" applyNumberFormat="1" applyFont="1" applyFill="1" applyBorder="1" applyAlignment="1" applyProtection="1">
      <alignment horizontal="right"/>
      <protection locked="0"/>
    </xf>
    <xf numFmtId="167" fontId="7" fillId="4" borderId="0" xfId="3" applyNumberFormat="1" applyFont="1" applyFill="1" applyBorder="1" applyAlignment="1" applyProtection="1">
      <alignment horizontal="right"/>
      <protection locked="0"/>
    </xf>
    <xf numFmtId="0" fontId="12" fillId="4" borderId="0" xfId="0" applyFont="1" applyFill="1"/>
    <xf numFmtId="164" fontId="7" fillId="0" borderId="4" xfId="2" applyNumberFormat="1" applyFont="1" applyFill="1" applyBorder="1" applyAlignment="1">
      <alignment horizontal="center" vertical="center"/>
    </xf>
    <xf numFmtId="167" fontId="7" fillId="0" borderId="4" xfId="2" applyNumberFormat="1" applyFont="1" applyFill="1" applyBorder="1" applyAlignment="1" applyProtection="1">
      <alignment horizontal="right" vertical="center"/>
      <protection locked="0"/>
    </xf>
    <xf numFmtId="167" fontId="7" fillId="0" borderId="4" xfId="3" applyNumberFormat="1" applyFont="1" applyFill="1" applyBorder="1" applyAlignment="1" applyProtection="1">
      <alignment horizontal="right" vertical="center"/>
      <protection locked="0"/>
    </xf>
    <xf numFmtId="0" fontId="7" fillId="4" borderId="0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/>
    </xf>
    <xf numFmtId="14" fontId="7" fillId="0" borderId="0" xfId="2" applyNumberFormat="1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7" fillId="0" borderId="0" xfId="2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 applyProtection="1">
      <alignment horizontal="center"/>
      <protection locked="0"/>
    </xf>
    <xf numFmtId="0" fontId="7" fillId="0" borderId="0" xfId="3" quotePrefix="1" applyNumberFormat="1" applyFont="1" applyFill="1" applyBorder="1" applyAlignment="1" applyProtection="1">
      <alignment horizontal="center"/>
      <protection locked="0"/>
    </xf>
    <xf numFmtId="167" fontId="7" fillId="0" borderId="0" xfId="3" applyNumberFormat="1" applyFont="1" applyFill="1" applyBorder="1" applyAlignment="1" applyProtection="1">
      <alignment horizontal="center"/>
      <protection locked="0"/>
    </xf>
    <xf numFmtId="167" fontId="7" fillId="0" borderId="0" xfId="2" applyNumberFormat="1" applyFont="1" applyFill="1" applyBorder="1" applyAlignment="1" applyProtection="1">
      <alignment horizontal="center"/>
      <protection locked="0"/>
    </xf>
    <xf numFmtId="167" fontId="7" fillId="0" borderId="0" xfId="2" applyNumberFormat="1" applyFont="1" applyFill="1" applyBorder="1" applyAlignment="1" applyProtection="1">
      <alignment horizontal="right"/>
      <protection locked="0"/>
    </xf>
    <xf numFmtId="167" fontId="7" fillId="0" borderId="0" xfId="3" applyNumberFormat="1" applyFont="1" applyFill="1" applyBorder="1" applyAlignment="1" applyProtection="1">
      <alignment horizontal="right"/>
      <protection locked="0"/>
    </xf>
    <xf numFmtId="0" fontId="6" fillId="3" borderId="2" xfId="2" applyFont="1" applyFill="1" applyBorder="1" applyAlignment="1">
      <alignment horizontal="left" vertical="center"/>
    </xf>
    <xf numFmtId="0" fontId="6" fillId="3" borderId="3" xfId="2" applyFont="1" applyFill="1" applyBorder="1" applyAlignment="1">
      <alignment horizontal="left" vertical="center"/>
    </xf>
    <xf numFmtId="14" fontId="6" fillId="3" borderId="4" xfId="2" applyNumberFormat="1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6" fillId="3" borderId="4" xfId="2" applyNumberFormat="1" applyFont="1" applyFill="1" applyBorder="1" applyAlignment="1">
      <alignment horizontal="center" vertical="center"/>
    </xf>
    <xf numFmtId="0" fontId="6" fillId="3" borderId="4" xfId="3" applyNumberFormat="1" applyFont="1" applyFill="1" applyBorder="1" applyAlignment="1" applyProtection="1">
      <alignment horizontal="center" vertical="center"/>
      <protection locked="0"/>
    </xf>
    <xf numFmtId="0" fontId="6" fillId="3" borderId="4" xfId="3" quotePrefix="1" applyNumberFormat="1" applyFont="1" applyFill="1" applyBorder="1" applyAlignment="1" applyProtection="1">
      <alignment horizontal="center" vertical="center"/>
      <protection locked="0"/>
    </xf>
    <xf numFmtId="167" fontId="6" fillId="3" borderId="4" xfId="3" applyNumberFormat="1" applyFont="1" applyFill="1" applyBorder="1" applyAlignment="1" applyProtection="1">
      <alignment horizontal="center" vertical="center"/>
      <protection locked="0"/>
    </xf>
    <xf numFmtId="167" fontId="8" fillId="3" borderId="5" xfId="2" applyNumberFormat="1" applyFont="1" applyFill="1" applyBorder="1" applyAlignment="1" applyProtection="1">
      <alignment horizontal="center" vertical="center"/>
      <protection locked="0"/>
    </xf>
    <xf numFmtId="167" fontId="9" fillId="3" borderId="4" xfId="2" applyNumberFormat="1" applyFont="1" applyFill="1" applyBorder="1" applyAlignment="1" applyProtection="1">
      <alignment horizontal="right" vertical="center"/>
    </xf>
    <xf numFmtId="167" fontId="9" fillId="3" borderId="4" xfId="2" applyNumberFormat="1" applyFont="1" applyFill="1" applyBorder="1" applyAlignment="1" applyProtection="1">
      <alignment horizontal="right" vertical="center"/>
      <protection locked="0"/>
    </xf>
    <xf numFmtId="167" fontId="9" fillId="3" borderId="4" xfId="3" applyNumberFormat="1" applyFont="1" applyFill="1" applyBorder="1" applyAlignment="1" applyProtection="1">
      <alignment horizontal="right" vertical="center"/>
      <protection locked="0"/>
    </xf>
    <xf numFmtId="0" fontId="3" fillId="3" borderId="0" xfId="4" applyFont="1" applyFill="1" applyAlignment="1">
      <alignment vertical="center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14" fontId="7" fillId="3" borderId="4" xfId="2" applyNumberFormat="1" applyFont="1" applyFill="1" applyBorder="1" applyAlignment="1">
      <alignment horizontal="center" vertical="center"/>
    </xf>
    <xf numFmtId="167" fontId="7" fillId="3" borderId="4" xfId="2" applyNumberFormat="1" applyFont="1" applyFill="1" applyBorder="1" applyAlignment="1">
      <alignment horizontal="center" vertical="center"/>
    </xf>
    <xf numFmtId="0" fontId="7" fillId="3" borderId="4" xfId="3" applyNumberFormat="1" applyFont="1" applyFill="1" applyBorder="1" applyAlignment="1" applyProtection="1">
      <alignment horizontal="center" vertical="center"/>
      <protection locked="0"/>
    </xf>
    <xf numFmtId="0" fontId="7" fillId="3" borderId="4" xfId="3" quotePrefix="1" applyNumberFormat="1" applyFont="1" applyFill="1" applyBorder="1" applyAlignment="1" applyProtection="1">
      <alignment horizontal="center" vertical="center"/>
      <protection locked="0"/>
    </xf>
    <xf numFmtId="167" fontId="7" fillId="3" borderId="4" xfId="3" applyNumberFormat="1" applyFont="1" applyFill="1" applyBorder="1" applyAlignment="1" applyProtection="1">
      <alignment horizontal="center" vertical="center"/>
      <protection locked="0"/>
    </xf>
    <xf numFmtId="167" fontId="7" fillId="3" borderId="5" xfId="2" applyNumberFormat="1" applyFont="1" applyFill="1" applyBorder="1" applyAlignment="1" applyProtection="1">
      <alignment horizontal="center" vertical="center"/>
      <protection locked="0"/>
    </xf>
    <xf numFmtId="167" fontId="7" fillId="3" borderId="4" xfId="2" applyNumberFormat="1" applyFont="1" applyFill="1" applyBorder="1" applyAlignment="1" applyProtection="1">
      <alignment horizontal="right" vertical="center"/>
    </xf>
    <xf numFmtId="167" fontId="7" fillId="3" borderId="4" xfId="2" applyNumberFormat="1" applyFont="1" applyFill="1" applyBorder="1" applyAlignment="1" applyProtection="1">
      <alignment horizontal="right" vertical="center"/>
      <protection locked="0"/>
    </xf>
    <xf numFmtId="167" fontId="7" fillId="3" borderId="4" xfId="3" applyNumberFormat="1" applyFont="1" applyFill="1" applyBorder="1" applyAlignment="1" applyProtection="1">
      <alignment horizontal="right" vertical="center"/>
      <protection locked="0"/>
    </xf>
    <xf numFmtId="0" fontId="10" fillId="3" borderId="0" xfId="4" applyFont="1" applyFill="1" applyAlignment="1">
      <alignment vertical="center"/>
    </xf>
    <xf numFmtId="0" fontId="7" fillId="3" borderId="4" xfId="2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vertical="center"/>
    </xf>
    <xf numFmtId="167" fontId="7" fillId="0" borderId="4" xfId="2" applyNumberFormat="1" applyFont="1" applyFill="1" applyBorder="1" applyAlignment="1">
      <alignment horizontal="center" vertical="center"/>
    </xf>
    <xf numFmtId="164" fontId="7" fillId="0" borderId="4" xfId="2" applyNumberFormat="1" applyFont="1" applyFill="1" applyBorder="1" applyAlignment="1">
      <alignment horizontal="center"/>
    </xf>
    <xf numFmtId="164" fontId="7" fillId="3" borderId="4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7" fillId="0" borderId="0" xfId="3" applyNumberFormat="1" applyFont="1" applyFill="1" applyBorder="1" applyAlignment="1" applyProtection="1">
      <alignment horizontal="center" vertical="center"/>
      <protection locked="0"/>
    </xf>
    <xf numFmtId="0" fontId="7" fillId="0" borderId="0" xfId="3" quotePrefix="1" applyNumberFormat="1" applyFont="1" applyFill="1" applyBorder="1" applyAlignment="1" applyProtection="1">
      <alignment horizontal="center" vertical="center"/>
      <protection locked="0"/>
    </xf>
    <xf numFmtId="167" fontId="7" fillId="0" borderId="0" xfId="3" applyNumberFormat="1" applyFont="1" applyFill="1" applyBorder="1" applyAlignment="1" applyProtection="1">
      <alignment horizontal="center" vertical="center"/>
      <protection locked="0"/>
    </xf>
    <xf numFmtId="167" fontId="7" fillId="0" borderId="0" xfId="2" applyNumberFormat="1" applyFont="1" applyFill="1" applyBorder="1" applyAlignment="1" applyProtection="1">
      <alignment horizontal="center" vertical="center"/>
      <protection locked="0"/>
    </xf>
    <xf numFmtId="167" fontId="7" fillId="0" borderId="0" xfId="2" applyNumberFormat="1" applyFont="1" applyFill="1" applyBorder="1" applyAlignment="1" applyProtection="1">
      <alignment horizontal="right" vertical="center"/>
    </xf>
    <xf numFmtId="167" fontId="7" fillId="0" borderId="0" xfId="2" applyNumberFormat="1" applyFont="1" applyFill="1" applyBorder="1" applyAlignment="1" applyProtection="1">
      <alignment horizontal="right" vertical="center"/>
      <protection locked="0"/>
    </xf>
    <xf numFmtId="167" fontId="7" fillId="0" borderId="0" xfId="3" applyNumberFormat="1" applyFont="1" applyFill="1" applyBorder="1" applyAlignment="1" applyProtection="1">
      <alignment horizontal="right" vertical="center"/>
      <protection locked="0"/>
    </xf>
    <xf numFmtId="0" fontId="7" fillId="0" borderId="0" xfId="2" applyNumberFormat="1" applyFont="1" applyFill="1" applyBorder="1" applyAlignment="1">
      <alignment horizontal="center" vertical="center"/>
    </xf>
    <xf numFmtId="0" fontId="11" fillId="3" borderId="0" xfId="5" applyFont="1" applyFill="1" applyAlignment="1">
      <alignment horizontal="center" vertical="center"/>
    </xf>
    <xf numFmtId="0" fontId="11" fillId="3" borderId="0" xfId="5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3" borderId="0" xfId="6" applyFont="1" applyFill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11" fillId="3" borderId="0" xfId="7" applyFont="1" applyFill="1" applyAlignment="1">
      <alignment horizontal="center"/>
    </xf>
  </cellXfs>
  <cellStyles count="8">
    <cellStyle name="Comma 3" xfId="3"/>
    <cellStyle name="Normal" xfId="0" builtinId="0"/>
    <cellStyle name="Normal 2" xfId="1"/>
    <cellStyle name="Normal 3 2 2" xfId="6"/>
    <cellStyle name="Normal 3 2 3" xfId="5"/>
    <cellStyle name="Normal 3 2 3 2" xfId="7"/>
    <cellStyle name="Normal_Comparison Sep 04'02" xfId="2"/>
    <cellStyle name="Normal_OBS Shoe 10.1" xfId="4"/>
  </cellStyles>
  <dxfs count="8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indexed="20"/>
      </font>
      <fill>
        <patternFill>
          <bgColor indexed="4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336"/>
  <sheetViews>
    <sheetView tabSelected="1" topLeftCell="C1" workbookViewId="0">
      <pane ySplit="5" topLeftCell="A6" activePane="bottomLeft" state="frozen"/>
      <selection activeCell="K1" sqref="K1"/>
      <selection pane="bottomLeft" activeCell="M14" sqref="M14"/>
    </sheetView>
  </sheetViews>
  <sheetFormatPr defaultRowHeight="14.25" outlineLevelRow="2" x14ac:dyDescent="0.45"/>
  <cols>
    <col min="1" max="1" width="9.86328125" customWidth="1"/>
    <col min="3" max="3" width="14.86328125" bestFit="1" customWidth="1"/>
    <col min="6" max="6" width="15.73046875" bestFit="1" customWidth="1"/>
    <col min="8" max="8" width="12" bestFit="1" customWidth="1"/>
    <col min="11" max="11" width="10.73046875" style="1" customWidth="1"/>
    <col min="12" max="12" width="11.86328125" customWidth="1"/>
    <col min="13" max="13" width="13.3984375" style="1" customWidth="1"/>
    <col min="14" max="14" width="11.86328125" customWidth="1"/>
    <col min="15" max="15" width="15.1328125" bestFit="1" customWidth="1"/>
    <col min="16" max="16" width="25.59765625" bestFit="1" customWidth="1"/>
    <col min="17" max="17" width="32.1328125" bestFit="1" customWidth="1"/>
    <col min="18" max="18" width="12.265625" customWidth="1"/>
  </cols>
  <sheetData>
    <row r="1" spans="1:52" s="37" customFormat="1" x14ac:dyDescent="0.45"/>
    <row r="2" spans="1:52" s="37" customFormat="1" ht="21" customHeight="1" x14ac:dyDescent="0.45">
      <c r="A2" s="141" t="s">
        <v>559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</row>
    <row r="3" spans="1:52" s="37" customFormat="1" ht="21" customHeight="1" x14ac:dyDescent="0.4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</row>
    <row r="4" spans="1:52" s="37" customFormat="1" x14ac:dyDescent="0.45"/>
    <row r="5" spans="1:52" x14ac:dyDescent="0.45">
      <c r="A5" s="2" t="s">
        <v>12</v>
      </c>
      <c r="B5" s="2" t="s">
        <v>13</v>
      </c>
      <c r="C5" s="2" t="s">
        <v>14</v>
      </c>
      <c r="D5" s="3" t="s">
        <v>1</v>
      </c>
      <c r="E5" s="3" t="s">
        <v>0</v>
      </c>
      <c r="F5" s="3" t="s">
        <v>15</v>
      </c>
      <c r="G5" s="4" t="s">
        <v>16</v>
      </c>
      <c r="H5" s="5" t="s">
        <v>17</v>
      </c>
      <c r="I5" s="5" t="s">
        <v>9</v>
      </c>
      <c r="J5" s="5" t="s">
        <v>18</v>
      </c>
      <c r="K5" s="5" t="s">
        <v>19</v>
      </c>
      <c r="L5" s="6" t="s">
        <v>7</v>
      </c>
      <c r="M5" s="5" t="s">
        <v>20</v>
      </c>
      <c r="N5" s="7" t="s">
        <v>8</v>
      </c>
      <c r="O5" s="8" t="s">
        <v>21</v>
      </c>
      <c r="P5" s="9" t="s">
        <v>22</v>
      </c>
      <c r="Q5" s="4" t="s">
        <v>23</v>
      </c>
      <c r="R5" s="10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29</v>
      </c>
      <c r="X5" s="9" t="s">
        <v>30</v>
      </c>
      <c r="Y5" s="9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9" t="s">
        <v>38</v>
      </c>
      <c r="AG5" s="9" t="s">
        <v>39</v>
      </c>
      <c r="AH5" s="9" t="s">
        <v>40</v>
      </c>
      <c r="AI5" s="9" t="s">
        <v>41</v>
      </c>
      <c r="AJ5" s="9" t="s">
        <v>42</v>
      </c>
      <c r="AK5" s="9" t="s">
        <v>43</v>
      </c>
      <c r="AL5" s="9" t="s">
        <v>44</v>
      </c>
      <c r="AM5" s="9" t="s">
        <v>45</v>
      </c>
      <c r="AN5" s="9">
        <v>13.5</v>
      </c>
      <c r="AO5" s="9" t="s">
        <v>46</v>
      </c>
      <c r="AP5" s="9">
        <v>14.5</v>
      </c>
      <c r="AQ5" s="9" t="s">
        <v>47</v>
      </c>
      <c r="AR5" s="9">
        <v>15.5</v>
      </c>
      <c r="AS5" s="9" t="s">
        <v>48</v>
      </c>
      <c r="AT5" s="9">
        <v>16.5</v>
      </c>
      <c r="AU5" s="9" t="s">
        <v>49</v>
      </c>
      <c r="AV5" s="9">
        <v>17.5</v>
      </c>
      <c r="AW5" s="9" t="s">
        <v>50</v>
      </c>
      <c r="AX5" s="9">
        <v>18.5</v>
      </c>
      <c r="AY5" s="9" t="s">
        <v>51</v>
      </c>
      <c r="AZ5" s="11">
        <v>19.5</v>
      </c>
    </row>
    <row r="6" spans="1:52" s="25" customFormat="1" ht="15" customHeight="1" outlineLevel="2" x14ac:dyDescent="0.45">
      <c r="A6" s="12">
        <v>3503405473</v>
      </c>
      <c r="B6" s="13">
        <v>20</v>
      </c>
      <c r="C6" s="13" t="s">
        <v>219</v>
      </c>
      <c r="D6" s="14"/>
      <c r="E6" s="14"/>
      <c r="F6" s="15" t="s">
        <v>220</v>
      </c>
      <c r="G6" s="15">
        <v>1041</v>
      </c>
      <c r="H6" s="15" t="s">
        <v>221</v>
      </c>
      <c r="I6" s="15" t="s">
        <v>98</v>
      </c>
      <c r="J6" s="14"/>
      <c r="K6" s="14">
        <v>45178</v>
      </c>
      <c r="L6" s="16" t="s">
        <v>222</v>
      </c>
      <c r="M6" s="14">
        <v>45091</v>
      </c>
      <c r="N6" s="17" t="str">
        <f>+LEFT(L6,5)</f>
        <v>T3HAQ</v>
      </c>
      <c r="O6" s="18" t="s">
        <v>223</v>
      </c>
      <c r="P6" s="19" t="s">
        <v>224</v>
      </c>
      <c r="Q6" s="20" t="s">
        <v>102</v>
      </c>
      <c r="R6" s="21" t="s">
        <v>225</v>
      </c>
      <c r="S6" s="22">
        <f>SUM(T6:AZ6)</f>
        <v>672</v>
      </c>
      <c r="T6" s="22"/>
      <c r="U6" s="22"/>
      <c r="V6" s="22"/>
      <c r="W6" s="23"/>
      <c r="X6" s="23"/>
      <c r="Y6" s="23"/>
      <c r="Z6" s="23"/>
      <c r="AA6" s="23">
        <v>18</v>
      </c>
      <c r="AB6" s="23">
        <v>12</v>
      </c>
      <c r="AC6" s="23">
        <v>90</v>
      </c>
      <c r="AD6" s="23">
        <v>72</v>
      </c>
      <c r="AE6" s="23">
        <v>114</v>
      </c>
      <c r="AF6" s="23">
        <v>90</v>
      </c>
      <c r="AG6" s="23">
        <v>108</v>
      </c>
      <c r="AH6" s="23">
        <v>54</v>
      </c>
      <c r="AI6" s="23">
        <v>66</v>
      </c>
      <c r="AJ6" s="23">
        <v>12</v>
      </c>
      <c r="AK6" s="23">
        <v>36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1:52" s="26" customFormat="1" ht="15" customHeight="1" outlineLevel="1" x14ac:dyDescent="0.45">
      <c r="A7" s="38"/>
      <c r="B7" s="39"/>
      <c r="C7" s="39"/>
      <c r="D7" s="40"/>
      <c r="E7" s="40"/>
      <c r="F7" s="16"/>
      <c r="G7" s="16"/>
      <c r="H7" s="16"/>
      <c r="I7" s="16"/>
      <c r="J7" s="40"/>
      <c r="K7" s="40"/>
      <c r="L7" s="16"/>
      <c r="M7" s="40"/>
      <c r="N7" s="84" t="s">
        <v>226</v>
      </c>
      <c r="O7" s="42"/>
      <c r="P7" s="43"/>
      <c r="Q7" s="44"/>
      <c r="R7" s="45"/>
      <c r="S7" s="46">
        <f t="shared" ref="S7:AZ7" si="0">SUBTOTAL(9,S6:S6)</f>
        <v>672</v>
      </c>
      <c r="T7" s="46">
        <f t="shared" si="0"/>
        <v>0</v>
      </c>
      <c r="U7" s="46">
        <f t="shared" si="0"/>
        <v>0</v>
      </c>
      <c r="V7" s="46">
        <f t="shared" si="0"/>
        <v>0</v>
      </c>
      <c r="W7" s="85">
        <f t="shared" si="0"/>
        <v>0</v>
      </c>
      <c r="X7" s="85">
        <f t="shared" si="0"/>
        <v>0</v>
      </c>
      <c r="Y7" s="85">
        <f t="shared" si="0"/>
        <v>0</v>
      </c>
      <c r="Z7" s="85">
        <f t="shared" si="0"/>
        <v>0</v>
      </c>
      <c r="AA7" s="85">
        <f t="shared" si="0"/>
        <v>18</v>
      </c>
      <c r="AB7" s="85">
        <f t="shared" si="0"/>
        <v>12</v>
      </c>
      <c r="AC7" s="85">
        <f t="shared" si="0"/>
        <v>90</v>
      </c>
      <c r="AD7" s="85">
        <f t="shared" si="0"/>
        <v>72</v>
      </c>
      <c r="AE7" s="85">
        <f t="shared" si="0"/>
        <v>114</v>
      </c>
      <c r="AF7" s="85">
        <f t="shared" si="0"/>
        <v>90</v>
      </c>
      <c r="AG7" s="85">
        <f t="shared" si="0"/>
        <v>108</v>
      </c>
      <c r="AH7" s="85">
        <f t="shared" si="0"/>
        <v>54</v>
      </c>
      <c r="AI7" s="85">
        <f t="shared" si="0"/>
        <v>66</v>
      </c>
      <c r="AJ7" s="85">
        <f t="shared" si="0"/>
        <v>12</v>
      </c>
      <c r="AK7" s="85">
        <f t="shared" si="0"/>
        <v>36</v>
      </c>
      <c r="AL7" s="86">
        <f t="shared" si="0"/>
        <v>0</v>
      </c>
      <c r="AM7" s="86">
        <f t="shared" si="0"/>
        <v>0</v>
      </c>
      <c r="AN7" s="86">
        <f t="shared" si="0"/>
        <v>0</v>
      </c>
      <c r="AO7" s="86">
        <f t="shared" si="0"/>
        <v>0</v>
      </c>
      <c r="AP7" s="86">
        <f t="shared" si="0"/>
        <v>0</v>
      </c>
      <c r="AQ7" s="86">
        <f t="shared" si="0"/>
        <v>0</v>
      </c>
      <c r="AR7" s="86">
        <f t="shared" si="0"/>
        <v>0</v>
      </c>
      <c r="AS7" s="86">
        <f t="shared" si="0"/>
        <v>0</v>
      </c>
      <c r="AT7" s="86">
        <f t="shared" si="0"/>
        <v>0</v>
      </c>
      <c r="AU7" s="86">
        <f t="shared" si="0"/>
        <v>0</v>
      </c>
      <c r="AV7" s="86">
        <f t="shared" si="0"/>
        <v>0</v>
      </c>
      <c r="AW7" s="86">
        <f t="shared" si="0"/>
        <v>0</v>
      </c>
      <c r="AX7" s="86">
        <f t="shared" si="0"/>
        <v>0</v>
      </c>
      <c r="AY7" s="86">
        <f t="shared" si="0"/>
        <v>0</v>
      </c>
      <c r="AZ7" s="86">
        <f t="shared" si="0"/>
        <v>0</v>
      </c>
    </row>
    <row r="8" spans="1:52" s="25" customFormat="1" ht="15" customHeight="1" outlineLevel="2" x14ac:dyDescent="0.45">
      <c r="A8" s="12">
        <v>4509528877</v>
      </c>
      <c r="B8" s="13">
        <v>10</v>
      </c>
      <c r="C8" s="13" t="s">
        <v>227</v>
      </c>
      <c r="D8" s="14"/>
      <c r="E8" s="14"/>
      <c r="F8" s="15" t="s">
        <v>220</v>
      </c>
      <c r="G8" s="15">
        <v>4992062</v>
      </c>
      <c r="H8" s="15" t="s">
        <v>144</v>
      </c>
      <c r="I8" s="15" t="s">
        <v>98</v>
      </c>
      <c r="J8" s="14"/>
      <c r="K8" s="14">
        <v>45171</v>
      </c>
      <c r="L8" s="16" t="s">
        <v>228</v>
      </c>
      <c r="M8" s="14">
        <v>45091</v>
      </c>
      <c r="N8" s="17" t="str">
        <f>+LEFT(L8,5)</f>
        <v>T3HAR</v>
      </c>
      <c r="O8" s="18" t="s">
        <v>229</v>
      </c>
      <c r="P8" s="19" t="s">
        <v>224</v>
      </c>
      <c r="Q8" s="20" t="s">
        <v>102</v>
      </c>
      <c r="R8" s="21" t="s">
        <v>225</v>
      </c>
      <c r="S8" s="22">
        <f t="shared" ref="S8:S89" si="1">SUM(T8:AZ8)</f>
        <v>3102</v>
      </c>
      <c r="T8" s="22"/>
      <c r="U8" s="22"/>
      <c r="V8" s="22"/>
      <c r="W8" s="23"/>
      <c r="X8" s="23"/>
      <c r="Y8" s="23"/>
      <c r="Z8" s="23"/>
      <c r="AA8" s="23">
        <v>246</v>
      </c>
      <c r="AB8" s="23">
        <v>324</v>
      </c>
      <c r="AC8" s="23">
        <v>522</v>
      </c>
      <c r="AD8" s="23">
        <v>642</v>
      </c>
      <c r="AE8" s="23">
        <v>492</v>
      </c>
      <c r="AF8" s="23">
        <v>462</v>
      </c>
      <c r="AG8" s="23">
        <v>270</v>
      </c>
      <c r="AH8" s="23">
        <v>36</v>
      </c>
      <c r="AI8" s="23">
        <v>48</v>
      </c>
      <c r="AJ8" s="23">
        <v>12</v>
      </c>
      <c r="AK8" s="23">
        <v>36</v>
      </c>
      <c r="AL8" s="24"/>
      <c r="AM8" s="24">
        <v>12</v>
      </c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2" s="25" customFormat="1" ht="15" customHeight="1" outlineLevel="2" x14ac:dyDescent="0.45">
      <c r="A9" s="12">
        <v>3503406005</v>
      </c>
      <c r="B9" s="13">
        <v>10</v>
      </c>
      <c r="C9" s="13" t="s">
        <v>230</v>
      </c>
      <c r="D9" s="14"/>
      <c r="E9" s="14"/>
      <c r="F9" s="15" t="s">
        <v>220</v>
      </c>
      <c r="G9" s="15">
        <v>1036</v>
      </c>
      <c r="H9" s="15" t="s">
        <v>231</v>
      </c>
      <c r="I9" s="15" t="s">
        <v>98</v>
      </c>
      <c r="J9" s="14"/>
      <c r="K9" s="14">
        <v>45171</v>
      </c>
      <c r="L9" s="16" t="s">
        <v>232</v>
      </c>
      <c r="M9" s="14">
        <v>45091</v>
      </c>
      <c r="N9" s="17" t="str">
        <f>+LEFT(L9,5)</f>
        <v>T3HAR</v>
      </c>
      <c r="O9" s="18" t="s">
        <v>229</v>
      </c>
      <c r="P9" s="19" t="s">
        <v>224</v>
      </c>
      <c r="Q9" s="20" t="s">
        <v>102</v>
      </c>
      <c r="R9" s="21" t="s">
        <v>225</v>
      </c>
      <c r="S9" s="22">
        <f t="shared" si="1"/>
        <v>270</v>
      </c>
      <c r="T9" s="22"/>
      <c r="U9" s="22"/>
      <c r="V9" s="22"/>
      <c r="W9" s="23"/>
      <c r="X9" s="23"/>
      <c r="Y9" s="23"/>
      <c r="Z9" s="23"/>
      <c r="AA9" s="23">
        <v>30</v>
      </c>
      <c r="AB9" s="23"/>
      <c r="AC9" s="23">
        <v>36</v>
      </c>
      <c r="AD9" s="23">
        <v>24</v>
      </c>
      <c r="AE9" s="23">
        <v>42</v>
      </c>
      <c r="AF9" s="23">
        <v>24</v>
      </c>
      <c r="AG9" s="23">
        <v>30</v>
      </c>
      <c r="AH9" s="23">
        <v>18</v>
      </c>
      <c r="AI9" s="23">
        <v>30</v>
      </c>
      <c r="AJ9" s="23"/>
      <c r="AK9" s="23">
        <v>18</v>
      </c>
      <c r="AL9" s="24"/>
      <c r="AM9" s="24">
        <v>18</v>
      </c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 s="25" customFormat="1" ht="15" customHeight="1" outlineLevel="2" x14ac:dyDescent="0.45">
      <c r="A10" s="12">
        <v>3503405033</v>
      </c>
      <c r="B10" s="13">
        <v>10</v>
      </c>
      <c r="C10" s="13" t="s">
        <v>233</v>
      </c>
      <c r="D10" s="14"/>
      <c r="E10" s="14"/>
      <c r="F10" s="15" t="s">
        <v>220</v>
      </c>
      <c r="G10" s="15">
        <v>1038</v>
      </c>
      <c r="H10" s="15" t="s">
        <v>234</v>
      </c>
      <c r="I10" s="15" t="s">
        <v>98</v>
      </c>
      <c r="J10" s="14"/>
      <c r="K10" s="14">
        <v>45171</v>
      </c>
      <c r="L10" s="16" t="s">
        <v>235</v>
      </c>
      <c r="M10" s="14">
        <v>45091</v>
      </c>
      <c r="N10" s="17" t="str">
        <f>+LEFT(L10,5)</f>
        <v>T3HAR</v>
      </c>
      <c r="O10" s="18" t="s">
        <v>229</v>
      </c>
      <c r="P10" s="19" t="s">
        <v>224</v>
      </c>
      <c r="Q10" s="20" t="s">
        <v>102</v>
      </c>
      <c r="R10" s="21" t="s">
        <v>225</v>
      </c>
      <c r="S10" s="22">
        <f t="shared" si="1"/>
        <v>1134</v>
      </c>
      <c r="T10" s="22"/>
      <c r="U10" s="22"/>
      <c r="V10" s="22"/>
      <c r="W10" s="23"/>
      <c r="X10" s="23"/>
      <c r="Y10" s="23"/>
      <c r="Z10" s="23"/>
      <c r="AA10" s="23">
        <v>72</v>
      </c>
      <c r="AB10" s="23"/>
      <c r="AC10" s="23">
        <v>162</v>
      </c>
      <c r="AD10" s="23">
        <v>12</v>
      </c>
      <c r="AE10" s="23">
        <v>270</v>
      </c>
      <c r="AF10" s="23">
        <v>150</v>
      </c>
      <c r="AG10" s="23">
        <v>216</v>
      </c>
      <c r="AH10" s="23">
        <v>18</v>
      </c>
      <c r="AI10" s="23">
        <v>138</v>
      </c>
      <c r="AJ10" s="23"/>
      <c r="AK10" s="23">
        <v>90</v>
      </c>
      <c r="AL10" s="24"/>
      <c r="AM10" s="24">
        <v>6</v>
      </c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 s="25" customFormat="1" ht="15" customHeight="1" outlineLevel="2" x14ac:dyDescent="0.45">
      <c r="A11" s="12">
        <v>3503405473</v>
      </c>
      <c r="B11" s="13">
        <v>30</v>
      </c>
      <c r="C11" s="13" t="s">
        <v>236</v>
      </c>
      <c r="D11" s="14"/>
      <c r="E11" s="14"/>
      <c r="F11" s="15" t="s">
        <v>220</v>
      </c>
      <c r="G11" s="15">
        <v>1041</v>
      </c>
      <c r="H11" s="15" t="s">
        <v>221</v>
      </c>
      <c r="I11" s="15" t="s">
        <v>98</v>
      </c>
      <c r="J11" s="14"/>
      <c r="K11" s="14">
        <v>45171</v>
      </c>
      <c r="L11" s="16" t="s">
        <v>237</v>
      </c>
      <c r="M11" s="14">
        <v>45091</v>
      </c>
      <c r="N11" s="17" t="str">
        <f>+LEFT(L11,5)</f>
        <v>T3HAR</v>
      </c>
      <c r="O11" s="18" t="s">
        <v>229</v>
      </c>
      <c r="P11" s="19" t="s">
        <v>224</v>
      </c>
      <c r="Q11" s="20" t="s">
        <v>102</v>
      </c>
      <c r="R11" s="21" t="s">
        <v>225</v>
      </c>
      <c r="S11" s="22">
        <f t="shared" si="1"/>
        <v>402</v>
      </c>
      <c r="T11" s="22"/>
      <c r="U11" s="22"/>
      <c r="V11" s="22"/>
      <c r="W11" s="23"/>
      <c r="X11" s="23"/>
      <c r="Y11" s="23"/>
      <c r="Z11" s="23"/>
      <c r="AA11" s="23">
        <v>24</v>
      </c>
      <c r="AB11" s="23">
        <v>24</v>
      </c>
      <c r="AC11" s="23">
        <v>36</v>
      </c>
      <c r="AD11" s="23">
        <v>30</v>
      </c>
      <c r="AE11" s="23">
        <v>54</v>
      </c>
      <c r="AF11" s="23">
        <v>42</v>
      </c>
      <c r="AG11" s="23">
        <v>54</v>
      </c>
      <c r="AH11" s="23">
        <v>48</v>
      </c>
      <c r="AI11" s="23">
        <v>48</v>
      </c>
      <c r="AJ11" s="23"/>
      <c r="AK11" s="23">
        <v>30</v>
      </c>
      <c r="AL11" s="24"/>
      <c r="AM11" s="24">
        <v>12</v>
      </c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s="25" customFormat="1" ht="15" customHeight="1" outlineLevel="2" x14ac:dyDescent="0.45">
      <c r="A12" s="12">
        <v>3503403924</v>
      </c>
      <c r="B12" s="13">
        <v>10</v>
      </c>
      <c r="C12" s="13" t="s">
        <v>238</v>
      </c>
      <c r="D12" s="14"/>
      <c r="E12" s="14"/>
      <c r="F12" s="15" t="s">
        <v>220</v>
      </c>
      <c r="G12" s="15">
        <v>1089</v>
      </c>
      <c r="H12" s="15" t="s">
        <v>239</v>
      </c>
      <c r="I12" s="15" t="s">
        <v>98</v>
      </c>
      <c r="J12" s="14"/>
      <c r="K12" s="14">
        <v>45171</v>
      </c>
      <c r="L12" s="16" t="s">
        <v>240</v>
      </c>
      <c r="M12" s="14">
        <v>45091</v>
      </c>
      <c r="N12" s="17" t="str">
        <f>+LEFT(L12,5)</f>
        <v>T3HAR</v>
      </c>
      <c r="O12" s="18" t="s">
        <v>229</v>
      </c>
      <c r="P12" s="19" t="s">
        <v>224</v>
      </c>
      <c r="Q12" s="20" t="s">
        <v>102</v>
      </c>
      <c r="R12" s="21" t="s">
        <v>225</v>
      </c>
      <c r="S12" s="22">
        <f t="shared" si="1"/>
        <v>180</v>
      </c>
      <c r="T12" s="22"/>
      <c r="U12" s="22"/>
      <c r="V12" s="22"/>
      <c r="W12" s="23"/>
      <c r="X12" s="23"/>
      <c r="Y12" s="23"/>
      <c r="Z12" s="23"/>
      <c r="AA12" s="23">
        <v>12</v>
      </c>
      <c r="AB12" s="23"/>
      <c r="AC12" s="23">
        <v>30</v>
      </c>
      <c r="AD12" s="23"/>
      <c r="AE12" s="23">
        <v>54</v>
      </c>
      <c r="AF12" s="23"/>
      <c r="AG12" s="23">
        <v>48</v>
      </c>
      <c r="AH12" s="23"/>
      <c r="AI12" s="23">
        <v>30</v>
      </c>
      <c r="AJ12" s="23"/>
      <c r="AK12" s="23">
        <v>6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 s="26" customFormat="1" ht="15" customHeight="1" outlineLevel="1" x14ac:dyDescent="0.45">
      <c r="A13" s="38"/>
      <c r="B13" s="39"/>
      <c r="C13" s="39"/>
      <c r="D13" s="40"/>
      <c r="E13" s="40"/>
      <c r="F13" s="16"/>
      <c r="G13" s="16"/>
      <c r="H13" s="16"/>
      <c r="I13" s="16"/>
      <c r="J13" s="40"/>
      <c r="K13" s="40"/>
      <c r="L13" s="16"/>
      <c r="M13" s="40"/>
      <c r="N13" s="41" t="s">
        <v>241</v>
      </c>
      <c r="O13" s="42"/>
      <c r="P13" s="43"/>
      <c r="Q13" s="44"/>
      <c r="R13" s="45"/>
      <c r="S13" s="46">
        <f t="shared" ref="S13:AZ13" si="2">SUBTOTAL(9,S8:S12)</f>
        <v>5088</v>
      </c>
      <c r="T13" s="46">
        <f t="shared" si="2"/>
        <v>0</v>
      </c>
      <c r="U13" s="46">
        <f t="shared" si="2"/>
        <v>0</v>
      </c>
      <c r="V13" s="46">
        <f t="shared" si="2"/>
        <v>0</v>
      </c>
      <c r="W13" s="85">
        <f t="shared" si="2"/>
        <v>0</v>
      </c>
      <c r="X13" s="85">
        <f t="shared" si="2"/>
        <v>0</v>
      </c>
      <c r="Y13" s="85">
        <f t="shared" si="2"/>
        <v>0</v>
      </c>
      <c r="Z13" s="85">
        <f t="shared" si="2"/>
        <v>0</v>
      </c>
      <c r="AA13" s="85">
        <f t="shared" si="2"/>
        <v>384</v>
      </c>
      <c r="AB13" s="85">
        <f t="shared" si="2"/>
        <v>348</v>
      </c>
      <c r="AC13" s="85">
        <f t="shared" si="2"/>
        <v>786</v>
      </c>
      <c r="AD13" s="85">
        <f t="shared" si="2"/>
        <v>708</v>
      </c>
      <c r="AE13" s="85">
        <f t="shared" si="2"/>
        <v>912</v>
      </c>
      <c r="AF13" s="85">
        <f t="shared" si="2"/>
        <v>678</v>
      </c>
      <c r="AG13" s="85">
        <f t="shared" si="2"/>
        <v>618</v>
      </c>
      <c r="AH13" s="85">
        <f t="shared" si="2"/>
        <v>120</v>
      </c>
      <c r="AI13" s="85">
        <f t="shared" si="2"/>
        <v>294</v>
      </c>
      <c r="AJ13" s="85">
        <f t="shared" si="2"/>
        <v>12</v>
      </c>
      <c r="AK13" s="85">
        <f t="shared" si="2"/>
        <v>180</v>
      </c>
      <c r="AL13" s="86">
        <f t="shared" si="2"/>
        <v>0</v>
      </c>
      <c r="AM13" s="86">
        <f t="shared" si="2"/>
        <v>48</v>
      </c>
      <c r="AN13" s="86">
        <f t="shared" si="2"/>
        <v>0</v>
      </c>
      <c r="AO13" s="86">
        <f t="shared" si="2"/>
        <v>0</v>
      </c>
      <c r="AP13" s="86">
        <f t="shared" si="2"/>
        <v>0</v>
      </c>
      <c r="AQ13" s="86">
        <f t="shared" si="2"/>
        <v>0</v>
      </c>
      <c r="AR13" s="86">
        <f t="shared" si="2"/>
        <v>0</v>
      </c>
      <c r="AS13" s="86">
        <f t="shared" si="2"/>
        <v>0</v>
      </c>
      <c r="AT13" s="86">
        <f t="shared" si="2"/>
        <v>0</v>
      </c>
      <c r="AU13" s="86">
        <f t="shared" si="2"/>
        <v>0</v>
      </c>
      <c r="AV13" s="86">
        <f t="shared" si="2"/>
        <v>0</v>
      </c>
      <c r="AW13" s="86">
        <f t="shared" si="2"/>
        <v>0</v>
      </c>
      <c r="AX13" s="86">
        <f t="shared" si="2"/>
        <v>0</v>
      </c>
      <c r="AY13" s="86">
        <f t="shared" si="2"/>
        <v>0</v>
      </c>
      <c r="AZ13" s="86">
        <f t="shared" si="2"/>
        <v>0</v>
      </c>
    </row>
    <row r="14" spans="1:52" s="25" customFormat="1" ht="15" customHeight="1" outlineLevel="2" x14ac:dyDescent="0.45">
      <c r="A14" s="12">
        <v>3503404817</v>
      </c>
      <c r="B14" s="13">
        <v>10</v>
      </c>
      <c r="C14" s="13" t="s">
        <v>242</v>
      </c>
      <c r="D14" s="14"/>
      <c r="E14" s="14"/>
      <c r="F14" s="15" t="s">
        <v>243</v>
      </c>
      <c r="G14" s="15">
        <v>1041</v>
      </c>
      <c r="H14" s="15" t="s">
        <v>221</v>
      </c>
      <c r="I14" s="15" t="s">
        <v>98</v>
      </c>
      <c r="J14" s="14"/>
      <c r="K14" s="14">
        <v>45178</v>
      </c>
      <c r="L14" s="16" t="s">
        <v>244</v>
      </c>
      <c r="M14" s="14">
        <v>45091</v>
      </c>
      <c r="N14" s="17" t="str">
        <f>+LEFT(L14,5)</f>
        <v>T3HAS</v>
      </c>
      <c r="O14" s="18" t="s">
        <v>245</v>
      </c>
      <c r="P14" s="19" t="s">
        <v>246</v>
      </c>
      <c r="Q14" s="20" t="s">
        <v>102</v>
      </c>
      <c r="R14" s="21" t="s">
        <v>225</v>
      </c>
      <c r="S14" s="22">
        <f t="shared" si="1"/>
        <v>324</v>
      </c>
      <c r="T14" s="22"/>
      <c r="U14" s="22"/>
      <c r="V14" s="22"/>
      <c r="W14" s="23"/>
      <c r="X14" s="23"/>
      <c r="Y14" s="23"/>
      <c r="Z14" s="23"/>
      <c r="AA14" s="23">
        <v>6</v>
      </c>
      <c r="AB14" s="23">
        <v>6</v>
      </c>
      <c r="AC14" s="23">
        <v>30</v>
      </c>
      <c r="AD14" s="23">
        <v>24</v>
      </c>
      <c r="AE14" s="23">
        <v>42</v>
      </c>
      <c r="AF14" s="23">
        <v>48</v>
      </c>
      <c r="AG14" s="23">
        <v>48</v>
      </c>
      <c r="AH14" s="23">
        <v>48</v>
      </c>
      <c r="AI14" s="23">
        <v>42</v>
      </c>
      <c r="AJ14" s="23"/>
      <c r="AK14" s="23">
        <v>24</v>
      </c>
      <c r="AL14" s="24"/>
      <c r="AM14" s="24">
        <v>6</v>
      </c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spans="1:52" s="25" customFormat="1" ht="15" customHeight="1" outlineLevel="2" x14ac:dyDescent="0.45">
      <c r="A15" s="12">
        <v>3503403925</v>
      </c>
      <c r="B15" s="13">
        <v>10</v>
      </c>
      <c r="C15" s="13" t="s">
        <v>247</v>
      </c>
      <c r="D15" s="14"/>
      <c r="E15" s="14"/>
      <c r="F15" s="15" t="s">
        <v>243</v>
      </c>
      <c r="G15" s="15">
        <v>1089</v>
      </c>
      <c r="H15" s="15" t="s">
        <v>239</v>
      </c>
      <c r="I15" s="15" t="s">
        <v>98</v>
      </c>
      <c r="J15" s="14"/>
      <c r="K15" s="14">
        <v>45178</v>
      </c>
      <c r="L15" s="16" t="s">
        <v>248</v>
      </c>
      <c r="M15" s="14">
        <v>45091</v>
      </c>
      <c r="N15" s="17" t="str">
        <f>+LEFT(L15,5)</f>
        <v>T3HAS</v>
      </c>
      <c r="O15" s="18" t="s">
        <v>245</v>
      </c>
      <c r="P15" s="19" t="s">
        <v>246</v>
      </c>
      <c r="Q15" s="20" t="s">
        <v>102</v>
      </c>
      <c r="R15" s="21" t="s">
        <v>225</v>
      </c>
      <c r="S15" s="22">
        <f t="shared" si="1"/>
        <v>180</v>
      </c>
      <c r="T15" s="22"/>
      <c r="U15" s="22"/>
      <c r="V15" s="22"/>
      <c r="W15" s="23"/>
      <c r="X15" s="23"/>
      <c r="Y15" s="23"/>
      <c r="Z15" s="23"/>
      <c r="AA15" s="23">
        <v>12</v>
      </c>
      <c r="AB15" s="23"/>
      <c r="AC15" s="23">
        <v>30</v>
      </c>
      <c r="AD15" s="23"/>
      <c r="AE15" s="23">
        <v>48</v>
      </c>
      <c r="AF15" s="23"/>
      <c r="AG15" s="23">
        <v>48</v>
      </c>
      <c r="AH15" s="23"/>
      <c r="AI15" s="23">
        <v>30</v>
      </c>
      <c r="AJ15" s="23"/>
      <c r="AK15" s="23">
        <v>12</v>
      </c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spans="1:52" s="26" customFormat="1" ht="15" customHeight="1" outlineLevel="1" x14ac:dyDescent="0.45">
      <c r="A16" s="38"/>
      <c r="B16" s="39"/>
      <c r="C16" s="39"/>
      <c r="D16" s="40"/>
      <c r="E16" s="40"/>
      <c r="F16" s="16"/>
      <c r="G16" s="16"/>
      <c r="H16" s="16"/>
      <c r="I16" s="16"/>
      <c r="J16" s="40"/>
      <c r="K16" s="40"/>
      <c r="L16" s="16"/>
      <c r="M16" s="40"/>
      <c r="N16" s="41" t="s">
        <v>249</v>
      </c>
      <c r="O16" s="42"/>
      <c r="P16" s="43"/>
      <c r="Q16" s="44"/>
      <c r="R16" s="45"/>
      <c r="S16" s="46">
        <f t="shared" ref="S16:AZ16" si="3">SUBTOTAL(9,S14:S15)</f>
        <v>504</v>
      </c>
      <c r="T16" s="46">
        <f t="shared" si="3"/>
        <v>0</v>
      </c>
      <c r="U16" s="46">
        <f t="shared" si="3"/>
        <v>0</v>
      </c>
      <c r="V16" s="46">
        <f t="shared" si="3"/>
        <v>0</v>
      </c>
      <c r="W16" s="85">
        <f t="shared" si="3"/>
        <v>0</v>
      </c>
      <c r="X16" s="85">
        <f t="shared" si="3"/>
        <v>0</v>
      </c>
      <c r="Y16" s="85">
        <f t="shared" si="3"/>
        <v>0</v>
      </c>
      <c r="Z16" s="85">
        <f t="shared" si="3"/>
        <v>0</v>
      </c>
      <c r="AA16" s="85">
        <f t="shared" si="3"/>
        <v>18</v>
      </c>
      <c r="AB16" s="85">
        <f t="shared" si="3"/>
        <v>6</v>
      </c>
      <c r="AC16" s="85">
        <f t="shared" si="3"/>
        <v>60</v>
      </c>
      <c r="AD16" s="85">
        <f t="shared" si="3"/>
        <v>24</v>
      </c>
      <c r="AE16" s="85">
        <f t="shared" si="3"/>
        <v>90</v>
      </c>
      <c r="AF16" s="85">
        <f t="shared" si="3"/>
        <v>48</v>
      </c>
      <c r="AG16" s="85">
        <f t="shared" si="3"/>
        <v>96</v>
      </c>
      <c r="AH16" s="85">
        <f t="shared" si="3"/>
        <v>48</v>
      </c>
      <c r="AI16" s="85">
        <f t="shared" si="3"/>
        <v>72</v>
      </c>
      <c r="AJ16" s="85">
        <f t="shared" si="3"/>
        <v>0</v>
      </c>
      <c r="AK16" s="85">
        <f t="shared" si="3"/>
        <v>36</v>
      </c>
      <c r="AL16" s="86">
        <f t="shared" si="3"/>
        <v>0</v>
      </c>
      <c r="AM16" s="86">
        <f t="shared" si="3"/>
        <v>6</v>
      </c>
      <c r="AN16" s="86">
        <f t="shared" si="3"/>
        <v>0</v>
      </c>
      <c r="AO16" s="86">
        <f t="shared" si="3"/>
        <v>0</v>
      </c>
      <c r="AP16" s="86">
        <f t="shared" si="3"/>
        <v>0</v>
      </c>
      <c r="AQ16" s="86">
        <f t="shared" si="3"/>
        <v>0</v>
      </c>
      <c r="AR16" s="86">
        <f t="shared" si="3"/>
        <v>0</v>
      </c>
      <c r="AS16" s="86">
        <f t="shared" si="3"/>
        <v>0</v>
      </c>
      <c r="AT16" s="86">
        <f t="shared" si="3"/>
        <v>0</v>
      </c>
      <c r="AU16" s="86">
        <f t="shared" si="3"/>
        <v>0</v>
      </c>
      <c r="AV16" s="86">
        <f t="shared" si="3"/>
        <v>0</v>
      </c>
      <c r="AW16" s="86">
        <f t="shared" si="3"/>
        <v>0</v>
      </c>
      <c r="AX16" s="86">
        <f t="shared" si="3"/>
        <v>0</v>
      </c>
      <c r="AY16" s="86">
        <f t="shared" si="3"/>
        <v>0</v>
      </c>
      <c r="AZ16" s="86">
        <f t="shared" si="3"/>
        <v>0</v>
      </c>
    </row>
    <row r="17" spans="1:52" s="25" customFormat="1" ht="15" customHeight="1" outlineLevel="2" x14ac:dyDescent="0.45">
      <c r="A17" s="12">
        <v>4509529926</v>
      </c>
      <c r="B17" s="13">
        <v>10</v>
      </c>
      <c r="C17" s="13" t="s">
        <v>250</v>
      </c>
      <c r="D17" s="14"/>
      <c r="E17" s="14" t="s">
        <v>165</v>
      </c>
      <c r="F17" s="15" t="s">
        <v>243</v>
      </c>
      <c r="G17" s="15">
        <v>1014</v>
      </c>
      <c r="H17" s="15" t="s">
        <v>118</v>
      </c>
      <c r="I17" s="15" t="s">
        <v>152</v>
      </c>
      <c r="J17" s="14"/>
      <c r="K17" s="14">
        <v>45178</v>
      </c>
      <c r="L17" s="16" t="s">
        <v>251</v>
      </c>
      <c r="M17" s="14">
        <v>45091</v>
      </c>
      <c r="N17" s="17" t="str">
        <f>+LEFT(L17,5)</f>
        <v>T3HAU</v>
      </c>
      <c r="O17" s="18" t="s">
        <v>252</v>
      </c>
      <c r="P17" s="19" t="s">
        <v>246</v>
      </c>
      <c r="Q17" s="20" t="s">
        <v>102</v>
      </c>
      <c r="R17" s="21" t="s">
        <v>225</v>
      </c>
      <c r="S17" s="22">
        <f t="shared" si="1"/>
        <v>504</v>
      </c>
      <c r="T17" s="22"/>
      <c r="U17" s="22"/>
      <c r="V17" s="22"/>
      <c r="W17" s="23"/>
      <c r="X17" s="23"/>
      <c r="Y17" s="23">
        <v>6</v>
      </c>
      <c r="Z17" s="23">
        <v>6</v>
      </c>
      <c r="AA17" s="23">
        <v>18</v>
      </c>
      <c r="AB17" s="23">
        <v>24</v>
      </c>
      <c r="AC17" s="23">
        <v>36</v>
      </c>
      <c r="AD17" s="23">
        <v>42</v>
      </c>
      <c r="AE17" s="23">
        <v>42</v>
      </c>
      <c r="AF17" s="23">
        <v>48</v>
      </c>
      <c r="AG17" s="23">
        <v>54</v>
      </c>
      <c r="AH17" s="23">
        <v>48</v>
      </c>
      <c r="AI17" s="23">
        <v>48</v>
      </c>
      <c r="AJ17" s="23">
        <v>30</v>
      </c>
      <c r="AK17" s="23">
        <v>42</v>
      </c>
      <c r="AL17" s="24">
        <v>6</v>
      </c>
      <c r="AM17" s="24">
        <v>36</v>
      </c>
      <c r="AN17" s="24"/>
      <c r="AO17" s="24">
        <v>12</v>
      </c>
      <c r="AP17" s="24"/>
      <c r="AQ17" s="24">
        <v>6</v>
      </c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 s="26" customFormat="1" ht="15" customHeight="1" outlineLevel="1" x14ac:dyDescent="0.45">
      <c r="A18" s="38"/>
      <c r="B18" s="39"/>
      <c r="C18" s="39"/>
      <c r="D18" s="40"/>
      <c r="E18" s="40"/>
      <c r="F18" s="16"/>
      <c r="G18" s="16"/>
      <c r="H18" s="16"/>
      <c r="I18" s="16"/>
      <c r="J18" s="40"/>
      <c r="K18" s="40"/>
      <c r="L18" s="16"/>
      <c r="M18" s="40"/>
      <c r="N18" s="41" t="s">
        <v>253</v>
      </c>
      <c r="O18" s="42"/>
      <c r="P18" s="43"/>
      <c r="Q18" s="44"/>
      <c r="R18" s="45"/>
      <c r="S18" s="46">
        <f t="shared" ref="S18:AZ18" si="4">SUBTOTAL(9,S17:S17)</f>
        <v>504</v>
      </c>
      <c r="T18" s="46">
        <f t="shared" si="4"/>
        <v>0</v>
      </c>
      <c r="U18" s="46">
        <f t="shared" si="4"/>
        <v>0</v>
      </c>
      <c r="V18" s="46">
        <f t="shared" si="4"/>
        <v>0</v>
      </c>
      <c r="W18" s="85">
        <f t="shared" si="4"/>
        <v>0</v>
      </c>
      <c r="X18" s="85">
        <f t="shared" si="4"/>
        <v>0</v>
      </c>
      <c r="Y18" s="85">
        <f t="shared" si="4"/>
        <v>6</v>
      </c>
      <c r="Z18" s="85">
        <f t="shared" si="4"/>
        <v>6</v>
      </c>
      <c r="AA18" s="85">
        <f t="shared" si="4"/>
        <v>18</v>
      </c>
      <c r="AB18" s="85">
        <f t="shared" si="4"/>
        <v>24</v>
      </c>
      <c r="AC18" s="85">
        <f t="shared" si="4"/>
        <v>36</v>
      </c>
      <c r="AD18" s="85">
        <f t="shared" si="4"/>
        <v>42</v>
      </c>
      <c r="AE18" s="85">
        <f t="shared" si="4"/>
        <v>42</v>
      </c>
      <c r="AF18" s="85">
        <f t="shared" si="4"/>
        <v>48</v>
      </c>
      <c r="AG18" s="85">
        <f t="shared" si="4"/>
        <v>54</v>
      </c>
      <c r="AH18" s="85">
        <f t="shared" si="4"/>
        <v>48</v>
      </c>
      <c r="AI18" s="85">
        <f t="shared" si="4"/>
        <v>48</v>
      </c>
      <c r="AJ18" s="85">
        <f t="shared" si="4"/>
        <v>30</v>
      </c>
      <c r="AK18" s="85">
        <f t="shared" si="4"/>
        <v>42</v>
      </c>
      <c r="AL18" s="86">
        <f t="shared" si="4"/>
        <v>6</v>
      </c>
      <c r="AM18" s="86">
        <f t="shared" si="4"/>
        <v>36</v>
      </c>
      <c r="AN18" s="86">
        <f t="shared" si="4"/>
        <v>0</v>
      </c>
      <c r="AO18" s="86">
        <f t="shared" si="4"/>
        <v>12</v>
      </c>
      <c r="AP18" s="86">
        <f t="shared" si="4"/>
        <v>0</v>
      </c>
      <c r="AQ18" s="86">
        <f t="shared" si="4"/>
        <v>6</v>
      </c>
      <c r="AR18" s="86">
        <f t="shared" si="4"/>
        <v>0</v>
      </c>
      <c r="AS18" s="86">
        <f t="shared" si="4"/>
        <v>0</v>
      </c>
      <c r="AT18" s="86">
        <f t="shared" si="4"/>
        <v>0</v>
      </c>
      <c r="AU18" s="86">
        <f t="shared" si="4"/>
        <v>0</v>
      </c>
      <c r="AV18" s="86">
        <f t="shared" si="4"/>
        <v>0</v>
      </c>
      <c r="AW18" s="86">
        <f t="shared" si="4"/>
        <v>0</v>
      </c>
      <c r="AX18" s="86">
        <f t="shared" si="4"/>
        <v>0</v>
      </c>
      <c r="AY18" s="86">
        <f t="shared" si="4"/>
        <v>0</v>
      </c>
      <c r="AZ18" s="86">
        <f t="shared" si="4"/>
        <v>0</v>
      </c>
    </row>
    <row r="19" spans="1:52" s="25" customFormat="1" ht="15" customHeight="1" outlineLevel="2" x14ac:dyDescent="0.45">
      <c r="A19" s="12">
        <v>4509530579</v>
      </c>
      <c r="B19" s="13">
        <v>10</v>
      </c>
      <c r="C19" s="13" t="s">
        <v>254</v>
      </c>
      <c r="D19" s="14"/>
      <c r="E19" s="14"/>
      <c r="F19" s="15" t="s">
        <v>255</v>
      </c>
      <c r="G19" s="15">
        <v>35070</v>
      </c>
      <c r="H19" s="15" t="s">
        <v>118</v>
      </c>
      <c r="I19" s="15" t="s">
        <v>98</v>
      </c>
      <c r="J19" s="14"/>
      <c r="K19" s="14">
        <v>45199</v>
      </c>
      <c r="L19" s="16" t="s">
        <v>256</v>
      </c>
      <c r="M19" s="14">
        <v>45091</v>
      </c>
      <c r="N19" s="17" t="str">
        <f>+LEFT(L19,5)</f>
        <v>T3K44</v>
      </c>
      <c r="O19" s="18" t="s">
        <v>257</v>
      </c>
      <c r="P19" s="19" t="s">
        <v>258</v>
      </c>
      <c r="Q19" s="20" t="s">
        <v>102</v>
      </c>
      <c r="R19" s="21" t="s">
        <v>225</v>
      </c>
      <c r="S19" s="22">
        <f t="shared" si="1"/>
        <v>600</v>
      </c>
      <c r="T19" s="22"/>
      <c r="U19" s="22"/>
      <c r="V19" s="22"/>
      <c r="W19" s="23"/>
      <c r="X19" s="23"/>
      <c r="Y19" s="23"/>
      <c r="Z19" s="23"/>
      <c r="AA19" s="23">
        <v>12</v>
      </c>
      <c r="AB19" s="23">
        <v>30</v>
      </c>
      <c r="AC19" s="23">
        <v>42</v>
      </c>
      <c r="AD19" s="23">
        <v>42</v>
      </c>
      <c r="AE19" s="23">
        <v>60</v>
      </c>
      <c r="AF19" s="23">
        <v>60</v>
      </c>
      <c r="AG19" s="23">
        <v>60</v>
      </c>
      <c r="AH19" s="23">
        <v>66</v>
      </c>
      <c r="AI19" s="23">
        <v>66</v>
      </c>
      <c r="AJ19" s="23">
        <v>36</v>
      </c>
      <c r="AK19" s="23">
        <v>60</v>
      </c>
      <c r="AL19" s="24"/>
      <c r="AM19" s="24">
        <v>42</v>
      </c>
      <c r="AN19" s="24"/>
      <c r="AO19" s="24">
        <v>18</v>
      </c>
      <c r="AP19" s="24"/>
      <c r="AQ19" s="24">
        <v>6</v>
      </c>
      <c r="AR19" s="24"/>
      <c r="AS19" s="24"/>
      <c r="AT19" s="24"/>
      <c r="AU19" s="24"/>
      <c r="AV19" s="24"/>
      <c r="AW19" s="24"/>
      <c r="AX19" s="24"/>
      <c r="AY19" s="24"/>
      <c r="AZ19" s="24"/>
    </row>
    <row r="20" spans="1:52" s="25" customFormat="1" ht="15" customHeight="1" outlineLevel="2" x14ac:dyDescent="0.45">
      <c r="A20" s="12">
        <v>3503405148</v>
      </c>
      <c r="B20" s="13">
        <v>20</v>
      </c>
      <c r="C20" s="13" t="s">
        <v>259</v>
      </c>
      <c r="D20" s="14"/>
      <c r="E20" s="14"/>
      <c r="F20" s="15" t="s">
        <v>255</v>
      </c>
      <c r="G20" s="15">
        <v>1083</v>
      </c>
      <c r="H20" s="15" t="s">
        <v>105</v>
      </c>
      <c r="I20" s="15" t="s">
        <v>98</v>
      </c>
      <c r="J20" s="14"/>
      <c r="K20" s="14">
        <v>45185</v>
      </c>
      <c r="L20" s="16" t="s">
        <v>260</v>
      </c>
      <c r="M20" s="14">
        <v>45091</v>
      </c>
      <c r="N20" s="17" t="str">
        <f>+LEFT(L20,5)</f>
        <v>T3K44</v>
      </c>
      <c r="O20" s="18" t="s">
        <v>257</v>
      </c>
      <c r="P20" s="19" t="s">
        <v>258</v>
      </c>
      <c r="Q20" s="20" t="s">
        <v>102</v>
      </c>
      <c r="R20" s="21" t="s">
        <v>225</v>
      </c>
      <c r="S20" s="22">
        <f t="shared" si="1"/>
        <v>378</v>
      </c>
      <c r="T20" s="22"/>
      <c r="U20" s="22"/>
      <c r="V20" s="22"/>
      <c r="W20" s="23"/>
      <c r="X20" s="23"/>
      <c r="Y20" s="23"/>
      <c r="Z20" s="23">
        <v>6</v>
      </c>
      <c r="AA20" s="23">
        <v>12</v>
      </c>
      <c r="AB20" s="23">
        <v>12</v>
      </c>
      <c r="AC20" s="23">
        <v>42</v>
      </c>
      <c r="AD20" s="23">
        <v>54</v>
      </c>
      <c r="AE20" s="23">
        <v>66</v>
      </c>
      <c r="AF20" s="23">
        <v>54</v>
      </c>
      <c r="AG20" s="23">
        <v>60</v>
      </c>
      <c r="AH20" s="23">
        <v>24</v>
      </c>
      <c r="AI20" s="23">
        <v>24</v>
      </c>
      <c r="AJ20" s="23">
        <v>12</v>
      </c>
      <c r="AK20" s="23">
        <v>12</v>
      </c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spans="1:52" s="25" customFormat="1" ht="15" customHeight="1" outlineLevel="2" x14ac:dyDescent="0.45">
      <c r="A21" s="12">
        <v>3503406004</v>
      </c>
      <c r="B21" s="13">
        <v>10</v>
      </c>
      <c r="C21" s="13" t="s">
        <v>261</v>
      </c>
      <c r="D21" s="14"/>
      <c r="E21" s="14"/>
      <c r="F21" s="15" t="s">
        <v>255</v>
      </c>
      <c r="G21" s="15">
        <v>5060637</v>
      </c>
      <c r="H21" s="15" t="s">
        <v>231</v>
      </c>
      <c r="I21" s="15" t="s">
        <v>98</v>
      </c>
      <c r="J21" s="14"/>
      <c r="K21" s="14">
        <v>45185</v>
      </c>
      <c r="L21" s="16" t="s">
        <v>262</v>
      </c>
      <c r="M21" s="14">
        <v>45091</v>
      </c>
      <c r="N21" s="17" t="str">
        <f>+LEFT(L21,5)</f>
        <v>T3K44</v>
      </c>
      <c r="O21" s="18" t="s">
        <v>257</v>
      </c>
      <c r="P21" s="19" t="s">
        <v>258</v>
      </c>
      <c r="Q21" s="20" t="s">
        <v>102</v>
      </c>
      <c r="R21" s="21" t="s">
        <v>225</v>
      </c>
      <c r="S21" s="22">
        <f t="shared" si="1"/>
        <v>210</v>
      </c>
      <c r="T21" s="22"/>
      <c r="U21" s="22"/>
      <c r="V21" s="22"/>
      <c r="W21" s="23"/>
      <c r="X21" s="23"/>
      <c r="Y21" s="23"/>
      <c r="Z21" s="23"/>
      <c r="AA21" s="23">
        <v>18</v>
      </c>
      <c r="AB21" s="23"/>
      <c r="AC21" s="23">
        <v>36</v>
      </c>
      <c r="AD21" s="23"/>
      <c r="AE21" s="23">
        <v>60</v>
      </c>
      <c r="AF21" s="23"/>
      <c r="AG21" s="23">
        <v>48</v>
      </c>
      <c r="AH21" s="23"/>
      <c r="AI21" s="23">
        <v>30</v>
      </c>
      <c r="AJ21" s="23"/>
      <c r="AK21" s="23">
        <v>18</v>
      </c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 s="25" customFormat="1" ht="15" customHeight="1" outlineLevel="2" x14ac:dyDescent="0.45">
      <c r="A22" s="12">
        <v>3503406252</v>
      </c>
      <c r="B22" s="13">
        <v>10</v>
      </c>
      <c r="C22" s="13" t="s">
        <v>263</v>
      </c>
      <c r="D22" s="14"/>
      <c r="E22" s="14"/>
      <c r="F22" s="15" t="s">
        <v>255</v>
      </c>
      <c r="G22" s="15">
        <v>5026206</v>
      </c>
      <c r="H22" s="15" t="s">
        <v>97</v>
      </c>
      <c r="I22" s="15" t="s">
        <v>98</v>
      </c>
      <c r="J22" s="14"/>
      <c r="K22" s="14">
        <v>45192</v>
      </c>
      <c r="L22" s="16" t="s">
        <v>264</v>
      </c>
      <c r="M22" s="14">
        <v>45091</v>
      </c>
      <c r="N22" s="17" t="str">
        <f>+LEFT(L22,5)</f>
        <v>T3K44</v>
      </c>
      <c r="O22" s="18" t="s">
        <v>257</v>
      </c>
      <c r="P22" s="19" t="s">
        <v>258</v>
      </c>
      <c r="Q22" s="20" t="s">
        <v>102</v>
      </c>
      <c r="R22" s="21" t="s">
        <v>225</v>
      </c>
      <c r="S22" s="22">
        <f t="shared" si="1"/>
        <v>360</v>
      </c>
      <c r="T22" s="22"/>
      <c r="U22" s="22"/>
      <c r="V22" s="22"/>
      <c r="W22" s="23"/>
      <c r="X22" s="23"/>
      <c r="Y22" s="23"/>
      <c r="Z22" s="23"/>
      <c r="AA22" s="23">
        <v>18</v>
      </c>
      <c r="AB22" s="23">
        <v>24</v>
      </c>
      <c r="AC22" s="23">
        <v>60</v>
      </c>
      <c r="AD22" s="23">
        <v>66</v>
      </c>
      <c r="AE22" s="23">
        <v>60</v>
      </c>
      <c r="AF22" s="23">
        <v>42</v>
      </c>
      <c r="AG22" s="23">
        <v>42</v>
      </c>
      <c r="AH22" s="23">
        <v>24</v>
      </c>
      <c r="AI22" s="23">
        <v>18</v>
      </c>
      <c r="AJ22" s="23"/>
      <c r="AK22" s="23">
        <v>6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 s="26" customFormat="1" ht="15" customHeight="1" outlineLevel="1" x14ac:dyDescent="0.45">
      <c r="A23" s="38"/>
      <c r="B23" s="39"/>
      <c r="C23" s="39"/>
      <c r="D23" s="40"/>
      <c r="E23" s="40"/>
      <c r="F23" s="16"/>
      <c r="G23" s="16"/>
      <c r="H23" s="16"/>
      <c r="I23" s="16"/>
      <c r="J23" s="40"/>
      <c r="K23" s="40"/>
      <c r="L23" s="16"/>
      <c r="M23" s="40"/>
      <c r="N23" s="41" t="s">
        <v>265</v>
      </c>
      <c r="O23" s="42"/>
      <c r="P23" s="43"/>
      <c r="Q23" s="44"/>
      <c r="R23" s="45"/>
      <c r="S23" s="46">
        <f t="shared" ref="S23:AZ23" si="5">SUBTOTAL(9,S19:S22)</f>
        <v>1548</v>
      </c>
      <c r="T23" s="46">
        <f t="shared" si="5"/>
        <v>0</v>
      </c>
      <c r="U23" s="46">
        <f t="shared" si="5"/>
        <v>0</v>
      </c>
      <c r="V23" s="46">
        <f t="shared" si="5"/>
        <v>0</v>
      </c>
      <c r="W23" s="85">
        <f t="shared" si="5"/>
        <v>0</v>
      </c>
      <c r="X23" s="85">
        <f t="shared" si="5"/>
        <v>0</v>
      </c>
      <c r="Y23" s="85">
        <f t="shared" si="5"/>
        <v>0</v>
      </c>
      <c r="Z23" s="85">
        <f t="shared" si="5"/>
        <v>6</v>
      </c>
      <c r="AA23" s="85">
        <f t="shared" si="5"/>
        <v>60</v>
      </c>
      <c r="AB23" s="85">
        <f t="shared" si="5"/>
        <v>66</v>
      </c>
      <c r="AC23" s="85">
        <f t="shared" si="5"/>
        <v>180</v>
      </c>
      <c r="AD23" s="85">
        <f t="shared" si="5"/>
        <v>162</v>
      </c>
      <c r="AE23" s="85">
        <f t="shared" si="5"/>
        <v>246</v>
      </c>
      <c r="AF23" s="85">
        <f t="shared" si="5"/>
        <v>156</v>
      </c>
      <c r="AG23" s="85">
        <f t="shared" si="5"/>
        <v>210</v>
      </c>
      <c r="AH23" s="85">
        <f t="shared" si="5"/>
        <v>114</v>
      </c>
      <c r="AI23" s="85">
        <f t="shared" si="5"/>
        <v>138</v>
      </c>
      <c r="AJ23" s="85">
        <f t="shared" si="5"/>
        <v>48</v>
      </c>
      <c r="AK23" s="85">
        <f t="shared" si="5"/>
        <v>96</v>
      </c>
      <c r="AL23" s="86">
        <f t="shared" si="5"/>
        <v>0</v>
      </c>
      <c r="AM23" s="86">
        <f t="shared" si="5"/>
        <v>42</v>
      </c>
      <c r="AN23" s="86">
        <f t="shared" si="5"/>
        <v>0</v>
      </c>
      <c r="AO23" s="86">
        <f t="shared" si="5"/>
        <v>18</v>
      </c>
      <c r="AP23" s="86">
        <f t="shared" si="5"/>
        <v>0</v>
      </c>
      <c r="AQ23" s="86">
        <f t="shared" si="5"/>
        <v>6</v>
      </c>
      <c r="AR23" s="86">
        <f t="shared" si="5"/>
        <v>0</v>
      </c>
      <c r="AS23" s="86">
        <f t="shared" si="5"/>
        <v>0</v>
      </c>
      <c r="AT23" s="86">
        <f t="shared" si="5"/>
        <v>0</v>
      </c>
      <c r="AU23" s="86">
        <f t="shared" si="5"/>
        <v>0</v>
      </c>
      <c r="AV23" s="86">
        <f t="shared" si="5"/>
        <v>0</v>
      </c>
      <c r="AW23" s="86">
        <f t="shared" si="5"/>
        <v>0</v>
      </c>
      <c r="AX23" s="86">
        <f t="shared" si="5"/>
        <v>0</v>
      </c>
      <c r="AY23" s="86">
        <f t="shared" si="5"/>
        <v>0</v>
      </c>
      <c r="AZ23" s="86">
        <f t="shared" si="5"/>
        <v>0</v>
      </c>
    </row>
    <row r="24" spans="1:52" s="25" customFormat="1" ht="15" customHeight="1" outlineLevel="2" x14ac:dyDescent="0.45">
      <c r="A24" s="12">
        <v>3503406254</v>
      </c>
      <c r="B24" s="13">
        <v>10</v>
      </c>
      <c r="C24" s="13" t="s">
        <v>266</v>
      </c>
      <c r="D24" s="14"/>
      <c r="E24" s="14"/>
      <c r="F24" s="15" t="s">
        <v>255</v>
      </c>
      <c r="G24" s="15">
        <v>5064038</v>
      </c>
      <c r="H24" s="15" t="s">
        <v>97</v>
      </c>
      <c r="I24" s="15" t="s">
        <v>98</v>
      </c>
      <c r="J24" s="14"/>
      <c r="K24" s="14">
        <v>45206</v>
      </c>
      <c r="L24" s="16" t="s">
        <v>267</v>
      </c>
      <c r="M24" s="14">
        <v>45091</v>
      </c>
      <c r="N24" s="17" t="str">
        <f>+LEFT(L24,5)</f>
        <v>T3K45</v>
      </c>
      <c r="O24" s="18" t="s">
        <v>257</v>
      </c>
      <c r="P24" s="19" t="s">
        <v>258</v>
      </c>
      <c r="Q24" s="20" t="s">
        <v>102</v>
      </c>
      <c r="R24" s="21" t="s">
        <v>225</v>
      </c>
      <c r="S24" s="22">
        <f t="shared" si="1"/>
        <v>840</v>
      </c>
      <c r="T24" s="22"/>
      <c r="U24" s="22"/>
      <c r="V24" s="22"/>
      <c r="W24" s="23"/>
      <c r="X24" s="23"/>
      <c r="Y24" s="23"/>
      <c r="Z24" s="23"/>
      <c r="AA24" s="23">
        <v>48</v>
      </c>
      <c r="AB24" s="23">
        <v>72</v>
      </c>
      <c r="AC24" s="23">
        <v>126</v>
      </c>
      <c r="AD24" s="23">
        <v>174</v>
      </c>
      <c r="AE24" s="23">
        <v>156</v>
      </c>
      <c r="AF24" s="23">
        <v>120</v>
      </c>
      <c r="AG24" s="23">
        <v>90</v>
      </c>
      <c r="AH24" s="23">
        <v>42</v>
      </c>
      <c r="AI24" s="23">
        <v>6</v>
      </c>
      <c r="AJ24" s="23"/>
      <c r="AK24" s="23">
        <v>6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spans="1:52" s="25" customFormat="1" ht="15" customHeight="1" outlineLevel="2" x14ac:dyDescent="0.45">
      <c r="A25" s="12">
        <v>3503406255</v>
      </c>
      <c r="B25" s="13">
        <v>10</v>
      </c>
      <c r="C25" s="13" t="s">
        <v>268</v>
      </c>
      <c r="D25" s="14"/>
      <c r="E25" s="14"/>
      <c r="F25" s="15" t="s">
        <v>255</v>
      </c>
      <c r="G25" s="15">
        <v>5073237</v>
      </c>
      <c r="H25" s="15" t="s">
        <v>97</v>
      </c>
      <c r="I25" s="15" t="s">
        <v>98</v>
      </c>
      <c r="J25" s="14"/>
      <c r="K25" s="14">
        <v>45206</v>
      </c>
      <c r="L25" s="16" t="s">
        <v>269</v>
      </c>
      <c r="M25" s="14">
        <v>45091</v>
      </c>
      <c r="N25" s="17" t="str">
        <f>+LEFT(L25,5)</f>
        <v>T3K45</v>
      </c>
      <c r="O25" s="18" t="s">
        <v>257</v>
      </c>
      <c r="P25" s="19" t="s">
        <v>258</v>
      </c>
      <c r="Q25" s="20" t="s">
        <v>102</v>
      </c>
      <c r="R25" s="21" t="s">
        <v>225</v>
      </c>
      <c r="S25" s="22">
        <f t="shared" si="1"/>
        <v>1206</v>
      </c>
      <c r="T25" s="22"/>
      <c r="U25" s="22"/>
      <c r="V25" s="22"/>
      <c r="W25" s="23"/>
      <c r="X25" s="23"/>
      <c r="Y25" s="23"/>
      <c r="Z25" s="23"/>
      <c r="AA25" s="23">
        <v>60</v>
      </c>
      <c r="AB25" s="23">
        <v>108</v>
      </c>
      <c r="AC25" s="23">
        <v>174</v>
      </c>
      <c r="AD25" s="23">
        <v>246</v>
      </c>
      <c r="AE25" s="23">
        <v>246</v>
      </c>
      <c r="AF25" s="23">
        <v>162</v>
      </c>
      <c r="AG25" s="23">
        <v>132</v>
      </c>
      <c r="AH25" s="23">
        <v>60</v>
      </c>
      <c r="AI25" s="23">
        <v>12</v>
      </c>
      <c r="AJ25" s="23"/>
      <c r="AK25" s="23">
        <v>6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spans="1:52" s="25" customFormat="1" ht="15" customHeight="1" outlineLevel="2" x14ac:dyDescent="0.45">
      <c r="A26" s="12">
        <v>4509527410</v>
      </c>
      <c r="B26" s="13">
        <v>10</v>
      </c>
      <c r="C26" s="13" t="s">
        <v>270</v>
      </c>
      <c r="D26" s="14"/>
      <c r="E26" s="14"/>
      <c r="F26" s="15" t="s">
        <v>255</v>
      </c>
      <c r="G26" s="15">
        <v>4992098</v>
      </c>
      <c r="H26" s="15" t="s">
        <v>271</v>
      </c>
      <c r="I26" s="15" t="s">
        <v>98</v>
      </c>
      <c r="J26" s="14"/>
      <c r="K26" s="14">
        <v>45206</v>
      </c>
      <c r="L26" s="16" t="s">
        <v>272</v>
      </c>
      <c r="M26" s="14">
        <v>45091</v>
      </c>
      <c r="N26" s="17" t="str">
        <f>+LEFT(L26,5)</f>
        <v>T3K45</v>
      </c>
      <c r="O26" s="18" t="s">
        <v>257</v>
      </c>
      <c r="P26" s="19" t="s">
        <v>258</v>
      </c>
      <c r="Q26" s="20" t="s">
        <v>102</v>
      </c>
      <c r="R26" s="21" t="s">
        <v>225</v>
      </c>
      <c r="S26" s="22">
        <f t="shared" si="1"/>
        <v>845</v>
      </c>
      <c r="T26" s="22"/>
      <c r="U26" s="22"/>
      <c r="V26" s="22"/>
      <c r="W26" s="23"/>
      <c r="X26" s="23"/>
      <c r="Y26" s="23">
        <v>3</v>
      </c>
      <c r="Z26" s="23"/>
      <c r="AA26" s="23">
        <v>31</v>
      </c>
      <c r="AB26" s="23">
        <v>65</v>
      </c>
      <c r="AC26" s="23"/>
      <c r="AD26" s="23">
        <v>145</v>
      </c>
      <c r="AE26" s="23"/>
      <c r="AF26" s="23">
        <v>148</v>
      </c>
      <c r="AG26" s="23">
        <v>167</v>
      </c>
      <c r="AH26" s="23"/>
      <c r="AI26" s="23">
        <v>134</v>
      </c>
      <c r="AJ26" s="23"/>
      <c r="AK26" s="23">
        <v>73</v>
      </c>
      <c r="AL26" s="24">
        <v>39</v>
      </c>
      <c r="AM26" s="24">
        <v>40</v>
      </c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 spans="1:52" s="26" customFormat="1" ht="15" customHeight="1" outlineLevel="1" x14ac:dyDescent="0.45">
      <c r="A27" s="38"/>
      <c r="B27" s="39"/>
      <c r="C27" s="39"/>
      <c r="D27" s="40"/>
      <c r="E27" s="40"/>
      <c r="F27" s="16"/>
      <c r="G27" s="16"/>
      <c r="H27" s="16"/>
      <c r="I27" s="16"/>
      <c r="J27" s="40"/>
      <c r="K27" s="40"/>
      <c r="L27" s="16"/>
      <c r="M27" s="40"/>
      <c r="N27" s="41" t="s">
        <v>273</v>
      </c>
      <c r="O27" s="42"/>
      <c r="P27" s="43"/>
      <c r="Q27" s="44"/>
      <c r="R27" s="45"/>
      <c r="S27" s="46">
        <f t="shared" ref="S27:AZ27" si="6">SUBTOTAL(9,S24:S26)</f>
        <v>2891</v>
      </c>
      <c r="T27" s="46">
        <f t="shared" si="6"/>
        <v>0</v>
      </c>
      <c r="U27" s="46">
        <f t="shared" si="6"/>
        <v>0</v>
      </c>
      <c r="V27" s="46">
        <f t="shared" si="6"/>
        <v>0</v>
      </c>
      <c r="W27" s="85">
        <f t="shared" si="6"/>
        <v>0</v>
      </c>
      <c r="X27" s="85">
        <f t="shared" si="6"/>
        <v>0</v>
      </c>
      <c r="Y27" s="85">
        <f t="shared" si="6"/>
        <v>3</v>
      </c>
      <c r="Z27" s="85">
        <f t="shared" si="6"/>
        <v>0</v>
      </c>
      <c r="AA27" s="85">
        <f t="shared" si="6"/>
        <v>139</v>
      </c>
      <c r="AB27" s="85">
        <f t="shared" si="6"/>
        <v>245</v>
      </c>
      <c r="AC27" s="85">
        <f t="shared" si="6"/>
        <v>300</v>
      </c>
      <c r="AD27" s="85">
        <f t="shared" si="6"/>
        <v>565</v>
      </c>
      <c r="AE27" s="85">
        <f t="shared" si="6"/>
        <v>402</v>
      </c>
      <c r="AF27" s="85">
        <f t="shared" si="6"/>
        <v>430</v>
      </c>
      <c r="AG27" s="85">
        <f t="shared" si="6"/>
        <v>389</v>
      </c>
      <c r="AH27" s="85">
        <f t="shared" si="6"/>
        <v>102</v>
      </c>
      <c r="AI27" s="85">
        <f t="shared" si="6"/>
        <v>152</v>
      </c>
      <c r="AJ27" s="85">
        <f t="shared" si="6"/>
        <v>0</v>
      </c>
      <c r="AK27" s="85">
        <f t="shared" si="6"/>
        <v>85</v>
      </c>
      <c r="AL27" s="86">
        <f t="shared" si="6"/>
        <v>39</v>
      </c>
      <c r="AM27" s="86">
        <f t="shared" si="6"/>
        <v>40</v>
      </c>
      <c r="AN27" s="86">
        <f t="shared" si="6"/>
        <v>0</v>
      </c>
      <c r="AO27" s="86">
        <f t="shared" si="6"/>
        <v>0</v>
      </c>
      <c r="AP27" s="86">
        <f t="shared" si="6"/>
        <v>0</v>
      </c>
      <c r="AQ27" s="86">
        <f t="shared" si="6"/>
        <v>0</v>
      </c>
      <c r="AR27" s="86">
        <f t="shared" si="6"/>
        <v>0</v>
      </c>
      <c r="AS27" s="86">
        <f t="shared" si="6"/>
        <v>0</v>
      </c>
      <c r="AT27" s="86">
        <f t="shared" si="6"/>
        <v>0</v>
      </c>
      <c r="AU27" s="86">
        <f t="shared" si="6"/>
        <v>0</v>
      </c>
      <c r="AV27" s="86">
        <f t="shared" si="6"/>
        <v>0</v>
      </c>
      <c r="AW27" s="86">
        <f t="shared" si="6"/>
        <v>0</v>
      </c>
      <c r="AX27" s="86">
        <f t="shared" si="6"/>
        <v>0</v>
      </c>
      <c r="AY27" s="86">
        <f t="shared" si="6"/>
        <v>0</v>
      </c>
      <c r="AZ27" s="86">
        <f t="shared" si="6"/>
        <v>0</v>
      </c>
    </row>
    <row r="28" spans="1:52" s="25" customFormat="1" ht="15" customHeight="1" outlineLevel="2" x14ac:dyDescent="0.45">
      <c r="A28" s="12">
        <v>3503406253</v>
      </c>
      <c r="B28" s="13">
        <v>20</v>
      </c>
      <c r="C28" s="13" t="s">
        <v>274</v>
      </c>
      <c r="D28" s="14"/>
      <c r="E28" s="14"/>
      <c r="F28" s="15" t="s">
        <v>255</v>
      </c>
      <c r="G28" s="15">
        <v>5049730</v>
      </c>
      <c r="H28" s="15" t="s">
        <v>97</v>
      </c>
      <c r="I28" s="15" t="s">
        <v>98</v>
      </c>
      <c r="J28" s="14"/>
      <c r="K28" s="14">
        <v>45192</v>
      </c>
      <c r="L28" s="16" t="s">
        <v>275</v>
      </c>
      <c r="M28" s="14">
        <v>45091</v>
      </c>
      <c r="N28" s="17" t="str">
        <f>+LEFT(L28,5)</f>
        <v>T3K46</v>
      </c>
      <c r="O28" s="18" t="s">
        <v>276</v>
      </c>
      <c r="P28" s="19" t="s">
        <v>258</v>
      </c>
      <c r="Q28" s="20" t="s">
        <v>102</v>
      </c>
      <c r="R28" s="21" t="s">
        <v>225</v>
      </c>
      <c r="S28" s="22">
        <f t="shared" si="1"/>
        <v>600</v>
      </c>
      <c r="T28" s="22"/>
      <c r="U28" s="22"/>
      <c r="V28" s="22"/>
      <c r="W28" s="23"/>
      <c r="X28" s="23"/>
      <c r="Y28" s="23"/>
      <c r="Z28" s="23"/>
      <c r="AA28" s="23">
        <v>30</v>
      </c>
      <c r="AB28" s="23">
        <v>42</v>
      </c>
      <c r="AC28" s="23">
        <v>144</v>
      </c>
      <c r="AD28" s="23">
        <v>120</v>
      </c>
      <c r="AE28" s="23">
        <v>150</v>
      </c>
      <c r="AF28" s="23">
        <v>42</v>
      </c>
      <c r="AG28" s="23">
        <v>54</v>
      </c>
      <c r="AH28" s="23"/>
      <c r="AI28" s="23">
        <v>18</v>
      </c>
      <c r="AJ28" s="23"/>
      <c r="AK28" s="23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s="25" customFormat="1" ht="15" customHeight="1" outlineLevel="2" x14ac:dyDescent="0.45">
      <c r="A29" s="12">
        <v>4509527410</v>
      </c>
      <c r="B29" s="13">
        <v>20</v>
      </c>
      <c r="C29" s="13" t="s">
        <v>277</v>
      </c>
      <c r="D29" s="14"/>
      <c r="E29" s="14"/>
      <c r="F29" s="15" t="s">
        <v>255</v>
      </c>
      <c r="G29" s="15">
        <v>4992098</v>
      </c>
      <c r="H29" s="15" t="s">
        <v>271</v>
      </c>
      <c r="I29" s="15" t="s">
        <v>98</v>
      </c>
      <c r="J29" s="14"/>
      <c r="K29" s="14">
        <v>45192</v>
      </c>
      <c r="L29" s="16" t="s">
        <v>278</v>
      </c>
      <c r="M29" s="14">
        <v>45091</v>
      </c>
      <c r="N29" s="17" t="str">
        <f>+LEFT(L29,5)</f>
        <v>T3K46</v>
      </c>
      <c r="O29" s="18" t="s">
        <v>276</v>
      </c>
      <c r="P29" s="19" t="s">
        <v>258</v>
      </c>
      <c r="Q29" s="20" t="s">
        <v>102</v>
      </c>
      <c r="R29" s="21" t="s">
        <v>225</v>
      </c>
      <c r="S29" s="22">
        <f t="shared" si="1"/>
        <v>509</v>
      </c>
      <c r="T29" s="22"/>
      <c r="U29" s="22"/>
      <c r="V29" s="22"/>
      <c r="W29" s="23"/>
      <c r="X29" s="23"/>
      <c r="Y29" s="23"/>
      <c r="Z29" s="23"/>
      <c r="AA29" s="23"/>
      <c r="AB29" s="23">
        <v>88</v>
      </c>
      <c r="AC29" s="23"/>
      <c r="AD29" s="23">
        <v>133</v>
      </c>
      <c r="AE29" s="23"/>
      <c r="AF29" s="23">
        <v>135</v>
      </c>
      <c r="AG29" s="23">
        <v>92</v>
      </c>
      <c r="AH29" s="23"/>
      <c r="AI29" s="23">
        <v>50</v>
      </c>
      <c r="AJ29" s="23"/>
      <c r="AK29" s="23">
        <v>9</v>
      </c>
      <c r="AL29" s="24">
        <v>2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s="25" customFormat="1" ht="15" customHeight="1" outlineLevel="2" x14ac:dyDescent="0.45">
      <c r="A30" s="12">
        <v>4509528874</v>
      </c>
      <c r="B30" s="13">
        <v>10</v>
      </c>
      <c r="C30" s="13" t="s">
        <v>279</v>
      </c>
      <c r="D30" s="14"/>
      <c r="E30" s="14"/>
      <c r="F30" s="15" t="s">
        <v>255</v>
      </c>
      <c r="G30" s="15">
        <v>4992062</v>
      </c>
      <c r="H30" s="15" t="s">
        <v>144</v>
      </c>
      <c r="I30" s="15" t="s">
        <v>98</v>
      </c>
      <c r="J30" s="14"/>
      <c r="K30" s="14">
        <v>45199</v>
      </c>
      <c r="L30" s="16" t="s">
        <v>280</v>
      </c>
      <c r="M30" s="14">
        <v>45091</v>
      </c>
      <c r="N30" s="17" t="str">
        <f>+LEFT(L30,5)</f>
        <v>T3K46</v>
      </c>
      <c r="O30" s="18" t="s">
        <v>276</v>
      </c>
      <c r="P30" s="19" t="s">
        <v>258</v>
      </c>
      <c r="Q30" s="20" t="s">
        <v>102</v>
      </c>
      <c r="R30" s="21" t="s">
        <v>225</v>
      </c>
      <c r="S30" s="22">
        <f t="shared" si="1"/>
        <v>1368</v>
      </c>
      <c r="T30" s="22"/>
      <c r="U30" s="22"/>
      <c r="V30" s="22"/>
      <c r="W30" s="23"/>
      <c r="X30" s="23"/>
      <c r="Y30" s="23"/>
      <c r="Z30" s="23"/>
      <c r="AA30" s="23">
        <v>102</v>
      </c>
      <c r="AB30" s="23">
        <v>138</v>
      </c>
      <c r="AC30" s="23">
        <v>216</v>
      </c>
      <c r="AD30" s="23">
        <v>282</v>
      </c>
      <c r="AE30" s="23">
        <v>216</v>
      </c>
      <c r="AF30" s="23">
        <v>216</v>
      </c>
      <c r="AG30" s="23">
        <v>126</v>
      </c>
      <c r="AH30" s="23">
        <v>24</v>
      </c>
      <c r="AI30" s="23">
        <v>24</v>
      </c>
      <c r="AJ30" s="23"/>
      <c r="AK30" s="23">
        <v>24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s="25" customFormat="1" ht="15" customHeight="1" outlineLevel="2" x14ac:dyDescent="0.45">
      <c r="A31" s="12">
        <v>3503406254</v>
      </c>
      <c r="B31" s="13">
        <v>20</v>
      </c>
      <c r="C31" s="13" t="s">
        <v>281</v>
      </c>
      <c r="D31" s="14"/>
      <c r="E31" s="14"/>
      <c r="F31" s="15" t="s">
        <v>255</v>
      </c>
      <c r="G31" s="15">
        <v>5064038</v>
      </c>
      <c r="H31" s="15" t="s">
        <v>97</v>
      </c>
      <c r="I31" s="15" t="s">
        <v>98</v>
      </c>
      <c r="J31" s="14"/>
      <c r="K31" s="14">
        <v>45206</v>
      </c>
      <c r="L31" s="16" t="s">
        <v>282</v>
      </c>
      <c r="M31" s="14">
        <v>45091</v>
      </c>
      <c r="N31" s="17" t="str">
        <f>+LEFT(L31,5)</f>
        <v>T3K46</v>
      </c>
      <c r="O31" s="18" t="s">
        <v>276</v>
      </c>
      <c r="P31" s="19" t="s">
        <v>258</v>
      </c>
      <c r="Q31" s="20" t="s">
        <v>102</v>
      </c>
      <c r="R31" s="21" t="s">
        <v>225</v>
      </c>
      <c r="S31" s="22">
        <f t="shared" si="1"/>
        <v>1320</v>
      </c>
      <c r="T31" s="22"/>
      <c r="U31" s="22"/>
      <c r="V31" s="22"/>
      <c r="W31" s="23"/>
      <c r="X31" s="23"/>
      <c r="Y31" s="23"/>
      <c r="Z31" s="23"/>
      <c r="AA31" s="23">
        <v>78</v>
      </c>
      <c r="AB31" s="23">
        <v>120</v>
      </c>
      <c r="AC31" s="23">
        <v>192</v>
      </c>
      <c r="AD31" s="23">
        <v>264</v>
      </c>
      <c r="AE31" s="23">
        <v>246</v>
      </c>
      <c r="AF31" s="23">
        <v>198</v>
      </c>
      <c r="AG31" s="23">
        <v>138</v>
      </c>
      <c r="AH31" s="23">
        <v>66</v>
      </c>
      <c r="AI31" s="23">
        <v>18</v>
      </c>
      <c r="AJ31" s="23"/>
      <c r="AK31" s="23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s="26" customFormat="1" ht="15" customHeight="1" outlineLevel="1" x14ac:dyDescent="0.45">
      <c r="A32" s="38"/>
      <c r="B32" s="39"/>
      <c r="C32" s="39"/>
      <c r="D32" s="40"/>
      <c r="E32" s="40"/>
      <c r="F32" s="16"/>
      <c r="G32" s="16"/>
      <c r="H32" s="16"/>
      <c r="I32" s="16"/>
      <c r="J32" s="40"/>
      <c r="K32" s="40"/>
      <c r="L32" s="16"/>
      <c r="M32" s="40"/>
      <c r="N32" s="41" t="s">
        <v>283</v>
      </c>
      <c r="O32" s="42"/>
      <c r="P32" s="43"/>
      <c r="Q32" s="44"/>
      <c r="R32" s="45"/>
      <c r="S32" s="46">
        <f t="shared" ref="S32:AZ32" si="7">SUBTOTAL(9,S28:S31)</f>
        <v>3797</v>
      </c>
      <c r="T32" s="46">
        <f t="shared" si="7"/>
        <v>0</v>
      </c>
      <c r="U32" s="46">
        <f t="shared" si="7"/>
        <v>0</v>
      </c>
      <c r="V32" s="46">
        <f t="shared" si="7"/>
        <v>0</v>
      </c>
      <c r="W32" s="85">
        <f t="shared" si="7"/>
        <v>0</v>
      </c>
      <c r="X32" s="85">
        <f t="shared" si="7"/>
        <v>0</v>
      </c>
      <c r="Y32" s="85">
        <f t="shared" si="7"/>
        <v>0</v>
      </c>
      <c r="Z32" s="85">
        <f t="shared" si="7"/>
        <v>0</v>
      </c>
      <c r="AA32" s="85">
        <f t="shared" si="7"/>
        <v>210</v>
      </c>
      <c r="AB32" s="85">
        <f t="shared" si="7"/>
        <v>388</v>
      </c>
      <c r="AC32" s="85">
        <f t="shared" si="7"/>
        <v>552</v>
      </c>
      <c r="AD32" s="85">
        <f t="shared" si="7"/>
        <v>799</v>
      </c>
      <c r="AE32" s="85">
        <f t="shared" si="7"/>
        <v>612</v>
      </c>
      <c r="AF32" s="85">
        <f t="shared" si="7"/>
        <v>591</v>
      </c>
      <c r="AG32" s="85">
        <f t="shared" si="7"/>
        <v>410</v>
      </c>
      <c r="AH32" s="85">
        <f t="shared" si="7"/>
        <v>90</v>
      </c>
      <c r="AI32" s="85">
        <f t="shared" si="7"/>
        <v>110</v>
      </c>
      <c r="AJ32" s="85">
        <f t="shared" si="7"/>
        <v>0</v>
      </c>
      <c r="AK32" s="85">
        <f t="shared" si="7"/>
        <v>33</v>
      </c>
      <c r="AL32" s="86">
        <f t="shared" si="7"/>
        <v>2</v>
      </c>
      <c r="AM32" s="86">
        <f t="shared" si="7"/>
        <v>0</v>
      </c>
      <c r="AN32" s="86">
        <f t="shared" si="7"/>
        <v>0</v>
      </c>
      <c r="AO32" s="86">
        <f t="shared" si="7"/>
        <v>0</v>
      </c>
      <c r="AP32" s="86">
        <f t="shared" si="7"/>
        <v>0</v>
      </c>
      <c r="AQ32" s="86">
        <f t="shared" si="7"/>
        <v>0</v>
      </c>
      <c r="AR32" s="86">
        <f t="shared" si="7"/>
        <v>0</v>
      </c>
      <c r="AS32" s="86">
        <f t="shared" si="7"/>
        <v>0</v>
      </c>
      <c r="AT32" s="86">
        <f t="shared" si="7"/>
        <v>0</v>
      </c>
      <c r="AU32" s="86">
        <f t="shared" si="7"/>
        <v>0</v>
      </c>
      <c r="AV32" s="86">
        <f t="shared" si="7"/>
        <v>0</v>
      </c>
      <c r="AW32" s="86">
        <f t="shared" si="7"/>
        <v>0</v>
      </c>
      <c r="AX32" s="86">
        <f t="shared" si="7"/>
        <v>0</v>
      </c>
      <c r="AY32" s="86">
        <f t="shared" si="7"/>
        <v>0</v>
      </c>
      <c r="AZ32" s="86">
        <f t="shared" si="7"/>
        <v>0</v>
      </c>
    </row>
    <row r="33" spans="1:52" s="25" customFormat="1" ht="15" customHeight="1" outlineLevel="2" x14ac:dyDescent="0.45">
      <c r="A33" s="12">
        <v>4509528875</v>
      </c>
      <c r="B33" s="13">
        <v>10</v>
      </c>
      <c r="C33" s="13" t="s">
        <v>284</v>
      </c>
      <c r="D33" s="14"/>
      <c r="E33" s="14"/>
      <c r="F33" s="15" t="s">
        <v>255</v>
      </c>
      <c r="G33" s="15">
        <v>4992062</v>
      </c>
      <c r="H33" s="15" t="s">
        <v>144</v>
      </c>
      <c r="I33" s="15" t="s">
        <v>98</v>
      </c>
      <c r="J33" s="14"/>
      <c r="K33" s="14">
        <v>45199</v>
      </c>
      <c r="L33" s="16" t="s">
        <v>285</v>
      </c>
      <c r="M33" s="14">
        <v>45091</v>
      </c>
      <c r="N33" s="17" t="str">
        <f>+LEFT(L33,5)</f>
        <v>T3K47</v>
      </c>
      <c r="O33" s="18" t="s">
        <v>286</v>
      </c>
      <c r="P33" s="19" t="s">
        <v>287</v>
      </c>
      <c r="Q33" s="20" t="s">
        <v>102</v>
      </c>
      <c r="R33" s="21" t="s">
        <v>6</v>
      </c>
      <c r="S33" s="22">
        <f t="shared" si="1"/>
        <v>1440</v>
      </c>
      <c r="T33" s="22"/>
      <c r="U33" s="22"/>
      <c r="V33" s="22"/>
      <c r="W33" s="23"/>
      <c r="X33" s="23">
        <v>120</v>
      </c>
      <c r="Y33" s="23">
        <v>150</v>
      </c>
      <c r="Z33" s="23">
        <v>240</v>
      </c>
      <c r="AA33" s="23">
        <v>330</v>
      </c>
      <c r="AB33" s="23">
        <v>240</v>
      </c>
      <c r="AC33" s="23">
        <v>210</v>
      </c>
      <c r="AD33" s="23">
        <v>120</v>
      </c>
      <c r="AE33" s="23">
        <v>30</v>
      </c>
      <c r="AF33" s="23"/>
      <c r="AG33" s="23"/>
      <c r="AH33" s="23"/>
      <c r="AI33" s="23"/>
      <c r="AJ33" s="23"/>
      <c r="AK33" s="23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s="25" customFormat="1" ht="15" customHeight="1" outlineLevel="2" x14ac:dyDescent="0.45">
      <c r="A34" s="12">
        <v>3503405149</v>
      </c>
      <c r="B34" s="13">
        <v>40</v>
      </c>
      <c r="C34" s="13" t="s">
        <v>288</v>
      </c>
      <c r="D34" s="14"/>
      <c r="E34" s="14"/>
      <c r="F34" s="15" t="s">
        <v>255</v>
      </c>
      <c r="G34" s="15">
        <v>1083</v>
      </c>
      <c r="H34" s="15" t="s">
        <v>105</v>
      </c>
      <c r="I34" s="15" t="s">
        <v>98</v>
      </c>
      <c r="J34" s="14"/>
      <c r="K34" s="14">
        <v>45185</v>
      </c>
      <c r="L34" s="16" t="s">
        <v>289</v>
      </c>
      <c r="M34" s="14">
        <v>45091</v>
      </c>
      <c r="N34" s="17" t="str">
        <f>+LEFT(L34,5)</f>
        <v>T3K47</v>
      </c>
      <c r="O34" s="18" t="s">
        <v>286</v>
      </c>
      <c r="P34" s="19" t="s">
        <v>287</v>
      </c>
      <c r="Q34" s="20" t="s">
        <v>102</v>
      </c>
      <c r="R34" s="21" t="s">
        <v>6</v>
      </c>
      <c r="S34" s="22">
        <f t="shared" si="1"/>
        <v>606</v>
      </c>
      <c r="T34" s="22"/>
      <c r="U34" s="22"/>
      <c r="V34" s="22"/>
      <c r="W34" s="23">
        <v>6</v>
      </c>
      <c r="X34" s="23">
        <v>12</v>
      </c>
      <c r="Y34" s="23">
        <v>90</v>
      </c>
      <c r="Z34" s="23">
        <v>162</v>
      </c>
      <c r="AA34" s="23">
        <v>162</v>
      </c>
      <c r="AB34" s="23">
        <v>150</v>
      </c>
      <c r="AC34" s="23">
        <v>12</v>
      </c>
      <c r="AD34" s="23">
        <v>6</v>
      </c>
      <c r="AE34" s="23">
        <v>6</v>
      </c>
      <c r="AF34" s="23"/>
      <c r="AG34" s="23"/>
      <c r="AH34" s="23"/>
      <c r="AI34" s="23"/>
      <c r="AJ34" s="23"/>
      <c r="AK34" s="23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s="25" customFormat="1" ht="15" customHeight="1" outlineLevel="2" x14ac:dyDescent="0.45">
      <c r="A35" s="12">
        <v>3503405150</v>
      </c>
      <c r="B35" s="13">
        <v>20</v>
      </c>
      <c r="C35" s="13" t="s">
        <v>290</v>
      </c>
      <c r="D35" s="14"/>
      <c r="E35" s="14"/>
      <c r="F35" s="15" t="s">
        <v>255</v>
      </c>
      <c r="G35" s="15">
        <v>5097765</v>
      </c>
      <c r="H35" s="15" t="s">
        <v>105</v>
      </c>
      <c r="I35" s="15" t="s">
        <v>98</v>
      </c>
      <c r="J35" s="14"/>
      <c r="K35" s="14">
        <v>45185</v>
      </c>
      <c r="L35" s="16" t="s">
        <v>291</v>
      </c>
      <c r="M35" s="14">
        <v>45091</v>
      </c>
      <c r="N35" s="17" t="str">
        <f>+LEFT(L35,5)</f>
        <v>T3K47</v>
      </c>
      <c r="O35" s="18" t="s">
        <v>286</v>
      </c>
      <c r="P35" s="19" t="s">
        <v>287</v>
      </c>
      <c r="Q35" s="20" t="s">
        <v>102</v>
      </c>
      <c r="R35" s="21" t="s">
        <v>6</v>
      </c>
      <c r="S35" s="22">
        <f t="shared" si="1"/>
        <v>804</v>
      </c>
      <c r="T35" s="22"/>
      <c r="U35" s="22"/>
      <c r="V35" s="22"/>
      <c r="W35" s="23"/>
      <c r="X35" s="23">
        <v>18</v>
      </c>
      <c r="Y35" s="23">
        <v>114</v>
      </c>
      <c r="Z35" s="23">
        <v>222</v>
      </c>
      <c r="AA35" s="23">
        <v>210</v>
      </c>
      <c r="AB35" s="23">
        <v>192</v>
      </c>
      <c r="AC35" s="23">
        <v>48</v>
      </c>
      <c r="AD35" s="23"/>
      <c r="AE35" s="23"/>
      <c r="AF35" s="23"/>
      <c r="AG35" s="23"/>
      <c r="AH35" s="23"/>
      <c r="AI35" s="23"/>
      <c r="AJ35" s="23"/>
      <c r="AK35" s="23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 spans="1:52" s="26" customFormat="1" ht="15" customHeight="1" outlineLevel="1" x14ac:dyDescent="0.45">
      <c r="A36" s="38"/>
      <c r="B36" s="39"/>
      <c r="C36" s="39"/>
      <c r="D36" s="40"/>
      <c r="E36" s="40"/>
      <c r="F36" s="16"/>
      <c r="G36" s="16"/>
      <c r="H36" s="16"/>
      <c r="I36" s="16"/>
      <c r="J36" s="40"/>
      <c r="K36" s="40"/>
      <c r="L36" s="16"/>
      <c r="M36" s="40"/>
      <c r="N36" s="41" t="s">
        <v>292</v>
      </c>
      <c r="O36" s="42"/>
      <c r="P36" s="43"/>
      <c r="Q36" s="44"/>
      <c r="R36" s="45"/>
      <c r="S36" s="46">
        <f t="shared" ref="S36:AZ36" si="8">SUBTOTAL(9,S33:S35)</f>
        <v>2850</v>
      </c>
      <c r="T36" s="46">
        <f t="shared" si="8"/>
        <v>0</v>
      </c>
      <c r="U36" s="46">
        <f t="shared" si="8"/>
        <v>0</v>
      </c>
      <c r="V36" s="46">
        <f t="shared" si="8"/>
        <v>0</v>
      </c>
      <c r="W36" s="85">
        <f t="shared" si="8"/>
        <v>6</v>
      </c>
      <c r="X36" s="85">
        <f t="shared" si="8"/>
        <v>150</v>
      </c>
      <c r="Y36" s="85">
        <f t="shared" si="8"/>
        <v>354</v>
      </c>
      <c r="Z36" s="85">
        <f t="shared" si="8"/>
        <v>624</v>
      </c>
      <c r="AA36" s="85">
        <f t="shared" si="8"/>
        <v>702</v>
      </c>
      <c r="AB36" s="85">
        <f t="shared" si="8"/>
        <v>582</v>
      </c>
      <c r="AC36" s="85">
        <f t="shared" si="8"/>
        <v>270</v>
      </c>
      <c r="AD36" s="85">
        <f t="shared" si="8"/>
        <v>126</v>
      </c>
      <c r="AE36" s="85">
        <f t="shared" si="8"/>
        <v>36</v>
      </c>
      <c r="AF36" s="85">
        <f t="shared" si="8"/>
        <v>0</v>
      </c>
      <c r="AG36" s="85">
        <f t="shared" si="8"/>
        <v>0</v>
      </c>
      <c r="AH36" s="85">
        <f t="shared" si="8"/>
        <v>0</v>
      </c>
      <c r="AI36" s="85">
        <f t="shared" si="8"/>
        <v>0</v>
      </c>
      <c r="AJ36" s="85">
        <f t="shared" si="8"/>
        <v>0</v>
      </c>
      <c r="AK36" s="85">
        <f t="shared" si="8"/>
        <v>0</v>
      </c>
      <c r="AL36" s="86">
        <f t="shared" si="8"/>
        <v>0</v>
      </c>
      <c r="AM36" s="86">
        <f t="shared" si="8"/>
        <v>0</v>
      </c>
      <c r="AN36" s="86">
        <f t="shared" si="8"/>
        <v>0</v>
      </c>
      <c r="AO36" s="86">
        <f t="shared" si="8"/>
        <v>0</v>
      </c>
      <c r="AP36" s="86">
        <f t="shared" si="8"/>
        <v>0</v>
      </c>
      <c r="AQ36" s="86">
        <f t="shared" si="8"/>
        <v>0</v>
      </c>
      <c r="AR36" s="86">
        <f t="shared" si="8"/>
        <v>0</v>
      </c>
      <c r="AS36" s="86">
        <f t="shared" si="8"/>
        <v>0</v>
      </c>
      <c r="AT36" s="86">
        <f t="shared" si="8"/>
        <v>0</v>
      </c>
      <c r="AU36" s="86">
        <f t="shared" si="8"/>
        <v>0</v>
      </c>
      <c r="AV36" s="86">
        <f t="shared" si="8"/>
        <v>0</v>
      </c>
      <c r="AW36" s="86">
        <f t="shared" si="8"/>
        <v>0</v>
      </c>
      <c r="AX36" s="86">
        <f t="shared" si="8"/>
        <v>0</v>
      </c>
      <c r="AY36" s="86">
        <f t="shared" si="8"/>
        <v>0</v>
      </c>
      <c r="AZ36" s="86">
        <f t="shared" si="8"/>
        <v>0</v>
      </c>
    </row>
    <row r="37" spans="1:52" s="25" customFormat="1" ht="15" customHeight="1" outlineLevel="2" x14ac:dyDescent="0.45">
      <c r="A37" s="12">
        <v>3503406259</v>
      </c>
      <c r="B37" s="13">
        <v>20</v>
      </c>
      <c r="C37" s="13" t="s">
        <v>293</v>
      </c>
      <c r="D37" s="14"/>
      <c r="E37" s="14"/>
      <c r="F37" s="15" t="s">
        <v>255</v>
      </c>
      <c r="G37" s="15">
        <v>5073237</v>
      </c>
      <c r="H37" s="15" t="s">
        <v>97</v>
      </c>
      <c r="I37" s="15" t="s">
        <v>98</v>
      </c>
      <c r="J37" s="14"/>
      <c r="K37" s="14">
        <v>45206</v>
      </c>
      <c r="L37" s="16" t="s">
        <v>294</v>
      </c>
      <c r="M37" s="14">
        <v>45091</v>
      </c>
      <c r="N37" s="17" t="str">
        <f>+LEFT(L37,5)</f>
        <v>T3K48</v>
      </c>
      <c r="O37" s="18" t="s">
        <v>286</v>
      </c>
      <c r="P37" s="19" t="s">
        <v>287</v>
      </c>
      <c r="Q37" s="20" t="s">
        <v>102</v>
      </c>
      <c r="R37" s="21" t="s">
        <v>6</v>
      </c>
      <c r="S37" s="22">
        <f t="shared" si="1"/>
        <v>1200</v>
      </c>
      <c r="T37" s="22"/>
      <c r="U37" s="22"/>
      <c r="V37" s="22"/>
      <c r="W37" s="23"/>
      <c r="X37" s="23"/>
      <c r="Y37" s="23">
        <v>144</v>
      </c>
      <c r="Z37" s="23">
        <v>204</v>
      </c>
      <c r="AA37" s="23">
        <v>348</v>
      </c>
      <c r="AB37" s="23">
        <v>228</v>
      </c>
      <c r="AC37" s="23">
        <v>204</v>
      </c>
      <c r="AD37" s="23">
        <v>72</v>
      </c>
      <c r="AE37" s="23"/>
      <c r="AF37" s="23"/>
      <c r="AG37" s="23"/>
      <c r="AH37" s="23"/>
      <c r="AI37" s="23"/>
      <c r="AJ37" s="23"/>
      <c r="AK37" s="23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spans="1:52" s="25" customFormat="1" ht="15" customHeight="1" outlineLevel="2" x14ac:dyDescent="0.45">
      <c r="A38" s="12">
        <v>4509527411</v>
      </c>
      <c r="B38" s="13">
        <v>10</v>
      </c>
      <c r="C38" s="13" t="s">
        <v>295</v>
      </c>
      <c r="D38" s="14"/>
      <c r="E38" s="14"/>
      <c r="F38" s="15" t="s">
        <v>255</v>
      </c>
      <c r="G38" s="15">
        <v>4992098</v>
      </c>
      <c r="H38" s="15" t="s">
        <v>271</v>
      </c>
      <c r="I38" s="15" t="s">
        <v>98</v>
      </c>
      <c r="J38" s="14"/>
      <c r="K38" s="14">
        <v>45206</v>
      </c>
      <c r="L38" s="16" t="s">
        <v>296</v>
      </c>
      <c r="M38" s="14">
        <v>45091</v>
      </c>
      <c r="N38" s="17" t="str">
        <f>+LEFT(L38,5)</f>
        <v>T3K48</v>
      </c>
      <c r="O38" s="18" t="s">
        <v>286</v>
      </c>
      <c r="P38" s="19" t="s">
        <v>287</v>
      </c>
      <c r="Q38" s="20" t="s">
        <v>102</v>
      </c>
      <c r="R38" s="21" t="s">
        <v>6</v>
      </c>
      <c r="S38" s="22">
        <f t="shared" si="1"/>
        <v>566</v>
      </c>
      <c r="T38" s="22"/>
      <c r="U38" s="22"/>
      <c r="V38" s="22"/>
      <c r="W38" s="23"/>
      <c r="X38" s="23">
        <v>21</v>
      </c>
      <c r="Y38" s="23">
        <v>71</v>
      </c>
      <c r="Z38" s="23"/>
      <c r="AA38" s="23">
        <v>114</v>
      </c>
      <c r="AB38" s="23">
        <v>136</v>
      </c>
      <c r="AC38" s="23"/>
      <c r="AD38" s="23">
        <v>102</v>
      </c>
      <c r="AE38" s="23">
        <v>55</v>
      </c>
      <c r="AF38" s="23"/>
      <c r="AG38" s="23">
        <v>39</v>
      </c>
      <c r="AH38" s="23">
        <v>25</v>
      </c>
      <c r="AI38" s="23"/>
      <c r="AJ38" s="23"/>
      <c r="AK38" s="23">
        <v>3</v>
      </c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s="26" customFormat="1" ht="15" customHeight="1" outlineLevel="1" x14ac:dyDescent="0.45">
      <c r="A39" s="38"/>
      <c r="B39" s="39"/>
      <c r="C39" s="39"/>
      <c r="D39" s="40"/>
      <c r="E39" s="40"/>
      <c r="F39" s="16"/>
      <c r="G39" s="16"/>
      <c r="H39" s="16"/>
      <c r="I39" s="16"/>
      <c r="J39" s="40"/>
      <c r="K39" s="40"/>
      <c r="L39" s="16"/>
      <c r="M39" s="40"/>
      <c r="N39" s="41" t="s">
        <v>297</v>
      </c>
      <c r="O39" s="42"/>
      <c r="P39" s="43"/>
      <c r="Q39" s="44"/>
      <c r="R39" s="45"/>
      <c r="S39" s="46">
        <f t="shared" ref="S39:AZ39" si="9">SUBTOTAL(9,S37:S38)</f>
        <v>1766</v>
      </c>
      <c r="T39" s="46">
        <f t="shared" si="9"/>
        <v>0</v>
      </c>
      <c r="U39" s="46">
        <f t="shared" si="9"/>
        <v>0</v>
      </c>
      <c r="V39" s="46">
        <f t="shared" si="9"/>
        <v>0</v>
      </c>
      <c r="W39" s="85">
        <f t="shared" si="9"/>
        <v>0</v>
      </c>
      <c r="X39" s="85">
        <f t="shared" si="9"/>
        <v>21</v>
      </c>
      <c r="Y39" s="85">
        <f t="shared" si="9"/>
        <v>215</v>
      </c>
      <c r="Z39" s="85">
        <f t="shared" si="9"/>
        <v>204</v>
      </c>
      <c r="AA39" s="85">
        <f t="shared" si="9"/>
        <v>462</v>
      </c>
      <c r="AB39" s="85">
        <f t="shared" si="9"/>
        <v>364</v>
      </c>
      <c r="AC39" s="85">
        <f t="shared" si="9"/>
        <v>204</v>
      </c>
      <c r="AD39" s="85">
        <f t="shared" si="9"/>
        <v>174</v>
      </c>
      <c r="AE39" s="85">
        <f t="shared" si="9"/>
        <v>55</v>
      </c>
      <c r="AF39" s="85">
        <f t="shared" si="9"/>
        <v>0</v>
      </c>
      <c r="AG39" s="85">
        <f t="shared" si="9"/>
        <v>39</v>
      </c>
      <c r="AH39" s="85">
        <f t="shared" si="9"/>
        <v>25</v>
      </c>
      <c r="AI39" s="85">
        <f t="shared" si="9"/>
        <v>0</v>
      </c>
      <c r="AJ39" s="85">
        <f t="shared" si="9"/>
        <v>0</v>
      </c>
      <c r="AK39" s="85">
        <f t="shared" si="9"/>
        <v>3</v>
      </c>
      <c r="AL39" s="86">
        <f t="shared" si="9"/>
        <v>0</v>
      </c>
      <c r="AM39" s="86">
        <f t="shared" si="9"/>
        <v>0</v>
      </c>
      <c r="AN39" s="86">
        <f t="shared" si="9"/>
        <v>0</v>
      </c>
      <c r="AO39" s="86">
        <f t="shared" si="9"/>
        <v>0</v>
      </c>
      <c r="AP39" s="86">
        <f t="shared" si="9"/>
        <v>0</v>
      </c>
      <c r="AQ39" s="86">
        <f t="shared" si="9"/>
        <v>0</v>
      </c>
      <c r="AR39" s="86">
        <f t="shared" si="9"/>
        <v>0</v>
      </c>
      <c r="AS39" s="86">
        <f t="shared" si="9"/>
        <v>0</v>
      </c>
      <c r="AT39" s="86">
        <f t="shared" si="9"/>
        <v>0</v>
      </c>
      <c r="AU39" s="86">
        <f t="shared" si="9"/>
        <v>0</v>
      </c>
      <c r="AV39" s="86">
        <f t="shared" si="9"/>
        <v>0</v>
      </c>
      <c r="AW39" s="86">
        <f t="shared" si="9"/>
        <v>0</v>
      </c>
      <c r="AX39" s="86">
        <f t="shared" si="9"/>
        <v>0</v>
      </c>
      <c r="AY39" s="86">
        <f t="shared" si="9"/>
        <v>0</v>
      </c>
      <c r="AZ39" s="86">
        <f t="shared" si="9"/>
        <v>0</v>
      </c>
    </row>
    <row r="40" spans="1:52" s="25" customFormat="1" ht="15" customHeight="1" outlineLevel="2" x14ac:dyDescent="0.45">
      <c r="A40" s="12">
        <v>3503406258</v>
      </c>
      <c r="B40" s="13">
        <v>10</v>
      </c>
      <c r="C40" s="13" t="s">
        <v>298</v>
      </c>
      <c r="D40" s="14"/>
      <c r="E40" s="14"/>
      <c r="F40" s="15" t="s">
        <v>255</v>
      </c>
      <c r="G40" s="15">
        <v>5053262</v>
      </c>
      <c r="H40" s="15" t="s">
        <v>97</v>
      </c>
      <c r="I40" s="15" t="s">
        <v>98</v>
      </c>
      <c r="J40" s="14"/>
      <c r="K40" s="14">
        <v>45185</v>
      </c>
      <c r="L40" s="16" t="s">
        <v>299</v>
      </c>
      <c r="M40" s="14">
        <v>45091</v>
      </c>
      <c r="N40" s="17" t="str">
        <f t="shared" ref="N40:N46" si="10">+LEFT(L40,5)</f>
        <v>T3K49</v>
      </c>
      <c r="O40" s="18" t="s">
        <v>300</v>
      </c>
      <c r="P40" s="19" t="s">
        <v>287</v>
      </c>
      <c r="Q40" s="20" t="s">
        <v>102</v>
      </c>
      <c r="R40" s="21" t="s">
        <v>6</v>
      </c>
      <c r="S40" s="22">
        <f t="shared" si="1"/>
        <v>1200</v>
      </c>
      <c r="T40" s="22"/>
      <c r="U40" s="22"/>
      <c r="V40" s="22"/>
      <c r="W40" s="23"/>
      <c r="X40" s="23"/>
      <c r="Y40" s="23">
        <v>156</v>
      </c>
      <c r="Z40" s="23">
        <v>270</v>
      </c>
      <c r="AA40" s="23">
        <v>360</v>
      </c>
      <c r="AB40" s="23">
        <v>228</v>
      </c>
      <c r="AC40" s="23">
        <v>186</v>
      </c>
      <c r="AD40" s="23"/>
      <c r="AE40" s="23"/>
      <c r="AF40" s="23"/>
      <c r="AG40" s="23"/>
      <c r="AH40" s="23"/>
      <c r="AI40" s="23"/>
      <c r="AJ40" s="23"/>
      <c r="AK40" s="23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spans="1:52" s="25" customFormat="1" ht="15" customHeight="1" outlineLevel="2" x14ac:dyDescent="0.45">
      <c r="A41" s="12">
        <v>3503405149</v>
      </c>
      <c r="B41" s="13">
        <v>30</v>
      </c>
      <c r="C41" s="13" t="s">
        <v>301</v>
      </c>
      <c r="D41" s="14"/>
      <c r="E41" s="14"/>
      <c r="F41" s="15" t="s">
        <v>255</v>
      </c>
      <c r="G41" s="15">
        <v>1083</v>
      </c>
      <c r="H41" s="15" t="s">
        <v>105</v>
      </c>
      <c r="I41" s="15" t="s">
        <v>98</v>
      </c>
      <c r="J41" s="14"/>
      <c r="K41" s="14">
        <v>45185</v>
      </c>
      <c r="L41" s="16" t="s">
        <v>302</v>
      </c>
      <c r="M41" s="14">
        <v>45091</v>
      </c>
      <c r="N41" s="17" t="str">
        <f t="shared" si="10"/>
        <v>T3K49</v>
      </c>
      <c r="O41" s="18" t="s">
        <v>300</v>
      </c>
      <c r="P41" s="19" t="s">
        <v>287</v>
      </c>
      <c r="Q41" s="20" t="s">
        <v>102</v>
      </c>
      <c r="R41" s="21" t="s">
        <v>6</v>
      </c>
      <c r="S41" s="22">
        <f t="shared" si="1"/>
        <v>528</v>
      </c>
      <c r="T41" s="22"/>
      <c r="U41" s="22"/>
      <c r="V41" s="22"/>
      <c r="W41" s="23"/>
      <c r="X41" s="23">
        <v>6</v>
      </c>
      <c r="Y41" s="23">
        <v>66</v>
      </c>
      <c r="Z41" s="23">
        <v>138</v>
      </c>
      <c r="AA41" s="23">
        <v>156</v>
      </c>
      <c r="AB41" s="23">
        <v>126</v>
      </c>
      <c r="AC41" s="23">
        <v>36</v>
      </c>
      <c r="AD41" s="23"/>
      <c r="AE41" s="23"/>
      <c r="AF41" s="23"/>
      <c r="AG41" s="23"/>
      <c r="AH41" s="23"/>
      <c r="AI41" s="23"/>
      <c r="AJ41" s="23"/>
      <c r="AK41" s="23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s="25" customFormat="1" ht="15" customHeight="1" outlineLevel="2" x14ac:dyDescent="0.45">
      <c r="A42" s="12">
        <v>3503405150</v>
      </c>
      <c r="B42" s="13">
        <v>10</v>
      </c>
      <c r="C42" s="13" t="s">
        <v>303</v>
      </c>
      <c r="D42" s="14"/>
      <c r="E42" s="14"/>
      <c r="F42" s="15" t="s">
        <v>255</v>
      </c>
      <c r="G42" s="15">
        <v>5097765</v>
      </c>
      <c r="H42" s="15" t="s">
        <v>105</v>
      </c>
      <c r="I42" s="15" t="s">
        <v>98</v>
      </c>
      <c r="J42" s="14"/>
      <c r="K42" s="14">
        <v>45185</v>
      </c>
      <c r="L42" s="16" t="s">
        <v>304</v>
      </c>
      <c r="M42" s="14">
        <v>45091</v>
      </c>
      <c r="N42" s="17" t="str">
        <f t="shared" si="10"/>
        <v>T3K49</v>
      </c>
      <c r="O42" s="18" t="s">
        <v>300</v>
      </c>
      <c r="P42" s="19" t="s">
        <v>287</v>
      </c>
      <c r="Q42" s="20" t="s">
        <v>102</v>
      </c>
      <c r="R42" s="21" t="s">
        <v>6</v>
      </c>
      <c r="S42" s="22">
        <f t="shared" si="1"/>
        <v>702</v>
      </c>
      <c r="T42" s="22"/>
      <c r="U42" s="22"/>
      <c r="V42" s="22"/>
      <c r="W42" s="23"/>
      <c r="X42" s="23">
        <v>48</v>
      </c>
      <c r="Y42" s="23">
        <v>132</v>
      </c>
      <c r="Z42" s="23">
        <v>132</v>
      </c>
      <c r="AA42" s="23">
        <v>132</v>
      </c>
      <c r="AB42" s="23">
        <v>132</v>
      </c>
      <c r="AC42" s="23">
        <v>126</v>
      </c>
      <c r="AD42" s="23"/>
      <c r="AE42" s="23"/>
      <c r="AF42" s="23"/>
      <c r="AG42" s="23"/>
      <c r="AH42" s="23"/>
      <c r="AI42" s="23"/>
      <c r="AJ42" s="23"/>
      <c r="AK42" s="23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s="25" customFormat="1" ht="15" customHeight="1" outlineLevel="2" x14ac:dyDescent="0.45">
      <c r="A43" s="12">
        <v>3503405149</v>
      </c>
      <c r="B43" s="13">
        <v>10</v>
      </c>
      <c r="C43" s="13" t="s">
        <v>305</v>
      </c>
      <c r="D43" s="14"/>
      <c r="E43" s="14"/>
      <c r="F43" s="15" t="s">
        <v>255</v>
      </c>
      <c r="G43" s="15">
        <v>1083</v>
      </c>
      <c r="H43" s="15" t="s">
        <v>105</v>
      </c>
      <c r="I43" s="15" t="s">
        <v>98</v>
      </c>
      <c r="J43" s="14"/>
      <c r="K43" s="14">
        <v>45192</v>
      </c>
      <c r="L43" s="16" t="s">
        <v>306</v>
      </c>
      <c r="M43" s="14">
        <v>45091</v>
      </c>
      <c r="N43" s="17" t="str">
        <f t="shared" si="10"/>
        <v>T3K49</v>
      </c>
      <c r="O43" s="18" t="s">
        <v>300</v>
      </c>
      <c r="P43" s="19" t="s">
        <v>287</v>
      </c>
      <c r="Q43" s="20" t="s">
        <v>102</v>
      </c>
      <c r="R43" s="21" t="s">
        <v>6</v>
      </c>
      <c r="S43" s="22">
        <f t="shared" si="1"/>
        <v>300</v>
      </c>
      <c r="T43" s="22"/>
      <c r="U43" s="22"/>
      <c r="V43" s="22"/>
      <c r="W43" s="23"/>
      <c r="X43" s="23">
        <v>6</v>
      </c>
      <c r="Y43" s="23">
        <v>42</v>
      </c>
      <c r="Z43" s="23">
        <v>84</v>
      </c>
      <c r="AA43" s="23">
        <v>78</v>
      </c>
      <c r="AB43" s="23">
        <v>72</v>
      </c>
      <c r="AC43" s="23">
        <v>18</v>
      </c>
      <c r="AD43" s="23"/>
      <c r="AE43" s="23"/>
      <c r="AF43" s="23"/>
      <c r="AG43" s="23"/>
      <c r="AH43" s="23"/>
      <c r="AI43" s="23"/>
      <c r="AJ43" s="23"/>
      <c r="AK43" s="23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spans="1:52" s="25" customFormat="1" ht="15" customHeight="1" outlineLevel="2" x14ac:dyDescent="0.45">
      <c r="A44" s="12">
        <v>3503405149</v>
      </c>
      <c r="B44" s="13">
        <v>20</v>
      </c>
      <c r="C44" s="13" t="s">
        <v>307</v>
      </c>
      <c r="D44" s="14"/>
      <c r="E44" s="14"/>
      <c r="F44" s="15" t="s">
        <v>255</v>
      </c>
      <c r="G44" s="15">
        <v>1083</v>
      </c>
      <c r="H44" s="15" t="s">
        <v>105</v>
      </c>
      <c r="I44" s="15" t="s">
        <v>98</v>
      </c>
      <c r="J44" s="14"/>
      <c r="K44" s="14">
        <v>45199</v>
      </c>
      <c r="L44" s="16" t="s">
        <v>308</v>
      </c>
      <c r="M44" s="14">
        <v>45091</v>
      </c>
      <c r="N44" s="17" t="str">
        <f t="shared" si="10"/>
        <v>T3K49</v>
      </c>
      <c r="O44" s="18" t="s">
        <v>300</v>
      </c>
      <c r="P44" s="19" t="s">
        <v>287</v>
      </c>
      <c r="Q44" s="20" t="s">
        <v>102</v>
      </c>
      <c r="R44" s="21" t="s">
        <v>6</v>
      </c>
      <c r="S44" s="22">
        <f t="shared" si="1"/>
        <v>270</v>
      </c>
      <c r="T44" s="22"/>
      <c r="U44" s="22"/>
      <c r="V44" s="22"/>
      <c r="W44" s="23"/>
      <c r="X44" s="23">
        <v>6</v>
      </c>
      <c r="Y44" s="23">
        <v>48</v>
      </c>
      <c r="Z44" s="23">
        <v>36</v>
      </c>
      <c r="AA44" s="23">
        <v>90</v>
      </c>
      <c r="AB44" s="23">
        <v>36</v>
      </c>
      <c r="AC44" s="23">
        <v>48</v>
      </c>
      <c r="AD44" s="23">
        <v>6</v>
      </c>
      <c r="AE44" s="23"/>
      <c r="AF44" s="23"/>
      <c r="AG44" s="23"/>
      <c r="AH44" s="23"/>
      <c r="AI44" s="23"/>
      <c r="AJ44" s="23"/>
      <c r="AK44" s="23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spans="1:52" s="25" customFormat="1" ht="15" customHeight="1" outlineLevel="2" x14ac:dyDescent="0.45">
      <c r="A45" s="12">
        <v>3503406256</v>
      </c>
      <c r="B45" s="13">
        <v>10</v>
      </c>
      <c r="C45" s="13" t="s">
        <v>309</v>
      </c>
      <c r="D45" s="14"/>
      <c r="E45" s="14"/>
      <c r="F45" s="15" t="s">
        <v>255</v>
      </c>
      <c r="G45" s="15">
        <v>1082</v>
      </c>
      <c r="H45" s="15" t="s">
        <v>97</v>
      </c>
      <c r="I45" s="15" t="s">
        <v>98</v>
      </c>
      <c r="J45" s="14"/>
      <c r="K45" s="14">
        <v>45185</v>
      </c>
      <c r="L45" s="16" t="s">
        <v>310</v>
      </c>
      <c r="M45" s="14">
        <v>45091</v>
      </c>
      <c r="N45" s="17" t="str">
        <f t="shared" si="10"/>
        <v>T3K49</v>
      </c>
      <c r="O45" s="18" t="s">
        <v>300</v>
      </c>
      <c r="P45" s="19" t="s">
        <v>287</v>
      </c>
      <c r="Q45" s="20" t="s">
        <v>102</v>
      </c>
      <c r="R45" s="21" t="s">
        <v>6</v>
      </c>
      <c r="S45" s="22">
        <f t="shared" si="1"/>
        <v>252</v>
      </c>
      <c r="T45" s="22"/>
      <c r="U45" s="22"/>
      <c r="V45" s="22"/>
      <c r="W45" s="23"/>
      <c r="X45" s="23">
        <v>6</v>
      </c>
      <c r="Y45" s="23">
        <v>36</v>
      </c>
      <c r="Z45" s="23">
        <v>54</v>
      </c>
      <c r="AA45" s="23">
        <v>66</v>
      </c>
      <c r="AB45" s="23">
        <v>42</v>
      </c>
      <c r="AC45" s="23">
        <v>30</v>
      </c>
      <c r="AD45" s="23">
        <v>6</v>
      </c>
      <c r="AE45" s="23">
        <v>12</v>
      </c>
      <c r="AF45" s="23"/>
      <c r="AG45" s="23"/>
      <c r="AH45" s="23"/>
      <c r="AI45" s="23"/>
      <c r="AJ45" s="23"/>
      <c r="AK45" s="23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s="25" customFormat="1" ht="15" customHeight="1" outlineLevel="2" x14ac:dyDescent="0.45">
      <c r="A46" s="12">
        <v>3503406257</v>
      </c>
      <c r="B46" s="13">
        <v>10</v>
      </c>
      <c r="C46" s="13" t="s">
        <v>311</v>
      </c>
      <c r="D46" s="14"/>
      <c r="E46" s="14"/>
      <c r="F46" s="15" t="s">
        <v>255</v>
      </c>
      <c r="G46" s="15">
        <v>5049730</v>
      </c>
      <c r="H46" s="15" t="s">
        <v>97</v>
      </c>
      <c r="I46" s="15" t="s">
        <v>98</v>
      </c>
      <c r="J46" s="14"/>
      <c r="K46" s="14">
        <v>45192</v>
      </c>
      <c r="L46" s="16" t="s">
        <v>312</v>
      </c>
      <c r="M46" s="14">
        <v>45091</v>
      </c>
      <c r="N46" s="17" t="str">
        <f t="shared" si="10"/>
        <v>T3K49</v>
      </c>
      <c r="O46" s="18" t="s">
        <v>300</v>
      </c>
      <c r="P46" s="19" t="s">
        <v>287</v>
      </c>
      <c r="Q46" s="20" t="s">
        <v>102</v>
      </c>
      <c r="R46" s="21" t="s">
        <v>6</v>
      </c>
      <c r="S46" s="22">
        <f t="shared" si="1"/>
        <v>600</v>
      </c>
      <c r="T46" s="22"/>
      <c r="U46" s="22"/>
      <c r="V46" s="22"/>
      <c r="W46" s="23">
        <v>36</v>
      </c>
      <c r="X46" s="23">
        <v>48</v>
      </c>
      <c r="Y46" s="23">
        <v>96</v>
      </c>
      <c r="Z46" s="23">
        <v>108</v>
      </c>
      <c r="AA46" s="23">
        <v>156</v>
      </c>
      <c r="AB46" s="23">
        <v>96</v>
      </c>
      <c r="AC46" s="23">
        <v>60</v>
      </c>
      <c r="AD46" s="23"/>
      <c r="AE46" s="23"/>
      <c r="AF46" s="23"/>
      <c r="AG46" s="23"/>
      <c r="AH46" s="23"/>
      <c r="AI46" s="23"/>
      <c r="AJ46" s="23"/>
      <c r="AK46" s="23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s="26" customFormat="1" ht="15" customHeight="1" outlineLevel="1" x14ac:dyDescent="0.45">
      <c r="A47" s="38"/>
      <c r="B47" s="39"/>
      <c r="C47" s="39"/>
      <c r="D47" s="40"/>
      <c r="E47" s="40"/>
      <c r="F47" s="16"/>
      <c r="G47" s="16"/>
      <c r="H47" s="16"/>
      <c r="I47" s="16"/>
      <c r="J47" s="40"/>
      <c r="K47" s="40"/>
      <c r="L47" s="16"/>
      <c r="M47" s="40"/>
      <c r="N47" s="41" t="s">
        <v>313</v>
      </c>
      <c r="O47" s="42"/>
      <c r="P47" s="43"/>
      <c r="Q47" s="44"/>
      <c r="R47" s="45"/>
      <c r="S47" s="46">
        <f t="shared" ref="S47:AZ47" si="11">SUBTOTAL(9,S40:S46)</f>
        <v>3852</v>
      </c>
      <c r="T47" s="46">
        <f t="shared" si="11"/>
        <v>0</v>
      </c>
      <c r="U47" s="46">
        <f t="shared" si="11"/>
        <v>0</v>
      </c>
      <c r="V47" s="46">
        <f t="shared" si="11"/>
        <v>0</v>
      </c>
      <c r="W47" s="85">
        <f t="shared" si="11"/>
        <v>36</v>
      </c>
      <c r="X47" s="85">
        <f t="shared" si="11"/>
        <v>120</v>
      </c>
      <c r="Y47" s="85">
        <f t="shared" si="11"/>
        <v>576</v>
      </c>
      <c r="Z47" s="85">
        <f t="shared" si="11"/>
        <v>822</v>
      </c>
      <c r="AA47" s="85">
        <f t="shared" si="11"/>
        <v>1038</v>
      </c>
      <c r="AB47" s="85">
        <f t="shared" si="11"/>
        <v>732</v>
      </c>
      <c r="AC47" s="85">
        <f t="shared" si="11"/>
        <v>504</v>
      </c>
      <c r="AD47" s="85">
        <f t="shared" si="11"/>
        <v>12</v>
      </c>
      <c r="AE47" s="85">
        <f t="shared" si="11"/>
        <v>12</v>
      </c>
      <c r="AF47" s="85">
        <f t="shared" si="11"/>
        <v>0</v>
      </c>
      <c r="AG47" s="85">
        <f t="shared" si="11"/>
        <v>0</v>
      </c>
      <c r="AH47" s="85">
        <f t="shared" si="11"/>
        <v>0</v>
      </c>
      <c r="AI47" s="85">
        <f t="shared" si="11"/>
        <v>0</v>
      </c>
      <c r="AJ47" s="85">
        <f t="shared" si="11"/>
        <v>0</v>
      </c>
      <c r="AK47" s="85">
        <f t="shared" si="11"/>
        <v>0</v>
      </c>
      <c r="AL47" s="86">
        <f t="shared" si="11"/>
        <v>0</v>
      </c>
      <c r="AM47" s="86">
        <f t="shared" si="11"/>
        <v>0</v>
      </c>
      <c r="AN47" s="86">
        <f t="shared" si="11"/>
        <v>0</v>
      </c>
      <c r="AO47" s="86">
        <f t="shared" si="11"/>
        <v>0</v>
      </c>
      <c r="AP47" s="86">
        <f t="shared" si="11"/>
        <v>0</v>
      </c>
      <c r="AQ47" s="86">
        <f t="shared" si="11"/>
        <v>0</v>
      </c>
      <c r="AR47" s="86">
        <f t="shared" si="11"/>
        <v>0</v>
      </c>
      <c r="AS47" s="86">
        <f t="shared" si="11"/>
        <v>0</v>
      </c>
      <c r="AT47" s="86">
        <f t="shared" si="11"/>
        <v>0</v>
      </c>
      <c r="AU47" s="86">
        <f t="shared" si="11"/>
        <v>0</v>
      </c>
      <c r="AV47" s="86">
        <f t="shared" si="11"/>
        <v>0</v>
      </c>
      <c r="AW47" s="86">
        <f t="shared" si="11"/>
        <v>0</v>
      </c>
      <c r="AX47" s="86">
        <f t="shared" si="11"/>
        <v>0</v>
      </c>
      <c r="AY47" s="86">
        <f t="shared" si="11"/>
        <v>0</v>
      </c>
      <c r="AZ47" s="86">
        <f t="shared" si="11"/>
        <v>0</v>
      </c>
    </row>
    <row r="48" spans="1:52" s="25" customFormat="1" ht="15" customHeight="1" outlineLevel="2" x14ac:dyDescent="0.45">
      <c r="A48" s="12">
        <v>3503406259</v>
      </c>
      <c r="B48" s="13">
        <v>10</v>
      </c>
      <c r="C48" s="13" t="s">
        <v>314</v>
      </c>
      <c r="D48" s="14"/>
      <c r="E48" s="14"/>
      <c r="F48" s="15" t="s">
        <v>255</v>
      </c>
      <c r="G48" s="15">
        <v>5073237</v>
      </c>
      <c r="H48" s="15" t="s">
        <v>97</v>
      </c>
      <c r="I48" s="15" t="s">
        <v>98</v>
      </c>
      <c r="J48" s="14"/>
      <c r="K48" s="14">
        <v>45206</v>
      </c>
      <c r="L48" s="16" t="s">
        <v>315</v>
      </c>
      <c r="M48" s="14">
        <v>45091</v>
      </c>
      <c r="N48" s="17" t="str">
        <f>+LEFT(L48,5)</f>
        <v>T3K50</v>
      </c>
      <c r="O48" s="18" t="s">
        <v>300</v>
      </c>
      <c r="P48" s="19" t="s">
        <v>287</v>
      </c>
      <c r="Q48" s="20" t="s">
        <v>102</v>
      </c>
      <c r="R48" s="21" t="s">
        <v>6</v>
      </c>
      <c r="S48" s="22">
        <f t="shared" si="1"/>
        <v>1194</v>
      </c>
      <c r="T48" s="22"/>
      <c r="U48" s="22"/>
      <c r="V48" s="22"/>
      <c r="W48" s="23"/>
      <c r="X48" s="23"/>
      <c r="Y48" s="23">
        <v>138</v>
      </c>
      <c r="Z48" s="23">
        <v>210</v>
      </c>
      <c r="AA48" s="23">
        <v>348</v>
      </c>
      <c r="AB48" s="23">
        <v>222</v>
      </c>
      <c r="AC48" s="23">
        <v>210</v>
      </c>
      <c r="AD48" s="23">
        <v>66</v>
      </c>
      <c r="AE48" s="23"/>
      <c r="AF48" s="23"/>
      <c r="AG48" s="23"/>
      <c r="AH48" s="23"/>
      <c r="AI48" s="23"/>
      <c r="AJ48" s="23"/>
      <c r="AK48" s="23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spans="1:52" s="26" customFormat="1" ht="15" customHeight="1" outlineLevel="1" x14ac:dyDescent="0.45">
      <c r="A49" s="38"/>
      <c r="B49" s="39"/>
      <c r="C49" s="39"/>
      <c r="D49" s="40"/>
      <c r="E49" s="40"/>
      <c r="F49" s="16"/>
      <c r="G49" s="16"/>
      <c r="H49" s="16"/>
      <c r="I49" s="16"/>
      <c r="J49" s="40"/>
      <c r="K49" s="40"/>
      <c r="L49" s="16"/>
      <c r="M49" s="40"/>
      <c r="N49" s="41" t="s">
        <v>316</v>
      </c>
      <c r="O49" s="42"/>
      <c r="P49" s="43"/>
      <c r="Q49" s="44"/>
      <c r="R49" s="45"/>
      <c r="S49" s="46">
        <f t="shared" ref="S49:AZ49" si="12">SUBTOTAL(9,S48:S48)</f>
        <v>1194</v>
      </c>
      <c r="T49" s="46">
        <f t="shared" si="12"/>
        <v>0</v>
      </c>
      <c r="U49" s="46">
        <f t="shared" si="12"/>
        <v>0</v>
      </c>
      <c r="V49" s="46">
        <f t="shared" si="12"/>
        <v>0</v>
      </c>
      <c r="W49" s="85">
        <f t="shared" si="12"/>
        <v>0</v>
      </c>
      <c r="X49" s="85">
        <f t="shared" si="12"/>
        <v>0</v>
      </c>
      <c r="Y49" s="85">
        <f t="shared" si="12"/>
        <v>138</v>
      </c>
      <c r="Z49" s="85">
        <f t="shared" si="12"/>
        <v>210</v>
      </c>
      <c r="AA49" s="85">
        <f t="shared" si="12"/>
        <v>348</v>
      </c>
      <c r="AB49" s="85">
        <f t="shared" si="12"/>
        <v>222</v>
      </c>
      <c r="AC49" s="85">
        <f t="shared" si="12"/>
        <v>210</v>
      </c>
      <c r="AD49" s="85">
        <f t="shared" si="12"/>
        <v>66</v>
      </c>
      <c r="AE49" s="85">
        <f t="shared" si="12"/>
        <v>0</v>
      </c>
      <c r="AF49" s="85">
        <f t="shared" si="12"/>
        <v>0</v>
      </c>
      <c r="AG49" s="85">
        <f t="shared" si="12"/>
        <v>0</v>
      </c>
      <c r="AH49" s="85">
        <f t="shared" si="12"/>
        <v>0</v>
      </c>
      <c r="AI49" s="85">
        <f t="shared" si="12"/>
        <v>0</v>
      </c>
      <c r="AJ49" s="85">
        <f t="shared" si="12"/>
        <v>0</v>
      </c>
      <c r="AK49" s="85">
        <f t="shared" si="12"/>
        <v>0</v>
      </c>
      <c r="AL49" s="86">
        <f t="shared" si="12"/>
        <v>0</v>
      </c>
      <c r="AM49" s="86">
        <f t="shared" si="12"/>
        <v>0</v>
      </c>
      <c r="AN49" s="86">
        <f t="shared" si="12"/>
        <v>0</v>
      </c>
      <c r="AO49" s="86">
        <f t="shared" si="12"/>
        <v>0</v>
      </c>
      <c r="AP49" s="86">
        <f t="shared" si="12"/>
        <v>0</v>
      </c>
      <c r="AQ49" s="86">
        <f t="shared" si="12"/>
        <v>0</v>
      </c>
      <c r="AR49" s="86">
        <f t="shared" si="12"/>
        <v>0</v>
      </c>
      <c r="AS49" s="86">
        <f t="shared" si="12"/>
        <v>0</v>
      </c>
      <c r="AT49" s="86">
        <f t="shared" si="12"/>
        <v>0</v>
      </c>
      <c r="AU49" s="86">
        <f t="shared" si="12"/>
        <v>0</v>
      </c>
      <c r="AV49" s="86">
        <f t="shared" si="12"/>
        <v>0</v>
      </c>
      <c r="AW49" s="86">
        <f t="shared" si="12"/>
        <v>0</v>
      </c>
      <c r="AX49" s="86">
        <f t="shared" si="12"/>
        <v>0</v>
      </c>
      <c r="AY49" s="86">
        <f t="shared" si="12"/>
        <v>0</v>
      </c>
      <c r="AZ49" s="86">
        <f t="shared" si="12"/>
        <v>0</v>
      </c>
    </row>
    <row r="50" spans="1:52" s="25" customFormat="1" ht="15" customHeight="1" outlineLevel="2" x14ac:dyDescent="0.45">
      <c r="A50" s="12">
        <v>3503406005</v>
      </c>
      <c r="B50" s="13">
        <v>20</v>
      </c>
      <c r="C50" s="13" t="s">
        <v>317</v>
      </c>
      <c r="D50" s="14"/>
      <c r="E50" s="14"/>
      <c r="F50" s="15" t="s">
        <v>220</v>
      </c>
      <c r="G50" s="15">
        <v>1036</v>
      </c>
      <c r="H50" s="15" t="s">
        <v>231</v>
      </c>
      <c r="I50" s="15" t="s">
        <v>98</v>
      </c>
      <c r="J50" s="14"/>
      <c r="K50" s="14">
        <v>45192</v>
      </c>
      <c r="L50" s="16" t="s">
        <v>318</v>
      </c>
      <c r="M50" s="14">
        <v>45091</v>
      </c>
      <c r="N50" s="17" t="str">
        <f t="shared" ref="N50:N57" si="13">+LEFT(L50,5)</f>
        <v>T3K51</v>
      </c>
      <c r="O50" s="18" t="s">
        <v>223</v>
      </c>
      <c r="P50" s="19" t="s">
        <v>224</v>
      </c>
      <c r="Q50" s="20" t="s">
        <v>102</v>
      </c>
      <c r="R50" s="21" t="s">
        <v>225</v>
      </c>
      <c r="S50" s="22">
        <f t="shared" si="1"/>
        <v>342</v>
      </c>
      <c r="T50" s="22"/>
      <c r="U50" s="22"/>
      <c r="V50" s="22"/>
      <c r="W50" s="23"/>
      <c r="X50" s="23"/>
      <c r="Y50" s="23"/>
      <c r="Z50" s="23"/>
      <c r="AA50" s="23">
        <v>18</v>
      </c>
      <c r="AB50" s="23"/>
      <c r="AC50" s="23">
        <v>36</v>
      </c>
      <c r="AD50" s="23">
        <v>36</v>
      </c>
      <c r="AE50" s="23">
        <v>60</v>
      </c>
      <c r="AF50" s="23">
        <v>48</v>
      </c>
      <c r="AG50" s="23">
        <v>48</v>
      </c>
      <c r="AH50" s="23">
        <v>30</v>
      </c>
      <c r="AI50" s="23">
        <v>30</v>
      </c>
      <c r="AJ50" s="23"/>
      <c r="AK50" s="23">
        <v>18</v>
      </c>
      <c r="AL50" s="24"/>
      <c r="AM50" s="24">
        <v>18</v>
      </c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s="25" customFormat="1" ht="15" customHeight="1" outlineLevel="2" x14ac:dyDescent="0.45">
      <c r="A51" s="12">
        <v>3503405033</v>
      </c>
      <c r="B51" s="13">
        <v>20</v>
      </c>
      <c r="C51" s="13" t="s">
        <v>319</v>
      </c>
      <c r="D51" s="14"/>
      <c r="E51" s="14"/>
      <c r="F51" s="15" t="s">
        <v>220</v>
      </c>
      <c r="G51" s="15">
        <v>1038</v>
      </c>
      <c r="H51" s="15" t="s">
        <v>234</v>
      </c>
      <c r="I51" s="15" t="s">
        <v>98</v>
      </c>
      <c r="J51" s="14"/>
      <c r="K51" s="14">
        <v>45192</v>
      </c>
      <c r="L51" s="16" t="s">
        <v>320</v>
      </c>
      <c r="M51" s="14">
        <v>45091</v>
      </c>
      <c r="N51" s="17" t="str">
        <f t="shared" si="13"/>
        <v>T3K51</v>
      </c>
      <c r="O51" s="18" t="s">
        <v>223</v>
      </c>
      <c r="P51" s="19" t="s">
        <v>224</v>
      </c>
      <c r="Q51" s="20" t="s">
        <v>102</v>
      </c>
      <c r="R51" s="21" t="s">
        <v>225</v>
      </c>
      <c r="S51" s="22">
        <f t="shared" si="1"/>
        <v>1140</v>
      </c>
      <c r="T51" s="22"/>
      <c r="U51" s="22"/>
      <c r="V51" s="22"/>
      <c r="W51" s="23"/>
      <c r="X51" s="23"/>
      <c r="Y51" s="23"/>
      <c r="Z51" s="23"/>
      <c r="AA51" s="23">
        <v>72</v>
      </c>
      <c r="AB51" s="23">
        <v>12</v>
      </c>
      <c r="AC51" s="23">
        <v>162</v>
      </c>
      <c r="AD51" s="23">
        <v>24</v>
      </c>
      <c r="AE51" s="23">
        <v>252</v>
      </c>
      <c r="AF51" s="23">
        <v>162</v>
      </c>
      <c r="AG51" s="23">
        <v>198</v>
      </c>
      <c r="AH51" s="23">
        <v>12</v>
      </c>
      <c r="AI51" s="23">
        <v>126</v>
      </c>
      <c r="AJ51" s="23">
        <v>6</v>
      </c>
      <c r="AK51" s="23">
        <v>90</v>
      </c>
      <c r="AL51" s="24">
        <v>6</v>
      </c>
      <c r="AM51" s="24">
        <v>18</v>
      </c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s="25" customFormat="1" ht="15" customHeight="1" outlineLevel="2" x14ac:dyDescent="0.45">
      <c r="A52" s="12">
        <v>4509528876</v>
      </c>
      <c r="B52" s="13">
        <v>10</v>
      </c>
      <c r="C52" s="13" t="s">
        <v>321</v>
      </c>
      <c r="D52" s="14"/>
      <c r="E52" s="14"/>
      <c r="F52" s="15" t="s">
        <v>220</v>
      </c>
      <c r="G52" s="15">
        <v>4992000</v>
      </c>
      <c r="H52" s="15" t="s">
        <v>111</v>
      </c>
      <c r="I52" s="15" t="s">
        <v>98</v>
      </c>
      <c r="J52" s="14"/>
      <c r="K52" s="14">
        <v>45192</v>
      </c>
      <c r="L52" s="16" t="s">
        <v>322</v>
      </c>
      <c r="M52" s="14">
        <v>45091</v>
      </c>
      <c r="N52" s="17" t="str">
        <f t="shared" si="13"/>
        <v>T3K51</v>
      </c>
      <c r="O52" s="18" t="s">
        <v>223</v>
      </c>
      <c r="P52" s="19" t="s">
        <v>224</v>
      </c>
      <c r="Q52" s="20" t="s">
        <v>102</v>
      </c>
      <c r="R52" s="21" t="s">
        <v>225</v>
      </c>
      <c r="S52" s="22">
        <f t="shared" si="1"/>
        <v>612</v>
      </c>
      <c r="T52" s="22"/>
      <c r="U52" s="22"/>
      <c r="V52" s="22"/>
      <c r="W52" s="23"/>
      <c r="X52" s="23"/>
      <c r="Y52" s="23"/>
      <c r="Z52" s="23"/>
      <c r="AA52" s="23">
        <v>102</v>
      </c>
      <c r="AB52" s="23">
        <v>102</v>
      </c>
      <c r="AC52" s="23">
        <v>102</v>
      </c>
      <c r="AD52" s="23">
        <v>102</v>
      </c>
      <c r="AE52" s="23">
        <v>102</v>
      </c>
      <c r="AF52" s="23">
        <v>102</v>
      </c>
      <c r="AG52" s="23"/>
      <c r="AH52" s="23"/>
      <c r="AI52" s="23"/>
      <c r="AJ52" s="23"/>
      <c r="AK52" s="23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s="25" customFormat="1" ht="15" customHeight="1" outlineLevel="2" x14ac:dyDescent="0.45">
      <c r="A53" s="12">
        <v>4509528876</v>
      </c>
      <c r="B53" s="13">
        <v>20</v>
      </c>
      <c r="C53" s="13" t="s">
        <v>323</v>
      </c>
      <c r="D53" s="14"/>
      <c r="E53" s="14"/>
      <c r="F53" s="15" t="s">
        <v>220</v>
      </c>
      <c r="G53" s="15">
        <v>4992000</v>
      </c>
      <c r="H53" s="15" t="s">
        <v>111</v>
      </c>
      <c r="I53" s="15" t="s">
        <v>98</v>
      </c>
      <c r="J53" s="14"/>
      <c r="K53" s="14">
        <v>45192</v>
      </c>
      <c r="L53" s="16" t="s">
        <v>324</v>
      </c>
      <c r="M53" s="14">
        <v>45091</v>
      </c>
      <c r="N53" s="17" t="str">
        <f t="shared" si="13"/>
        <v>T3K51</v>
      </c>
      <c r="O53" s="18" t="s">
        <v>223</v>
      </c>
      <c r="P53" s="19" t="s">
        <v>224</v>
      </c>
      <c r="Q53" s="20" t="s">
        <v>102</v>
      </c>
      <c r="R53" s="21" t="s">
        <v>225</v>
      </c>
      <c r="S53" s="22">
        <f t="shared" si="1"/>
        <v>372</v>
      </c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3">
        <v>124</v>
      </c>
      <c r="AE53" s="23">
        <v>124</v>
      </c>
      <c r="AF53" s="23">
        <v>124</v>
      </c>
      <c r="AG53" s="23"/>
      <c r="AH53" s="23"/>
      <c r="AI53" s="23"/>
      <c r="AJ53" s="23"/>
      <c r="AK53" s="23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s="25" customFormat="1" ht="15" customHeight="1" outlineLevel="2" x14ac:dyDescent="0.45">
      <c r="A54" s="12">
        <v>4509528876</v>
      </c>
      <c r="B54" s="13">
        <v>30</v>
      </c>
      <c r="C54" s="13" t="s">
        <v>325</v>
      </c>
      <c r="D54" s="14"/>
      <c r="E54" s="14"/>
      <c r="F54" s="15" t="s">
        <v>220</v>
      </c>
      <c r="G54" s="15">
        <v>4992000</v>
      </c>
      <c r="H54" s="15" t="s">
        <v>111</v>
      </c>
      <c r="I54" s="15" t="s">
        <v>98</v>
      </c>
      <c r="J54" s="14"/>
      <c r="K54" s="14">
        <v>45192</v>
      </c>
      <c r="L54" s="16" t="s">
        <v>326</v>
      </c>
      <c r="M54" s="14">
        <v>45091</v>
      </c>
      <c r="N54" s="17" t="str">
        <f t="shared" si="13"/>
        <v>T3K51</v>
      </c>
      <c r="O54" s="18" t="s">
        <v>223</v>
      </c>
      <c r="P54" s="19" t="s">
        <v>224</v>
      </c>
      <c r="Q54" s="20" t="s">
        <v>102</v>
      </c>
      <c r="R54" s="21" t="s">
        <v>225</v>
      </c>
      <c r="S54" s="22">
        <f t="shared" si="1"/>
        <v>252</v>
      </c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>
        <v>42</v>
      </c>
      <c r="AH54" s="23">
        <v>42</v>
      </c>
      <c r="AI54" s="23">
        <v>42</v>
      </c>
      <c r="AJ54" s="23">
        <v>42</v>
      </c>
      <c r="AK54" s="23">
        <v>42</v>
      </c>
      <c r="AL54" s="24"/>
      <c r="AM54" s="24">
        <v>42</v>
      </c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s="25" customFormat="1" ht="15" customHeight="1" outlineLevel="2" x14ac:dyDescent="0.45">
      <c r="A55" s="12">
        <v>4509528876</v>
      </c>
      <c r="B55" s="13">
        <v>40</v>
      </c>
      <c r="C55" s="13" t="s">
        <v>327</v>
      </c>
      <c r="D55" s="14"/>
      <c r="E55" s="14"/>
      <c r="F55" s="15" t="s">
        <v>220</v>
      </c>
      <c r="G55" s="15">
        <v>4992000</v>
      </c>
      <c r="H55" s="15" t="s">
        <v>111</v>
      </c>
      <c r="I55" s="15" t="s">
        <v>98</v>
      </c>
      <c r="J55" s="14"/>
      <c r="K55" s="14">
        <v>45192</v>
      </c>
      <c r="L55" s="16" t="s">
        <v>328</v>
      </c>
      <c r="M55" s="14">
        <v>45091</v>
      </c>
      <c r="N55" s="17" t="str">
        <f t="shared" si="13"/>
        <v>T3K51</v>
      </c>
      <c r="O55" s="18" t="s">
        <v>223</v>
      </c>
      <c r="P55" s="19" t="s">
        <v>224</v>
      </c>
      <c r="Q55" s="20" t="s">
        <v>102</v>
      </c>
      <c r="R55" s="21" t="s">
        <v>225</v>
      </c>
      <c r="S55" s="22">
        <f t="shared" si="1"/>
        <v>312</v>
      </c>
      <c r="T55" s="22"/>
      <c r="U55" s="22"/>
      <c r="V55" s="22"/>
      <c r="W55" s="23"/>
      <c r="X55" s="23"/>
      <c r="Y55" s="23"/>
      <c r="Z55" s="23"/>
      <c r="AA55" s="23">
        <v>52</v>
      </c>
      <c r="AB55" s="23">
        <v>52</v>
      </c>
      <c r="AC55" s="23">
        <v>52</v>
      </c>
      <c r="AD55" s="23"/>
      <c r="AE55" s="23"/>
      <c r="AF55" s="23"/>
      <c r="AG55" s="23">
        <v>52</v>
      </c>
      <c r="AH55" s="23">
        <v>52</v>
      </c>
      <c r="AI55" s="23">
        <v>52</v>
      </c>
      <c r="AJ55" s="23"/>
      <c r="AK55" s="23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s="25" customFormat="1" ht="15" customHeight="1" outlineLevel="2" x14ac:dyDescent="0.45">
      <c r="A56" s="12">
        <v>4509528876</v>
      </c>
      <c r="B56" s="13">
        <v>50</v>
      </c>
      <c r="C56" s="13" t="s">
        <v>329</v>
      </c>
      <c r="D56" s="14"/>
      <c r="E56" s="14"/>
      <c r="F56" s="15" t="s">
        <v>220</v>
      </c>
      <c r="G56" s="15">
        <v>4992000</v>
      </c>
      <c r="H56" s="15" t="s">
        <v>111</v>
      </c>
      <c r="I56" s="15" t="s">
        <v>98</v>
      </c>
      <c r="J56" s="14"/>
      <c r="K56" s="14">
        <v>45192</v>
      </c>
      <c r="L56" s="16" t="s">
        <v>330</v>
      </c>
      <c r="M56" s="14">
        <v>45091</v>
      </c>
      <c r="N56" s="17" t="str">
        <f t="shared" si="13"/>
        <v>T3K51</v>
      </c>
      <c r="O56" s="18" t="s">
        <v>223</v>
      </c>
      <c r="P56" s="19" t="s">
        <v>224</v>
      </c>
      <c r="Q56" s="20" t="s">
        <v>102</v>
      </c>
      <c r="R56" s="21" t="s">
        <v>225</v>
      </c>
      <c r="S56" s="22">
        <f t="shared" si="1"/>
        <v>456</v>
      </c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>
        <v>152</v>
      </c>
      <c r="AH56" s="23">
        <v>152</v>
      </c>
      <c r="AI56" s="23">
        <v>76</v>
      </c>
      <c r="AJ56" s="23"/>
      <c r="AK56" s="23">
        <v>76</v>
      </c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spans="1:52" s="25" customFormat="1" ht="15" customHeight="1" outlineLevel="2" x14ac:dyDescent="0.45">
      <c r="A57" s="12">
        <v>4509528876</v>
      </c>
      <c r="B57" s="13">
        <v>60</v>
      </c>
      <c r="C57" s="13" t="s">
        <v>331</v>
      </c>
      <c r="D57" s="14"/>
      <c r="E57" s="14"/>
      <c r="F57" s="15" t="s">
        <v>220</v>
      </c>
      <c r="G57" s="15">
        <v>4992000</v>
      </c>
      <c r="H57" s="15" t="s">
        <v>111</v>
      </c>
      <c r="I57" s="15" t="s">
        <v>98</v>
      </c>
      <c r="J57" s="14"/>
      <c r="K57" s="14">
        <v>45192</v>
      </c>
      <c r="L57" s="16" t="s">
        <v>332</v>
      </c>
      <c r="M57" s="14">
        <v>45091</v>
      </c>
      <c r="N57" s="17" t="str">
        <f t="shared" si="13"/>
        <v>T3K51</v>
      </c>
      <c r="O57" s="18" t="s">
        <v>223</v>
      </c>
      <c r="P57" s="19" t="s">
        <v>224</v>
      </c>
      <c r="Q57" s="20" t="s">
        <v>102</v>
      </c>
      <c r="R57" s="21" t="s">
        <v>225</v>
      </c>
      <c r="S57" s="22">
        <f t="shared" si="1"/>
        <v>252</v>
      </c>
      <c r="T57" s="22"/>
      <c r="U57" s="22"/>
      <c r="V57" s="22"/>
      <c r="W57" s="23"/>
      <c r="X57" s="23"/>
      <c r="Y57" s="23"/>
      <c r="Z57" s="23"/>
      <c r="AA57" s="23"/>
      <c r="AB57" s="23"/>
      <c r="AC57" s="23"/>
      <c r="AD57" s="23">
        <v>42</v>
      </c>
      <c r="AE57" s="23">
        <v>84</v>
      </c>
      <c r="AF57" s="23">
        <v>84</v>
      </c>
      <c r="AG57" s="23">
        <v>42</v>
      </c>
      <c r="AH57" s="23"/>
      <c r="AI57" s="23"/>
      <c r="AJ57" s="23"/>
      <c r="AK57" s="23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spans="1:52" s="26" customFormat="1" ht="15" customHeight="1" outlineLevel="1" x14ac:dyDescent="0.45">
      <c r="A58" s="38"/>
      <c r="B58" s="39"/>
      <c r="C58" s="39"/>
      <c r="D58" s="40"/>
      <c r="E58" s="40"/>
      <c r="F58" s="16"/>
      <c r="G58" s="16"/>
      <c r="H58" s="16"/>
      <c r="I58" s="16"/>
      <c r="J58" s="40"/>
      <c r="K58" s="40"/>
      <c r="L58" s="16"/>
      <c r="M58" s="40"/>
      <c r="N58" s="41" t="s">
        <v>333</v>
      </c>
      <c r="O58" s="42"/>
      <c r="P58" s="43"/>
      <c r="Q58" s="44"/>
      <c r="R58" s="45"/>
      <c r="S58" s="46">
        <f t="shared" ref="S58:AZ58" si="14">SUBTOTAL(9,S50:S57)</f>
        <v>3738</v>
      </c>
      <c r="T58" s="46">
        <f t="shared" si="14"/>
        <v>0</v>
      </c>
      <c r="U58" s="46">
        <f t="shared" si="14"/>
        <v>0</v>
      </c>
      <c r="V58" s="46">
        <f t="shared" si="14"/>
        <v>0</v>
      </c>
      <c r="W58" s="85">
        <f t="shared" si="14"/>
        <v>0</v>
      </c>
      <c r="X58" s="85">
        <f t="shared" si="14"/>
        <v>0</v>
      </c>
      <c r="Y58" s="85">
        <f t="shared" si="14"/>
        <v>0</v>
      </c>
      <c r="Z58" s="85">
        <f t="shared" si="14"/>
        <v>0</v>
      </c>
      <c r="AA58" s="85">
        <f t="shared" si="14"/>
        <v>244</v>
      </c>
      <c r="AB58" s="85">
        <f t="shared" si="14"/>
        <v>166</v>
      </c>
      <c r="AC58" s="85">
        <f t="shared" si="14"/>
        <v>352</v>
      </c>
      <c r="AD58" s="85">
        <f t="shared" si="14"/>
        <v>328</v>
      </c>
      <c r="AE58" s="85">
        <f t="shared" si="14"/>
        <v>622</v>
      </c>
      <c r="AF58" s="85">
        <f t="shared" si="14"/>
        <v>520</v>
      </c>
      <c r="AG58" s="85">
        <f t="shared" si="14"/>
        <v>534</v>
      </c>
      <c r="AH58" s="85">
        <f t="shared" si="14"/>
        <v>288</v>
      </c>
      <c r="AI58" s="85">
        <f t="shared" si="14"/>
        <v>326</v>
      </c>
      <c r="AJ58" s="85">
        <f t="shared" si="14"/>
        <v>48</v>
      </c>
      <c r="AK58" s="85">
        <f t="shared" si="14"/>
        <v>226</v>
      </c>
      <c r="AL58" s="86">
        <f t="shared" si="14"/>
        <v>6</v>
      </c>
      <c r="AM58" s="86">
        <f t="shared" si="14"/>
        <v>78</v>
      </c>
      <c r="AN58" s="86">
        <f t="shared" si="14"/>
        <v>0</v>
      </c>
      <c r="AO58" s="86">
        <f t="shared" si="14"/>
        <v>0</v>
      </c>
      <c r="AP58" s="86">
        <f t="shared" si="14"/>
        <v>0</v>
      </c>
      <c r="AQ58" s="86">
        <f t="shared" si="14"/>
        <v>0</v>
      </c>
      <c r="AR58" s="86">
        <f t="shared" si="14"/>
        <v>0</v>
      </c>
      <c r="AS58" s="86">
        <f t="shared" si="14"/>
        <v>0</v>
      </c>
      <c r="AT58" s="86">
        <f t="shared" si="14"/>
        <v>0</v>
      </c>
      <c r="AU58" s="86">
        <f t="shared" si="14"/>
        <v>0</v>
      </c>
      <c r="AV58" s="86">
        <f t="shared" si="14"/>
        <v>0</v>
      </c>
      <c r="AW58" s="86">
        <f t="shared" si="14"/>
        <v>0</v>
      </c>
      <c r="AX58" s="86">
        <f t="shared" si="14"/>
        <v>0</v>
      </c>
      <c r="AY58" s="86">
        <f t="shared" si="14"/>
        <v>0</v>
      </c>
      <c r="AZ58" s="86">
        <f t="shared" si="14"/>
        <v>0</v>
      </c>
    </row>
    <row r="59" spans="1:52" s="25" customFormat="1" ht="15" customHeight="1" outlineLevel="2" x14ac:dyDescent="0.45">
      <c r="A59" s="12">
        <v>4509530764</v>
      </c>
      <c r="B59" s="13">
        <v>10</v>
      </c>
      <c r="C59" s="13" t="s">
        <v>334</v>
      </c>
      <c r="D59" s="14"/>
      <c r="E59" s="14"/>
      <c r="F59" s="15" t="s">
        <v>220</v>
      </c>
      <c r="G59" s="15">
        <v>433959</v>
      </c>
      <c r="H59" s="15" t="s">
        <v>118</v>
      </c>
      <c r="I59" s="15" t="s">
        <v>98</v>
      </c>
      <c r="J59" s="14"/>
      <c r="K59" s="14">
        <v>45192</v>
      </c>
      <c r="L59" s="16" t="s">
        <v>335</v>
      </c>
      <c r="M59" s="14">
        <v>45091</v>
      </c>
      <c r="N59" s="17" t="str">
        <f>+LEFT(L59,5)</f>
        <v>T3K52</v>
      </c>
      <c r="O59" s="18" t="s">
        <v>229</v>
      </c>
      <c r="P59" s="19" t="s">
        <v>224</v>
      </c>
      <c r="Q59" s="20" t="s">
        <v>102</v>
      </c>
      <c r="R59" s="21" t="s">
        <v>225</v>
      </c>
      <c r="S59" s="22">
        <f t="shared" si="1"/>
        <v>84</v>
      </c>
      <c r="T59" s="22"/>
      <c r="U59" s="22"/>
      <c r="V59" s="22"/>
      <c r="W59" s="23"/>
      <c r="X59" s="23"/>
      <c r="Y59" s="23"/>
      <c r="Z59" s="23"/>
      <c r="AA59" s="23"/>
      <c r="AB59" s="23"/>
      <c r="AC59" s="23">
        <v>6</v>
      </c>
      <c r="AD59" s="23">
        <v>6</v>
      </c>
      <c r="AE59" s="23">
        <v>6</v>
      </c>
      <c r="AF59" s="23">
        <v>12</v>
      </c>
      <c r="AG59" s="23">
        <v>12</v>
      </c>
      <c r="AH59" s="23">
        <v>12</v>
      </c>
      <c r="AI59" s="23">
        <v>12</v>
      </c>
      <c r="AJ59" s="23">
        <v>6</v>
      </c>
      <c r="AK59" s="23">
        <v>6</v>
      </c>
      <c r="AL59" s="24"/>
      <c r="AM59" s="24">
        <v>6</v>
      </c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spans="1:52" s="25" customFormat="1" ht="15" customHeight="1" outlineLevel="2" x14ac:dyDescent="0.45">
      <c r="A60" s="12">
        <v>3503405473</v>
      </c>
      <c r="B60" s="13">
        <v>10</v>
      </c>
      <c r="C60" s="13" t="s">
        <v>336</v>
      </c>
      <c r="D60" s="14"/>
      <c r="E60" s="14"/>
      <c r="F60" s="15" t="s">
        <v>220</v>
      </c>
      <c r="G60" s="15">
        <v>1041</v>
      </c>
      <c r="H60" s="15" t="s">
        <v>221</v>
      </c>
      <c r="I60" s="15" t="s">
        <v>98</v>
      </c>
      <c r="J60" s="14"/>
      <c r="K60" s="14">
        <v>45199</v>
      </c>
      <c r="L60" s="16" t="s">
        <v>337</v>
      </c>
      <c r="M60" s="14">
        <v>45091</v>
      </c>
      <c r="N60" s="17" t="str">
        <f>+LEFT(L60,5)</f>
        <v>T3K52</v>
      </c>
      <c r="O60" s="18" t="s">
        <v>229</v>
      </c>
      <c r="P60" s="19" t="s">
        <v>224</v>
      </c>
      <c r="Q60" s="20" t="s">
        <v>102</v>
      </c>
      <c r="R60" s="21" t="s">
        <v>225</v>
      </c>
      <c r="S60" s="22">
        <f t="shared" si="1"/>
        <v>342</v>
      </c>
      <c r="T60" s="22"/>
      <c r="U60" s="22"/>
      <c r="V60" s="22"/>
      <c r="W60" s="23"/>
      <c r="X60" s="23"/>
      <c r="Y60" s="23"/>
      <c r="Z60" s="23"/>
      <c r="AA60" s="23">
        <v>18</v>
      </c>
      <c r="AB60" s="23">
        <v>6</v>
      </c>
      <c r="AC60" s="23">
        <v>54</v>
      </c>
      <c r="AD60" s="23">
        <v>24</v>
      </c>
      <c r="AE60" s="23">
        <v>66</v>
      </c>
      <c r="AF60" s="23">
        <v>36</v>
      </c>
      <c r="AG60" s="23">
        <v>60</v>
      </c>
      <c r="AH60" s="23">
        <v>24</v>
      </c>
      <c r="AI60" s="23">
        <v>30</v>
      </c>
      <c r="AJ60" s="23"/>
      <c r="AK60" s="23">
        <v>24</v>
      </c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spans="1:52" s="25" customFormat="1" ht="15" customHeight="1" outlineLevel="2" x14ac:dyDescent="0.45">
      <c r="A61" s="12">
        <v>3503405473</v>
      </c>
      <c r="B61" s="13">
        <v>50</v>
      </c>
      <c r="C61" s="13" t="s">
        <v>338</v>
      </c>
      <c r="D61" s="14"/>
      <c r="E61" s="14"/>
      <c r="F61" s="15" t="s">
        <v>220</v>
      </c>
      <c r="G61" s="15">
        <v>1041</v>
      </c>
      <c r="H61" s="15" t="s">
        <v>221</v>
      </c>
      <c r="I61" s="15" t="s">
        <v>98</v>
      </c>
      <c r="J61" s="14"/>
      <c r="K61" s="14">
        <v>45206</v>
      </c>
      <c r="L61" s="16" t="s">
        <v>339</v>
      </c>
      <c r="M61" s="14">
        <v>45091</v>
      </c>
      <c r="N61" s="17" t="str">
        <f>+LEFT(L61,5)</f>
        <v>T3K52</v>
      </c>
      <c r="O61" s="18" t="s">
        <v>229</v>
      </c>
      <c r="P61" s="19" t="s">
        <v>224</v>
      </c>
      <c r="Q61" s="20" t="s">
        <v>102</v>
      </c>
      <c r="R61" s="21" t="s">
        <v>225</v>
      </c>
      <c r="S61" s="22">
        <f t="shared" si="1"/>
        <v>204</v>
      </c>
      <c r="T61" s="22"/>
      <c r="U61" s="22"/>
      <c r="V61" s="22"/>
      <c r="W61" s="23"/>
      <c r="X61" s="23"/>
      <c r="Y61" s="23"/>
      <c r="Z61" s="23"/>
      <c r="AA61" s="23">
        <v>18</v>
      </c>
      <c r="AB61" s="23">
        <v>18</v>
      </c>
      <c r="AC61" s="23">
        <v>18</v>
      </c>
      <c r="AD61" s="23">
        <v>18</v>
      </c>
      <c r="AE61" s="23">
        <v>30</v>
      </c>
      <c r="AF61" s="23">
        <v>18</v>
      </c>
      <c r="AG61" s="23">
        <v>30</v>
      </c>
      <c r="AH61" s="23">
        <v>18</v>
      </c>
      <c r="AI61" s="23">
        <v>18</v>
      </c>
      <c r="AJ61" s="23"/>
      <c r="AK61" s="23">
        <v>18</v>
      </c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spans="1:52" s="26" customFormat="1" ht="15" customHeight="1" outlineLevel="1" x14ac:dyDescent="0.45">
      <c r="A62" s="38"/>
      <c r="B62" s="39"/>
      <c r="C62" s="39"/>
      <c r="D62" s="40"/>
      <c r="E62" s="40"/>
      <c r="F62" s="16"/>
      <c r="G62" s="16"/>
      <c r="H62" s="16"/>
      <c r="I62" s="16"/>
      <c r="J62" s="40"/>
      <c r="K62" s="40"/>
      <c r="L62" s="16"/>
      <c r="M62" s="40"/>
      <c r="N62" s="41" t="s">
        <v>340</v>
      </c>
      <c r="O62" s="42"/>
      <c r="P62" s="43"/>
      <c r="Q62" s="44"/>
      <c r="R62" s="45"/>
      <c r="S62" s="46">
        <f t="shared" ref="S62:AZ62" si="15">SUBTOTAL(9,S59:S61)</f>
        <v>630</v>
      </c>
      <c r="T62" s="46">
        <f t="shared" si="15"/>
        <v>0</v>
      </c>
      <c r="U62" s="46">
        <f t="shared" si="15"/>
        <v>0</v>
      </c>
      <c r="V62" s="46">
        <f t="shared" si="15"/>
        <v>0</v>
      </c>
      <c r="W62" s="85">
        <f t="shared" si="15"/>
        <v>0</v>
      </c>
      <c r="X62" s="85">
        <f t="shared" si="15"/>
        <v>0</v>
      </c>
      <c r="Y62" s="85">
        <f t="shared" si="15"/>
        <v>0</v>
      </c>
      <c r="Z62" s="85">
        <f t="shared" si="15"/>
        <v>0</v>
      </c>
      <c r="AA62" s="85">
        <f t="shared" si="15"/>
        <v>36</v>
      </c>
      <c r="AB62" s="85">
        <f t="shared" si="15"/>
        <v>24</v>
      </c>
      <c r="AC62" s="85">
        <f t="shared" si="15"/>
        <v>78</v>
      </c>
      <c r="AD62" s="85">
        <f t="shared" si="15"/>
        <v>48</v>
      </c>
      <c r="AE62" s="85">
        <f t="shared" si="15"/>
        <v>102</v>
      </c>
      <c r="AF62" s="85">
        <f t="shared" si="15"/>
        <v>66</v>
      </c>
      <c r="AG62" s="85">
        <f t="shared" si="15"/>
        <v>102</v>
      </c>
      <c r="AH62" s="85">
        <f t="shared" si="15"/>
        <v>54</v>
      </c>
      <c r="AI62" s="85">
        <f t="shared" si="15"/>
        <v>60</v>
      </c>
      <c r="AJ62" s="85">
        <f t="shared" si="15"/>
        <v>6</v>
      </c>
      <c r="AK62" s="85">
        <f t="shared" si="15"/>
        <v>48</v>
      </c>
      <c r="AL62" s="86">
        <f t="shared" si="15"/>
        <v>0</v>
      </c>
      <c r="AM62" s="86">
        <f t="shared" si="15"/>
        <v>6</v>
      </c>
      <c r="AN62" s="86">
        <f t="shared" si="15"/>
        <v>0</v>
      </c>
      <c r="AO62" s="86">
        <f t="shared" si="15"/>
        <v>0</v>
      </c>
      <c r="AP62" s="86">
        <f t="shared" si="15"/>
        <v>0</v>
      </c>
      <c r="AQ62" s="86">
        <f t="shared" si="15"/>
        <v>0</v>
      </c>
      <c r="AR62" s="86">
        <f t="shared" si="15"/>
        <v>0</v>
      </c>
      <c r="AS62" s="86">
        <f t="shared" si="15"/>
        <v>0</v>
      </c>
      <c r="AT62" s="86">
        <f t="shared" si="15"/>
        <v>0</v>
      </c>
      <c r="AU62" s="86">
        <f t="shared" si="15"/>
        <v>0</v>
      </c>
      <c r="AV62" s="86">
        <f t="shared" si="15"/>
        <v>0</v>
      </c>
      <c r="AW62" s="86">
        <f t="shared" si="15"/>
        <v>0</v>
      </c>
      <c r="AX62" s="86">
        <f t="shared" si="15"/>
        <v>0</v>
      </c>
      <c r="AY62" s="86">
        <f t="shared" si="15"/>
        <v>0</v>
      </c>
      <c r="AZ62" s="86">
        <f t="shared" si="15"/>
        <v>0</v>
      </c>
    </row>
    <row r="63" spans="1:52" s="25" customFormat="1" ht="15" customHeight="1" outlineLevel="2" x14ac:dyDescent="0.45">
      <c r="A63" s="12">
        <v>3503405320</v>
      </c>
      <c r="B63" s="13">
        <v>10</v>
      </c>
      <c r="C63" s="13" t="s">
        <v>341</v>
      </c>
      <c r="D63" s="14"/>
      <c r="E63" s="14"/>
      <c r="F63" s="15" t="s">
        <v>243</v>
      </c>
      <c r="G63" s="15">
        <v>1035</v>
      </c>
      <c r="H63" s="15" t="s">
        <v>231</v>
      </c>
      <c r="I63" s="15" t="s">
        <v>98</v>
      </c>
      <c r="J63" s="14"/>
      <c r="K63" s="14">
        <v>45185</v>
      </c>
      <c r="L63" s="16" t="s">
        <v>342</v>
      </c>
      <c r="M63" s="14">
        <v>45091</v>
      </c>
      <c r="N63" s="17" t="str">
        <f>+LEFT(L63,5)</f>
        <v>T3K53</v>
      </c>
      <c r="O63" s="18" t="s">
        <v>245</v>
      </c>
      <c r="P63" s="19" t="s">
        <v>246</v>
      </c>
      <c r="Q63" s="20" t="s">
        <v>102</v>
      </c>
      <c r="R63" s="21" t="s">
        <v>225</v>
      </c>
      <c r="S63" s="22">
        <f t="shared" si="1"/>
        <v>336</v>
      </c>
      <c r="T63" s="22"/>
      <c r="U63" s="22"/>
      <c r="V63" s="22"/>
      <c r="W63" s="23"/>
      <c r="X63" s="23"/>
      <c r="Y63" s="23">
        <v>6</v>
      </c>
      <c r="Z63" s="23"/>
      <c r="AA63" s="23">
        <v>12</v>
      </c>
      <c r="AB63" s="23">
        <v>18</v>
      </c>
      <c r="AC63" s="23">
        <v>48</v>
      </c>
      <c r="AD63" s="23">
        <v>30</v>
      </c>
      <c r="AE63" s="23">
        <v>60</v>
      </c>
      <c r="AF63" s="23">
        <v>30</v>
      </c>
      <c r="AG63" s="23">
        <v>48</v>
      </c>
      <c r="AH63" s="23">
        <v>12</v>
      </c>
      <c r="AI63" s="23">
        <v>36</v>
      </c>
      <c r="AJ63" s="23"/>
      <c r="AK63" s="23">
        <v>30</v>
      </c>
      <c r="AL63" s="24"/>
      <c r="AM63" s="24">
        <v>6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spans="1:52" s="25" customFormat="1" ht="15" customHeight="1" outlineLevel="2" x14ac:dyDescent="0.45">
      <c r="A64" s="12">
        <v>3503404817</v>
      </c>
      <c r="B64" s="13">
        <v>20</v>
      </c>
      <c r="C64" s="13" t="s">
        <v>343</v>
      </c>
      <c r="D64" s="14"/>
      <c r="E64" s="14"/>
      <c r="F64" s="15" t="s">
        <v>243</v>
      </c>
      <c r="G64" s="15">
        <v>1041</v>
      </c>
      <c r="H64" s="15" t="s">
        <v>221</v>
      </c>
      <c r="I64" s="15" t="s">
        <v>98</v>
      </c>
      <c r="J64" s="14"/>
      <c r="K64" s="14">
        <v>45185</v>
      </c>
      <c r="L64" s="16" t="s">
        <v>344</v>
      </c>
      <c r="M64" s="14">
        <v>45091</v>
      </c>
      <c r="N64" s="17" t="str">
        <f>+LEFT(L64,5)</f>
        <v>T3K53</v>
      </c>
      <c r="O64" s="18" t="s">
        <v>245</v>
      </c>
      <c r="P64" s="19" t="s">
        <v>246</v>
      </c>
      <c r="Q64" s="20" t="s">
        <v>102</v>
      </c>
      <c r="R64" s="21" t="s">
        <v>225</v>
      </c>
      <c r="S64" s="22">
        <f t="shared" si="1"/>
        <v>3564</v>
      </c>
      <c r="T64" s="22"/>
      <c r="U64" s="22"/>
      <c r="V64" s="22"/>
      <c r="W64" s="23">
        <v>12</v>
      </c>
      <c r="X64" s="23">
        <v>24</v>
      </c>
      <c r="Y64" s="23">
        <v>42</v>
      </c>
      <c r="Z64" s="23">
        <v>42</v>
      </c>
      <c r="AA64" s="23">
        <v>126</v>
      </c>
      <c r="AB64" s="23">
        <v>96</v>
      </c>
      <c r="AC64" s="23">
        <v>324</v>
      </c>
      <c r="AD64" s="23">
        <v>336</v>
      </c>
      <c r="AE64" s="23">
        <v>522</v>
      </c>
      <c r="AF64" s="23">
        <v>480</v>
      </c>
      <c r="AG64" s="23">
        <v>528</v>
      </c>
      <c r="AH64" s="23">
        <v>372</v>
      </c>
      <c r="AI64" s="23">
        <v>330</v>
      </c>
      <c r="AJ64" s="23">
        <v>48</v>
      </c>
      <c r="AK64" s="23">
        <v>210</v>
      </c>
      <c r="AL64" s="24">
        <v>30</v>
      </c>
      <c r="AM64" s="24">
        <v>42</v>
      </c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spans="1:52" s="25" customFormat="1" ht="15" customHeight="1" outlineLevel="2" x14ac:dyDescent="0.45">
      <c r="A65" s="12">
        <v>3503404817</v>
      </c>
      <c r="B65" s="13">
        <v>30</v>
      </c>
      <c r="C65" s="13" t="s">
        <v>345</v>
      </c>
      <c r="D65" s="14"/>
      <c r="E65" s="14"/>
      <c r="F65" s="15" t="s">
        <v>243</v>
      </c>
      <c r="G65" s="15">
        <v>1041</v>
      </c>
      <c r="H65" s="15" t="s">
        <v>221</v>
      </c>
      <c r="I65" s="15" t="s">
        <v>98</v>
      </c>
      <c r="J65" s="14"/>
      <c r="K65" s="14">
        <v>45185</v>
      </c>
      <c r="L65" s="16" t="s">
        <v>346</v>
      </c>
      <c r="M65" s="14">
        <v>45091</v>
      </c>
      <c r="N65" s="17" t="str">
        <f>+LEFT(L65,5)</f>
        <v>T3K53</v>
      </c>
      <c r="O65" s="18" t="s">
        <v>245</v>
      </c>
      <c r="P65" s="19" t="s">
        <v>246</v>
      </c>
      <c r="Q65" s="20" t="s">
        <v>102</v>
      </c>
      <c r="R65" s="21" t="s">
        <v>225</v>
      </c>
      <c r="S65" s="22">
        <f t="shared" si="1"/>
        <v>3564</v>
      </c>
      <c r="T65" s="22"/>
      <c r="U65" s="22"/>
      <c r="V65" s="22"/>
      <c r="W65" s="23">
        <v>12</v>
      </c>
      <c r="X65" s="23">
        <v>24</v>
      </c>
      <c r="Y65" s="23">
        <v>42</v>
      </c>
      <c r="Z65" s="23">
        <v>42</v>
      </c>
      <c r="AA65" s="23">
        <v>126</v>
      </c>
      <c r="AB65" s="23">
        <v>96</v>
      </c>
      <c r="AC65" s="23">
        <v>324</v>
      </c>
      <c r="AD65" s="23">
        <v>336</v>
      </c>
      <c r="AE65" s="23">
        <v>522</v>
      </c>
      <c r="AF65" s="23">
        <v>480</v>
      </c>
      <c r="AG65" s="23">
        <v>528</v>
      </c>
      <c r="AH65" s="23">
        <v>372</v>
      </c>
      <c r="AI65" s="23">
        <v>330</v>
      </c>
      <c r="AJ65" s="23">
        <v>48</v>
      </c>
      <c r="AK65" s="23">
        <v>210</v>
      </c>
      <c r="AL65" s="24">
        <v>30</v>
      </c>
      <c r="AM65" s="24">
        <v>42</v>
      </c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spans="1:52" s="25" customFormat="1" ht="15" customHeight="1" outlineLevel="2" x14ac:dyDescent="0.45">
      <c r="A66" s="12">
        <v>4509530096</v>
      </c>
      <c r="B66" s="13">
        <v>10</v>
      </c>
      <c r="C66" s="13" t="s">
        <v>347</v>
      </c>
      <c r="D66" s="14"/>
      <c r="E66" s="14"/>
      <c r="F66" s="15" t="s">
        <v>243</v>
      </c>
      <c r="G66" s="15">
        <v>4991992</v>
      </c>
      <c r="H66" s="15" t="s">
        <v>348</v>
      </c>
      <c r="I66" s="15" t="s">
        <v>98</v>
      </c>
      <c r="J66" s="14"/>
      <c r="K66" s="14">
        <v>45185</v>
      </c>
      <c r="L66" s="16" t="s">
        <v>349</v>
      </c>
      <c r="M66" s="14">
        <v>45091</v>
      </c>
      <c r="N66" s="17" t="str">
        <f>+LEFT(L66,5)</f>
        <v>T3K53</v>
      </c>
      <c r="O66" s="18" t="s">
        <v>245</v>
      </c>
      <c r="P66" s="19" t="s">
        <v>246</v>
      </c>
      <c r="Q66" s="20" t="s">
        <v>102</v>
      </c>
      <c r="R66" s="21" t="s">
        <v>225</v>
      </c>
      <c r="S66" s="22">
        <f t="shared" si="1"/>
        <v>600</v>
      </c>
      <c r="T66" s="22"/>
      <c r="U66" s="22"/>
      <c r="V66" s="22"/>
      <c r="W66" s="23"/>
      <c r="X66" s="23"/>
      <c r="Y66" s="23"/>
      <c r="Z66" s="23"/>
      <c r="AA66" s="23">
        <v>12</v>
      </c>
      <c r="AB66" s="23">
        <v>24</v>
      </c>
      <c r="AC66" s="23">
        <v>48</v>
      </c>
      <c r="AD66" s="23">
        <v>60</v>
      </c>
      <c r="AE66" s="23">
        <v>96</v>
      </c>
      <c r="AF66" s="23">
        <v>108</v>
      </c>
      <c r="AG66" s="23">
        <v>90</v>
      </c>
      <c r="AH66" s="23">
        <v>66</v>
      </c>
      <c r="AI66" s="23">
        <v>54</v>
      </c>
      <c r="AJ66" s="23">
        <v>12</v>
      </c>
      <c r="AK66" s="23">
        <v>30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spans="1:52" s="26" customFormat="1" ht="15" customHeight="1" outlineLevel="1" x14ac:dyDescent="0.45">
      <c r="A67" s="38"/>
      <c r="B67" s="39"/>
      <c r="C67" s="39"/>
      <c r="D67" s="40"/>
      <c r="E67" s="40"/>
      <c r="F67" s="16"/>
      <c r="G67" s="16"/>
      <c r="H67" s="16"/>
      <c r="I67" s="16"/>
      <c r="J67" s="40"/>
      <c r="K67" s="40"/>
      <c r="L67" s="16"/>
      <c r="M67" s="40"/>
      <c r="N67" s="41" t="s">
        <v>350</v>
      </c>
      <c r="O67" s="42"/>
      <c r="P67" s="43"/>
      <c r="Q67" s="44"/>
      <c r="R67" s="45"/>
      <c r="S67" s="46">
        <f t="shared" ref="S67:AZ67" si="16">SUBTOTAL(9,S63:S66)</f>
        <v>8064</v>
      </c>
      <c r="T67" s="46">
        <f t="shared" si="16"/>
        <v>0</v>
      </c>
      <c r="U67" s="46">
        <f t="shared" si="16"/>
        <v>0</v>
      </c>
      <c r="V67" s="46">
        <f t="shared" si="16"/>
        <v>0</v>
      </c>
      <c r="W67" s="85">
        <f t="shared" si="16"/>
        <v>24</v>
      </c>
      <c r="X67" s="85">
        <f t="shared" si="16"/>
        <v>48</v>
      </c>
      <c r="Y67" s="85">
        <f t="shared" si="16"/>
        <v>90</v>
      </c>
      <c r="Z67" s="85">
        <f t="shared" si="16"/>
        <v>84</v>
      </c>
      <c r="AA67" s="85">
        <f t="shared" si="16"/>
        <v>276</v>
      </c>
      <c r="AB67" s="85">
        <f t="shared" si="16"/>
        <v>234</v>
      </c>
      <c r="AC67" s="85">
        <f t="shared" si="16"/>
        <v>744</v>
      </c>
      <c r="AD67" s="85">
        <f t="shared" si="16"/>
        <v>762</v>
      </c>
      <c r="AE67" s="85">
        <f t="shared" si="16"/>
        <v>1200</v>
      </c>
      <c r="AF67" s="85">
        <f t="shared" si="16"/>
        <v>1098</v>
      </c>
      <c r="AG67" s="85">
        <f t="shared" si="16"/>
        <v>1194</v>
      </c>
      <c r="AH67" s="85">
        <f t="shared" si="16"/>
        <v>822</v>
      </c>
      <c r="AI67" s="85">
        <f t="shared" si="16"/>
        <v>750</v>
      </c>
      <c r="AJ67" s="85">
        <f t="shared" si="16"/>
        <v>108</v>
      </c>
      <c r="AK67" s="85">
        <f t="shared" si="16"/>
        <v>480</v>
      </c>
      <c r="AL67" s="86">
        <f t="shared" si="16"/>
        <v>60</v>
      </c>
      <c r="AM67" s="86">
        <f t="shared" si="16"/>
        <v>90</v>
      </c>
      <c r="AN67" s="86">
        <f t="shared" si="16"/>
        <v>0</v>
      </c>
      <c r="AO67" s="86">
        <f t="shared" si="16"/>
        <v>0</v>
      </c>
      <c r="AP67" s="86">
        <f t="shared" si="16"/>
        <v>0</v>
      </c>
      <c r="AQ67" s="86">
        <f t="shared" si="16"/>
        <v>0</v>
      </c>
      <c r="AR67" s="86">
        <f t="shared" si="16"/>
        <v>0</v>
      </c>
      <c r="AS67" s="86">
        <f t="shared" si="16"/>
        <v>0</v>
      </c>
      <c r="AT67" s="86">
        <f t="shared" si="16"/>
        <v>0</v>
      </c>
      <c r="AU67" s="86">
        <f t="shared" si="16"/>
        <v>0</v>
      </c>
      <c r="AV67" s="86">
        <f t="shared" si="16"/>
        <v>0</v>
      </c>
      <c r="AW67" s="86">
        <f t="shared" si="16"/>
        <v>0</v>
      </c>
      <c r="AX67" s="86">
        <f t="shared" si="16"/>
        <v>0</v>
      </c>
      <c r="AY67" s="86">
        <f t="shared" si="16"/>
        <v>0</v>
      </c>
      <c r="AZ67" s="86">
        <f t="shared" si="16"/>
        <v>0</v>
      </c>
    </row>
    <row r="68" spans="1:52" s="25" customFormat="1" ht="15" customHeight="1" outlineLevel="2" x14ac:dyDescent="0.45">
      <c r="A68" s="12">
        <v>4509529713</v>
      </c>
      <c r="B68" s="13">
        <v>10</v>
      </c>
      <c r="C68" s="13" t="s">
        <v>351</v>
      </c>
      <c r="D68" s="14"/>
      <c r="E68" s="14"/>
      <c r="F68" s="15" t="s">
        <v>4</v>
      </c>
      <c r="G68" s="15">
        <v>1014</v>
      </c>
      <c r="H68" s="15" t="s">
        <v>118</v>
      </c>
      <c r="I68" s="15" t="s">
        <v>98</v>
      </c>
      <c r="J68" s="14"/>
      <c r="K68" s="14">
        <v>45185</v>
      </c>
      <c r="L68" s="16" t="s">
        <v>352</v>
      </c>
      <c r="M68" s="14">
        <v>45091</v>
      </c>
      <c r="N68" s="17" t="str">
        <f>+LEFT(L68,5)</f>
        <v>T3K54</v>
      </c>
      <c r="O68" s="18" t="s">
        <v>353</v>
      </c>
      <c r="P68" s="19" t="s">
        <v>3</v>
      </c>
      <c r="Q68" s="20" t="s">
        <v>102</v>
      </c>
      <c r="R68" s="21" t="s">
        <v>6</v>
      </c>
      <c r="S68" s="22">
        <f t="shared" si="1"/>
        <v>1860</v>
      </c>
      <c r="T68" s="22"/>
      <c r="U68" s="22"/>
      <c r="V68" s="22"/>
      <c r="W68" s="23">
        <v>42</v>
      </c>
      <c r="X68" s="23">
        <v>48</v>
      </c>
      <c r="Y68" s="23">
        <v>114</v>
      </c>
      <c r="Z68" s="23">
        <v>126</v>
      </c>
      <c r="AA68" s="23">
        <v>222</v>
      </c>
      <c r="AB68" s="23">
        <v>228</v>
      </c>
      <c r="AC68" s="23">
        <v>282</v>
      </c>
      <c r="AD68" s="23">
        <v>228</v>
      </c>
      <c r="AE68" s="23">
        <v>204</v>
      </c>
      <c r="AF68" s="23">
        <v>132</v>
      </c>
      <c r="AG68" s="23">
        <v>132</v>
      </c>
      <c r="AH68" s="23">
        <v>12</v>
      </c>
      <c r="AI68" s="23">
        <v>42</v>
      </c>
      <c r="AJ68" s="23">
        <v>18</v>
      </c>
      <c r="AK68" s="23">
        <v>30</v>
      </c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</row>
    <row r="69" spans="1:52" s="25" customFormat="1" ht="15" customHeight="1" outlineLevel="2" x14ac:dyDescent="0.45">
      <c r="A69" s="12">
        <v>3503404422</v>
      </c>
      <c r="B69" s="13">
        <v>10</v>
      </c>
      <c r="C69" s="13" t="s">
        <v>354</v>
      </c>
      <c r="D69" s="14"/>
      <c r="E69" s="14"/>
      <c r="F69" s="15" t="s">
        <v>4</v>
      </c>
      <c r="G69" s="15">
        <v>1024</v>
      </c>
      <c r="H69" s="15" t="s">
        <v>355</v>
      </c>
      <c r="I69" s="15" t="s">
        <v>98</v>
      </c>
      <c r="J69" s="14"/>
      <c r="K69" s="14">
        <v>45192</v>
      </c>
      <c r="L69" s="16" t="s">
        <v>356</v>
      </c>
      <c r="M69" s="14">
        <v>45091</v>
      </c>
      <c r="N69" s="17" t="str">
        <f>+LEFT(L69,5)</f>
        <v>T3K54</v>
      </c>
      <c r="O69" s="18" t="s">
        <v>353</v>
      </c>
      <c r="P69" s="19" t="s">
        <v>3</v>
      </c>
      <c r="Q69" s="20" t="s">
        <v>102</v>
      </c>
      <c r="R69" s="21" t="s">
        <v>6</v>
      </c>
      <c r="S69" s="22">
        <f t="shared" si="1"/>
        <v>228</v>
      </c>
      <c r="T69" s="22"/>
      <c r="U69" s="22"/>
      <c r="V69" s="22"/>
      <c r="W69" s="23">
        <v>5</v>
      </c>
      <c r="X69" s="23">
        <v>7</v>
      </c>
      <c r="Y69" s="23">
        <v>19</v>
      </c>
      <c r="Z69" s="23">
        <v>26</v>
      </c>
      <c r="AA69" s="23">
        <v>41</v>
      </c>
      <c r="AB69" s="23">
        <v>34</v>
      </c>
      <c r="AC69" s="23">
        <v>38</v>
      </c>
      <c r="AD69" s="23">
        <v>26</v>
      </c>
      <c r="AE69" s="23">
        <v>17</v>
      </c>
      <c r="AF69" s="23">
        <v>10</v>
      </c>
      <c r="AG69" s="23">
        <v>5</v>
      </c>
      <c r="AH69" s="23"/>
      <c r="AI69" s="23"/>
      <c r="AJ69" s="23"/>
      <c r="AK69" s="23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</row>
    <row r="70" spans="1:52" s="25" customFormat="1" ht="15" customHeight="1" outlineLevel="2" x14ac:dyDescent="0.45">
      <c r="A70" s="12">
        <v>3503406002</v>
      </c>
      <c r="B70" s="13">
        <v>10</v>
      </c>
      <c r="C70" s="13" t="s">
        <v>357</v>
      </c>
      <c r="D70" s="14"/>
      <c r="E70" s="14"/>
      <c r="F70" s="15" t="s">
        <v>4</v>
      </c>
      <c r="G70" s="15">
        <v>5060637</v>
      </c>
      <c r="H70" s="15" t="s">
        <v>231</v>
      </c>
      <c r="I70" s="15" t="s">
        <v>98</v>
      </c>
      <c r="J70" s="14"/>
      <c r="K70" s="14">
        <v>45185</v>
      </c>
      <c r="L70" s="16" t="s">
        <v>358</v>
      </c>
      <c r="M70" s="14">
        <v>45091</v>
      </c>
      <c r="N70" s="17" t="str">
        <f>+LEFT(L70,5)</f>
        <v>T3K54</v>
      </c>
      <c r="O70" s="18" t="s">
        <v>353</v>
      </c>
      <c r="P70" s="19" t="s">
        <v>3</v>
      </c>
      <c r="Q70" s="20" t="s">
        <v>102</v>
      </c>
      <c r="R70" s="21" t="s">
        <v>6</v>
      </c>
      <c r="S70" s="22">
        <f t="shared" si="1"/>
        <v>354</v>
      </c>
      <c r="T70" s="22"/>
      <c r="U70" s="22"/>
      <c r="V70" s="22"/>
      <c r="W70" s="23"/>
      <c r="X70" s="23"/>
      <c r="Y70" s="23">
        <v>48</v>
      </c>
      <c r="Z70" s="23"/>
      <c r="AA70" s="23">
        <v>90</v>
      </c>
      <c r="AB70" s="23"/>
      <c r="AC70" s="23">
        <v>114</v>
      </c>
      <c r="AD70" s="23"/>
      <c r="AE70" s="23">
        <v>66</v>
      </c>
      <c r="AF70" s="23"/>
      <c r="AG70" s="23">
        <v>36</v>
      </c>
      <c r="AH70" s="23"/>
      <c r="AI70" s="23"/>
      <c r="AJ70" s="23"/>
      <c r="AK70" s="23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</row>
    <row r="71" spans="1:52" s="25" customFormat="1" ht="15" customHeight="1" outlineLevel="2" x14ac:dyDescent="0.45">
      <c r="A71" s="12">
        <v>4509528872</v>
      </c>
      <c r="B71" s="13">
        <v>10</v>
      </c>
      <c r="C71" s="13" t="s">
        <v>359</v>
      </c>
      <c r="D71" s="14"/>
      <c r="E71" s="14"/>
      <c r="F71" s="15" t="s">
        <v>4</v>
      </c>
      <c r="G71" s="15">
        <v>4992062</v>
      </c>
      <c r="H71" s="15" t="s">
        <v>144</v>
      </c>
      <c r="I71" s="15" t="s">
        <v>98</v>
      </c>
      <c r="J71" s="14"/>
      <c r="K71" s="14">
        <v>45199</v>
      </c>
      <c r="L71" s="16" t="s">
        <v>360</v>
      </c>
      <c r="M71" s="14">
        <v>45091</v>
      </c>
      <c r="N71" s="17" t="str">
        <f>+LEFT(L71,5)</f>
        <v>T3K54</v>
      </c>
      <c r="O71" s="18" t="s">
        <v>353</v>
      </c>
      <c r="P71" s="19" t="s">
        <v>3</v>
      </c>
      <c r="Q71" s="20" t="s">
        <v>102</v>
      </c>
      <c r="R71" s="21" t="s">
        <v>6</v>
      </c>
      <c r="S71" s="22">
        <f t="shared" si="1"/>
        <v>288</v>
      </c>
      <c r="T71" s="22"/>
      <c r="U71" s="22"/>
      <c r="V71" s="22"/>
      <c r="W71" s="23"/>
      <c r="X71" s="23">
        <v>24</v>
      </c>
      <c r="Y71" s="23">
        <v>24</v>
      </c>
      <c r="Z71" s="23">
        <v>48</v>
      </c>
      <c r="AA71" s="23">
        <v>72</v>
      </c>
      <c r="AB71" s="23">
        <v>48</v>
      </c>
      <c r="AC71" s="23">
        <v>48</v>
      </c>
      <c r="AD71" s="23">
        <v>24</v>
      </c>
      <c r="AE71" s="23"/>
      <c r="AF71" s="23"/>
      <c r="AG71" s="23"/>
      <c r="AH71" s="23"/>
      <c r="AI71" s="23"/>
      <c r="AJ71" s="23"/>
      <c r="AK71" s="23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</row>
    <row r="72" spans="1:52" s="26" customFormat="1" ht="15" customHeight="1" outlineLevel="1" x14ac:dyDescent="0.45">
      <c r="A72" s="38"/>
      <c r="B72" s="39"/>
      <c r="C72" s="39"/>
      <c r="D72" s="40"/>
      <c r="E72" s="40"/>
      <c r="F72" s="16"/>
      <c r="G72" s="16"/>
      <c r="H72" s="16"/>
      <c r="I72" s="16"/>
      <c r="J72" s="40"/>
      <c r="K72" s="40"/>
      <c r="L72" s="16"/>
      <c r="M72" s="40"/>
      <c r="N72" s="41" t="s">
        <v>361</v>
      </c>
      <c r="O72" s="42"/>
      <c r="P72" s="43"/>
      <c r="Q72" s="44"/>
      <c r="R72" s="45"/>
      <c r="S72" s="46">
        <f t="shared" ref="S72:AZ72" si="17">SUBTOTAL(9,S68:S71)</f>
        <v>2730</v>
      </c>
      <c r="T72" s="46">
        <f t="shared" si="17"/>
        <v>0</v>
      </c>
      <c r="U72" s="46">
        <f t="shared" si="17"/>
        <v>0</v>
      </c>
      <c r="V72" s="46">
        <f t="shared" si="17"/>
        <v>0</v>
      </c>
      <c r="W72" s="85">
        <f t="shared" si="17"/>
        <v>47</v>
      </c>
      <c r="X72" s="85">
        <f t="shared" si="17"/>
        <v>79</v>
      </c>
      <c r="Y72" s="85">
        <f t="shared" si="17"/>
        <v>205</v>
      </c>
      <c r="Z72" s="85">
        <f t="shared" si="17"/>
        <v>200</v>
      </c>
      <c r="AA72" s="85">
        <f t="shared" si="17"/>
        <v>425</v>
      </c>
      <c r="AB72" s="85">
        <f t="shared" si="17"/>
        <v>310</v>
      </c>
      <c r="AC72" s="85">
        <f t="shared" si="17"/>
        <v>482</v>
      </c>
      <c r="AD72" s="85">
        <f t="shared" si="17"/>
        <v>278</v>
      </c>
      <c r="AE72" s="85">
        <f t="shared" si="17"/>
        <v>287</v>
      </c>
      <c r="AF72" s="85">
        <f t="shared" si="17"/>
        <v>142</v>
      </c>
      <c r="AG72" s="85">
        <f t="shared" si="17"/>
        <v>173</v>
      </c>
      <c r="AH72" s="85">
        <f t="shared" si="17"/>
        <v>12</v>
      </c>
      <c r="AI72" s="85">
        <f t="shared" si="17"/>
        <v>42</v>
      </c>
      <c r="AJ72" s="85">
        <f t="shared" si="17"/>
        <v>18</v>
      </c>
      <c r="AK72" s="85">
        <f t="shared" si="17"/>
        <v>30</v>
      </c>
      <c r="AL72" s="86">
        <f t="shared" si="17"/>
        <v>0</v>
      </c>
      <c r="AM72" s="86">
        <f t="shared" si="17"/>
        <v>0</v>
      </c>
      <c r="AN72" s="86">
        <f t="shared" si="17"/>
        <v>0</v>
      </c>
      <c r="AO72" s="86">
        <f t="shared" si="17"/>
        <v>0</v>
      </c>
      <c r="AP72" s="86">
        <f t="shared" si="17"/>
        <v>0</v>
      </c>
      <c r="AQ72" s="86">
        <f t="shared" si="17"/>
        <v>0</v>
      </c>
      <c r="AR72" s="86">
        <f t="shared" si="17"/>
        <v>0</v>
      </c>
      <c r="AS72" s="86">
        <f t="shared" si="17"/>
        <v>0</v>
      </c>
      <c r="AT72" s="86">
        <f t="shared" si="17"/>
        <v>0</v>
      </c>
      <c r="AU72" s="86">
        <f t="shared" si="17"/>
        <v>0</v>
      </c>
      <c r="AV72" s="86">
        <f t="shared" si="17"/>
        <v>0</v>
      </c>
      <c r="AW72" s="86">
        <f t="shared" si="17"/>
        <v>0</v>
      </c>
      <c r="AX72" s="86">
        <f t="shared" si="17"/>
        <v>0</v>
      </c>
      <c r="AY72" s="86">
        <f t="shared" si="17"/>
        <v>0</v>
      </c>
      <c r="AZ72" s="86">
        <f t="shared" si="17"/>
        <v>0</v>
      </c>
    </row>
    <row r="73" spans="1:52" s="25" customFormat="1" ht="15" customHeight="1" outlineLevel="2" x14ac:dyDescent="0.45">
      <c r="A73" s="12">
        <v>3503405471</v>
      </c>
      <c r="B73" s="13">
        <v>20</v>
      </c>
      <c r="C73" s="13" t="s">
        <v>362</v>
      </c>
      <c r="D73" s="14"/>
      <c r="E73" s="14"/>
      <c r="F73" s="15" t="s">
        <v>4</v>
      </c>
      <c r="G73" s="15">
        <v>1041</v>
      </c>
      <c r="H73" s="15" t="s">
        <v>221</v>
      </c>
      <c r="I73" s="15" t="s">
        <v>98</v>
      </c>
      <c r="J73" s="14"/>
      <c r="K73" s="14">
        <v>45206</v>
      </c>
      <c r="L73" s="16" t="s">
        <v>363</v>
      </c>
      <c r="M73" s="14">
        <v>45091</v>
      </c>
      <c r="N73" s="17" t="str">
        <f>+LEFT(L73,5)</f>
        <v>T3K55</v>
      </c>
      <c r="O73" s="18" t="s">
        <v>353</v>
      </c>
      <c r="P73" s="19" t="s">
        <v>3</v>
      </c>
      <c r="Q73" s="20" t="s">
        <v>102</v>
      </c>
      <c r="R73" s="21" t="s">
        <v>6</v>
      </c>
      <c r="S73" s="22">
        <f t="shared" si="1"/>
        <v>144</v>
      </c>
      <c r="T73" s="22"/>
      <c r="U73" s="22"/>
      <c r="V73" s="22"/>
      <c r="W73" s="23"/>
      <c r="X73" s="23"/>
      <c r="Y73" s="23">
        <v>12</v>
      </c>
      <c r="Z73" s="23">
        <v>12</v>
      </c>
      <c r="AA73" s="23">
        <v>18</v>
      </c>
      <c r="AB73" s="23">
        <v>24</v>
      </c>
      <c r="AC73" s="23">
        <v>24</v>
      </c>
      <c r="AD73" s="23">
        <v>30</v>
      </c>
      <c r="AE73" s="23">
        <v>24</v>
      </c>
      <c r="AF73" s="23"/>
      <c r="AG73" s="23"/>
      <c r="AH73" s="23"/>
      <c r="AI73" s="23"/>
      <c r="AJ73" s="23"/>
      <c r="AK73" s="23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</row>
    <row r="74" spans="1:52" s="26" customFormat="1" ht="15" customHeight="1" outlineLevel="1" x14ac:dyDescent="0.45">
      <c r="A74" s="38"/>
      <c r="B74" s="39"/>
      <c r="C74" s="39"/>
      <c r="D74" s="40"/>
      <c r="E74" s="40"/>
      <c r="F74" s="16"/>
      <c r="G74" s="16"/>
      <c r="H74" s="16"/>
      <c r="I74" s="16"/>
      <c r="J74" s="40"/>
      <c r="K74" s="40"/>
      <c r="L74" s="16"/>
      <c r="M74" s="40"/>
      <c r="N74" s="41" t="s">
        <v>364</v>
      </c>
      <c r="O74" s="42"/>
      <c r="P74" s="43"/>
      <c r="Q74" s="44"/>
      <c r="R74" s="45"/>
      <c r="S74" s="46">
        <f t="shared" ref="S74:AZ74" si="18">SUBTOTAL(9,S73:S73)</f>
        <v>144</v>
      </c>
      <c r="T74" s="46">
        <f t="shared" si="18"/>
        <v>0</v>
      </c>
      <c r="U74" s="46">
        <f t="shared" si="18"/>
        <v>0</v>
      </c>
      <c r="V74" s="46">
        <f t="shared" si="18"/>
        <v>0</v>
      </c>
      <c r="W74" s="85">
        <f t="shared" si="18"/>
        <v>0</v>
      </c>
      <c r="X74" s="85">
        <f t="shared" si="18"/>
        <v>0</v>
      </c>
      <c r="Y74" s="85">
        <f t="shared" si="18"/>
        <v>12</v>
      </c>
      <c r="Z74" s="85">
        <f t="shared" si="18"/>
        <v>12</v>
      </c>
      <c r="AA74" s="85">
        <f t="shared" si="18"/>
        <v>18</v>
      </c>
      <c r="AB74" s="85">
        <f t="shared" si="18"/>
        <v>24</v>
      </c>
      <c r="AC74" s="85">
        <f t="shared" si="18"/>
        <v>24</v>
      </c>
      <c r="AD74" s="85">
        <f t="shared" si="18"/>
        <v>30</v>
      </c>
      <c r="AE74" s="85">
        <f t="shared" si="18"/>
        <v>24</v>
      </c>
      <c r="AF74" s="85">
        <f t="shared" si="18"/>
        <v>0</v>
      </c>
      <c r="AG74" s="85">
        <f t="shared" si="18"/>
        <v>0</v>
      </c>
      <c r="AH74" s="85">
        <f t="shared" si="18"/>
        <v>0</v>
      </c>
      <c r="AI74" s="85">
        <f t="shared" si="18"/>
        <v>0</v>
      </c>
      <c r="AJ74" s="85">
        <f t="shared" si="18"/>
        <v>0</v>
      </c>
      <c r="AK74" s="85">
        <f t="shared" si="18"/>
        <v>0</v>
      </c>
      <c r="AL74" s="86">
        <f t="shared" si="18"/>
        <v>0</v>
      </c>
      <c r="AM74" s="86">
        <f t="shared" si="18"/>
        <v>0</v>
      </c>
      <c r="AN74" s="86">
        <f t="shared" si="18"/>
        <v>0</v>
      </c>
      <c r="AO74" s="86">
        <f t="shared" si="18"/>
        <v>0</v>
      </c>
      <c r="AP74" s="86">
        <f t="shared" si="18"/>
        <v>0</v>
      </c>
      <c r="AQ74" s="86">
        <f t="shared" si="18"/>
        <v>0</v>
      </c>
      <c r="AR74" s="86">
        <f t="shared" si="18"/>
        <v>0</v>
      </c>
      <c r="AS74" s="86">
        <f t="shared" si="18"/>
        <v>0</v>
      </c>
      <c r="AT74" s="86">
        <f t="shared" si="18"/>
        <v>0</v>
      </c>
      <c r="AU74" s="86">
        <f t="shared" si="18"/>
        <v>0</v>
      </c>
      <c r="AV74" s="86">
        <f t="shared" si="18"/>
        <v>0</v>
      </c>
      <c r="AW74" s="86">
        <f t="shared" si="18"/>
        <v>0</v>
      </c>
      <c r="AX74" s="86">
        <f t="shared" si="18"/>
        <v>0</v>
      </c>
      <c r="AY74" s="86">
        <f t="shared" si="18"/>
        <v>0</v>
      </c>
      <c r="AZ74" s="86">
        <f t="shared" si="18"/>
        <v>0</v>
      </c>
    </row>
    <row r="75" spans="1:52" s="25" customFormat="1" ht="15" customHeight="1" outlineLevel="2" x14ac:dyDescent="0.45">
      <c r="A75" s="12">
        <v>4509530766</v>
      </c>
      <c r="B75" s="13">
        <v>10</v>
      </c>
      <c r="C75" s="13" t="s">
        <v>365</v>
      </c>
      <c r="D75" s="14"/>
      <c r="E75" s="14"/>
      <c r="F75" s="15" t="s">
        <v>366</v>
      </c>
      <c r="G75" s="15">
        <v>433959</v>
      </c>
      <c r="H75" s="15" t="s">
        <v>118</v>
      </c>
      <c r="I75" s="15" t="s">
        <v>98</v>
      </c>
      <c r="J75" s="14"/>
      <c r="K75" s="14">
        <v>45192</v>
      </c>
      <c r="L75" s="16" t="s">
        <v>367</v>
      </c>
      <c r="M75" s="14">
        <v>45091</v>
      </c>
      <c r="N75" s="17" t="str">
        <f t="shared" ref="N75:N84" si="19">+LEFT(L75,5)</f>
        <v>T3K56</v>
      </c>
      <c r="O75" s="18" t="s">
        <v>368</v>
      </c>
      <c r="P75" s="19" t="s">
        <v>369</v>
      </c>
      <c r="Q75" s="20" t="s">
        <v>102</v>
      </c>
      <c r="R75" s="21" t="s">
        <v>225</v>
      </c>
      <c r="S75" s="22">
        <f t="shared" si="1"/>
        <v>54</v>
      </c>
      <c r="T75" s="22"/>
      <c r="U75" s="22"/>
      <c r="V75" s="22"/>
      <c r="W75" s="23"/>
      <c r="X75" s="23"/>
      <c r="Y75" s="23"/>
      <c r="Z75" s="23"/>
      <c r="AA75" s="23"/>
      <c r="AB75" s="23"/>
      <c r="AC75" s="23"/>
      <c r="AD75" s="23">
        <v>6</v>
      </c>
      <c r="AE75" s="23">
        <v>6</v>
      </c>
      <c r="AF75" s="23">
        <v>6</v>
      </c>
      <c r="AG75" s="23">
        <v>6</v>
      </c>
      <c r="AH75" s="23">
        <v>6</v>
      </c>
      <c r="AI75" s="23">
        <v>6</v>
      </c>
      <c r="AJ75" s="23">
        <v>6</v>
      </c>
      <c r="AK75" s="23">
        <v>6</v>
      </c>
      <c r="AL75" s="24"/>
      <c r="AM75" s="24">
        <v>6</v>
      </c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</row>
    <row r="76" spans="1:52" s="25" customFormat="1" ht="15" customHeight="1" outlineLevel="2" x14ac:dyDescent="0.45">
      <c r="A76" s="12">
        <v>4509530767</v>
      </c>
      <c r="B76" s="13">
        <v>10</v>
      </c>
      <c r="C76" s="13" t="s">
        <v>370</v>
      </c>
      <c r="D76" s="14"/>
      <c r="E76" s="14"/>
      <c r="F76" s="15" t="s">
        <v>366</v>
      </c>
      <c r="G76" s="15">
        <v>476814</v>
      </c>
      <c r="H76" s="15" t="s">
        <v>118</v>
      </c>
      <c r="I76" s="15" t="s">
        <v>98</v>
      </c>
      <c r="J76" s="14"/>
      <c r="K76" s="14">
        <v>45185</v>
      </c>
      <c r="L76" s="16" t="s">
        <v>371</v>
      </c>
      <c r="M76" s="14">
        <v>45091</v>
      </c>
      <c r="N76" s="17" t="str">
        <f t="shared" si="19"/>
        <v>T3K56</v>
      </c>
      <c r="O76" s="18" t="s">
        <v>368</v>
      </c>
      <c r="P76" s="19" t="s">
        <v>369</v>
      </c>
      <c r="Q76" s="20" t="s">
        <v>102</v>
      </c>
      <c r="R76" s="21" t="s">
        <v>225</v>
      </c>
      <c r="S76" s="22">
        <f t="shared" si="1"/>
        <v>240</v>
      </c>
      <c r="T76" s="22"/>
      <c r="U76" s="22"/>
      <c r="V76" s="22"/>
      <c r="W76" s="23"/>
      <c r="X76" s="23"/>
      <c r="Y76" s="23"/>
      <c r="Z76" s="23"/>
      <c r="AA76" s="23">
        <v>6</v>
      </c>
      <c r="AB76" s="23">
        <v>6</v>
      </c>
      <c r="AC76" s="23">
        <v>6</v>
      </c>
      <c r="AD76" s="23">
        <v>12</v>
      </c>
      <c r="AE76" s="23">
        <v>18</v>
      </c>
      <c r="AF76" s="23">
        <v>24</v>
      </c>
      <c r="AG76" s="23">
        <v>30</v>
      </c>
      <c r="AH76" s="23">
        <v>36</v>
      </c>
      <c r="AI76" s="23">
        <v>24</v>
      </c>
      <c r="AJ76" s="23">
        <v>18</v>
      </c>
      <c r="AK76" s="23">
        <v>24</v>
      </c>
      <c r="AL76" s="24"/>
      <c r="AM76" s="24">
        <v>24</v>
      </c>
      <c r="AN76" s="24"/>
      <c r="AO76" s="24">
        <v>6</v>
      </c>
      <c r="AP76" s="24"/>
      <c r="AQ76" s="24">
        <v>6</v>
      </c>
      <c r="AR76" s="24"/>
      <c r="AS76" s="24"/>
      <c r="AT76" s="24"/>
      <c r="AU76" s="24"/>
      <c r="AV76" s="24"/>
      <c r="AW76" s="24"/>
      <c r="AX76" s="24"/>
      <c r="AY76" s="24"/>
      <c r="AZ76" s="24"/>
    </row>
    <row r="77" spans="1:52" s="25" customFormat="1" ht="15" customHeight="1" outlineLevel="2" x14ac:dyDescent="0.45">
      <c r="A77" s="12">
        <v>4509529429</v>
      </c>
      <c r="B77" s="13">
        <v>10</v>
      </c>
      <c r="C77" s="13" t="s">
        <v>372</v>
      </c>
      <c r="D77" s="14"/>
      <c r="E77" s="14"/>
      <c r="F77" s="15" t="s">
        <v>366</v>
      </c>
      <c r="G77" s="15">
        <v>1064</v>
      </c>
      <c r="H77" s="15" t="s">
        <v>5</v>
      </c>
      <c r="I77" s="15" t="s">
        <v>98</v>
      </c>
      <c r="J77" s="14"/>
      <c r="K77" s="14">
        <v>45185</v>
      </c>
      <c r="L77" s="16" t="s">
        <v>373</v>
      </c>
      <c r="M77" s="14">
        <v>45091</v>
      </c>
      <c r="N77" s="17" t="str">
        <f t="shared" si="19"/>
        <v>T3K56</v>
      </c>
      <c r="O77" s="18" t="s">
        <v>368</v>
      </c>
      <c r="P77" s="19" t="s">
        <v>369</v>
      </c>
      <c r="Q77" s="20" t="s">
        <v>625</v>
      </c>
      <c r="R77" s="21" t="s">
        <v>225</v>
      </c>
      <c r="S77" s="22">
        <f t="shared" si="1"/>
        <v>853</v>
      </c>
      <c r="T77" s="22">
        <v>0</v>
      </c>
      <c r="U77" s="22">
        <v>0</v>
      </c>
      <c r="V77" s="22">
        <v>0</v>
      </c>
      <c r="W77" s="23">
        <v>0</v>
      </c>
      <c r="X77" s="23">
        <v>0</v>
      </c>
      <c r="Y77" s="23">
        <v>10</v>
      </c>
      <c r="Z77" s="23">
        <v>19</v>
      </c>
      <c r="AA77" s="23">
        <v>14</v>
      </c>
      <c r="AB77" s="23">
        <v>29</v>
      </c>
      <c r="AC77" s="23">
        <v>62</v>
      </c>
      <c r="AD77" s="23">
        <v>58</v>
      </c>
      <c r="AE77" s="23">
        <v>91</v>
      </c>
      <c r="AF77" s="23">
        <v>115</v>
      </c>
      <c r="AG77" s="23">
        <v>110</v>
      </c>
      <c r="AH77" s="23">
        <v>77</v>
      </c>
      <c r="AI77" s="23">
        <v>67</v>
      </c>
      <c r="AJ77" s="23">
        <v>53</v>
      </c>
      <c r="AK77" s="23">
        <v>62</v>
      </c>
      <c r="AL77" s="24">
        <v>24</v>
      </c>
      <c r="AM77" s="24">
        <v>29</v>
      </c>
      <c r="AN77" s="24">
        <v>0</v>
      </c>
      <c r="AO77" s="24">
        <v>19</v>
      </c>
      <c r="AP77" s="24">
        <v>0</v>
      </c>
      <c r="AQ77" s="24">
        <v>14</v>
      </c>
      <c r="AR77" s="24">
        <v>0</v>
      </c>
      <c r="AS77" s="24">
        <v>0</v>
      </c>
      <c r="AT77" s="24">
        <v>0</v>
      </c>
      <c r="AU77" s="24">
        <v>0</v>
      </c>
      <c r="AV77" s="24">
        <v>0</v>
      </c>
      <c r="AW77" s="24">
        <v>0</v>
      </c>
      <c r="AX77" s="24">
        <v>0</v>
      </c>
      <c r="AY77" s="24"/>
      <c r="AZ77" s="24"/>
    </row>
    <row r="78" spans="1:52" s="25" customFormat="1" ht="15" customHeight="1" outlineLevel="2" x14ac:dyDescent="0.45">
      <c r="A78" s="12">
        <v>4509529429</v>
      </c>
      <c r="B78" s="13">
        <v>20</v>
      </c>
      <c r="C78" s="13" t="s">
        <v>374</v>
      </c>
      <c r="D78" s="14"/>
      <c r="E78" s="14"/>
      <c r="F78" s="15" t="s">
        <v>366</v>
      </c>
      <c r="G78" s="15">
        <v>1064</v>
      </c>
      <c r="H78" s="15" t="s">
        <v>5</v>
      </c>
      <c r="I78" s="15" t="s">
        <v>98</v>
      </c>
      <c r="J78" s="14"/>
      <c r="K78" s="14">
        <v>45192</v>
      </c>
      <c r="L78" s="16" t="s">
        <v>375</v>
      </c>
      <c r="M78" s="14">
        <v>45091</v>
      </c>
      <c r="N78" s="17" t="str">
        <f t="shared" si="19"/>
        <v>T3K56</v>
      </c>
      <c r="O78" s="18" t="s">
        <v>368</v>
      </c>
      <c r="P78" s="19" t="s">
        <v>369</v>
      </c>
      <c r="Q78" s="20" t="s">
        <v>629</v>
      </c>
      <c r="R78" s="21" t="s">
        <v>225</v>
      </c>
      <c r="S78" s="22">
        <f t="shared" si="1"/>
        <v>293</v>
      </c>
      <c r="T78" s="22">
        <v>0</v>
      </c>
      <c r="U78" s="22">
        <v>0</v>
      </c>
      <c r="V78" s="22">
        <v>0</v>
      </c>
      <c r="W78" s="23">
        <v>0</v>
      </c>
      <c r="X78" s="23">
        <v>0</v>
      </c>
      <c r="Y78" s="23">
        <v>0</v>
      </c>
      <c r="Z78" s="23">
        <v>5</v>
      </c>
      <c r="AA78" s="23">
        <v>24</v>
      </c>
      <c r="AB78" s="23">
        <v>10</v>
      </c>
      <c r="AC78" s="23">
        <v>34</v>
      </c>
      <c r="AD78" s="23">
        <v>29</v>
      </c>
      <c r="AE78" s="23">
        <v>14</v>
      </c>
      <c r="AF78" s="23">
        <v>48</v>
      </c>
      <c r="AG78" s="23">
        <v>38</v>
      </c>
      <c r="AH78" s="23">
        <v>14</v>
      </c>
      <c r="AI78" s="23">
        <v>34</v>
      </c>
      <c r="AJ78" s="23">
        <v>14</v>
      </c>
      <c r="AK78" s="23">
        <v>24</v>
      </c>
      <c r="AL78" s="24">
        <v>5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/>
      <c r="AZ78" s="24"/>
    </row>
    <row r="79" spans="1:52" s="25" customFormat="1" ht="15" customHeight="1" outlineLevel="2" x14ac:dyDescent="0.45">
      <c r="A79" s="12">
        <v>3503404818</v>
      </c>
      <c r="B79" s="13">
        <v>10</v>
      </c>
      <c r="C79" s="13" t="s">
        <v>376</v>
      </c>
      <c r="D79" s="14"/>
      <c r="E79" s="14"/>
      <c r="F79" s="15" t="s">
        <v>366</v>
      </c>
      <c r="G79" s="15">
        <v>1041</v>
      </c>
      <c r="H79" s="15" t="s">
        <v>221</v>
      </c>
      <c r="I79" s="15" t="s">
        <v>98</v>
      </c>
      <c r="J79" s="14"/>
      <c r="K79" s="14">
        <v>45185</v>
      </c>
      <c r="L79" s="16" t="s">
        <v>377</v>
      </c>
      <c r="M79" s="14">
        <v>45091</v>
      </c>
      <c r="N79" s="17" t="str">
        <f t="shared" si="19"/>
        <v>T3K56</v>
      </c>
      <c r="O79" s="18" t="s">
        <v>368</v>
      </c>
      <c r="P79" s="19" t="s">
        <v>369</v>
      </c>
      <c r="Q79" s="20" t="s">
        <v>102</v>
      </c>
      <c r="R79" s="21" t="s">
        <v>225</v>
      </c>
      <c r="S79" s="22">
        <f t="shared" si="1"/>
        <v>864</v>
      </c>
      <c r="T79" s="22"/>
      <c r="U79" s="22"/>
      <c r="V79" s="22"/>
      <c r="W79" s="23"/>
      <c r="X79" s="23"/>
      <c r="Y79" s="23"/>
      <c r="Z79" s="23"/>
      <c r="AA79" s="23">
        <v>48</v>
      </c>
      <c r="AB79" s="23">
        <v>48</v>
      </c>
      <c r="AC79" s="23">
        <v>72</v>
      </c>
      <c r="AD79" s="23">
        <v>78</v>
      </c>
      <c r="AE79" s="23">
        <v>144</v>
      </c>
      <c r="AF79" s="23">
        <v>96</v>
      </c>
      <c r="AG79" s="23">
        <v>144</v>
      </c>
      <c r="AH79" s="23">
        <v>78</v>
      </c>
      <c r="AI79" s="23">
        <v>84</v>
      </c>
      <c r="AJ79" s="23"/>
      <c r="AK79" s="23">
        <v>66</v>
      </c>
      <c r="AL79" s="24"/>
      <c r="AM79" s="24">
        <v>6</v>
      </c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</row>
    <row r="80" spans="1:52" s="25" customFormat="1" ht="15" customHeight="1" outlineLevel="2" x14ac:dyDescent="0.45">
      <c r="A80" s="12">
        <v>3503403926</v>
      </c>
      <c r="B80" s="13">
        <v>10</v>
      </c>
      <c r="C80" s="13" t="s">
        <v>378</v>
      </c>
      <c r="D80" s="14"/>
      <c r="E80" s="14"/>
      <c r="F80" s="15" t="s">
        <v>366</v>
      </c>
      <c r="G80" s="15">
        <v>1089</v>
      </c>
      <c r="H80" s="15" t="s">
        <v>239</v>
      </c>
      <c r="I80" s="15" t="s">
        <v>98</v>
      </c>
      <c r="J80" s="14"/>
      <c r="K80" s="14">
        <v>45185</v>
      </c>
      <c r="L80" s="16" t="s">
        <v>379</v>
      </c>
      <c r="M80" s="14">
        <v>45091</v>
      </c>
      <c r="N80" s="17" t="str">
        <f t="shared" si="19"/>
        <v>T3K56</v>
      </c>
      <c r="O80" s="18" t="s">
        <v>368</v>
      </c>
      <c r="P80" s="19" t="s">
        <v>369</v>
      </c>
      <c r="Q80" s="20" t="s">
        <v>102</v>
      </c>
      <c r="R80" s="21" t="s">
        <v>225</v>
      </c>
      <c r="S80" s="22">
        <f t="shared" si="1"/>
        <v>276</v>
      </c>
      <c r="T80" s="22"/>
      <c r="U80" s="22"/>
      <c r="V80" s="22"/>
      <c r="W80" s="23"/>
      <c r="X80" s="23"/>
      <c r="Y80" s="23"/>
      <c r="Z80" s="23"/>
      <c r="AA80" s="23">
        <v>18</v>
      </c>
      <c r="AB80" s="23"/>
      <c r="AC80" s="23">
        <v>36</v>
      </c>
      <c r="AD80" s="23"/>
      <c r="AE80" s="23">
        <v>78</v>
      </c>
      <c r="AF80" s="23"/>
      <c r="AG80" s="23">
        <v>78</v>
      </c>
      <c r="AH80" s="23"/>
      <c r="AI80" s="23">
        <v>42</v>
      </c>
      <c r="AJ80" s="23"/>
      <c r="AK80" s="23">
        <v>24</v>
      </c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</row>
    <row r="81" spans="1:52" s="25" customFormat="1" ht="15" customHeight="1" outlineLevel="2" x14ac:dyDescent="0.45">
      <c r="A81" s="12">
        <v>4509528945</v>
      </c>
      <c r="B81" s="13">
        <v>10</v>
      </c>
      <c r="C81" s="13" t="s">
        <v>380</v>
      </c>
      <c r="D81" s="14"/>
      <c r="E81" s="14"/>
      <c r="F81" s="15" t="s">
        <v>366</v>
      </c>
      <c r="G81" s="15">
        <v>1098</v>
      </c>
      <c r="H81" s="15" t="s">
        <v>381</v>
      </c>
      <c r="I81" s="15" t="s">
        <v>98</v>
      </c>
      <c r="J81" s="14"/>
      <c r="K81" s="14">
        <v>45185</v>
      </c>
      <c r="L81" s="16" t="s">
        <v>382</v>
      </c>
      <c r="M81" s="14">
        <v>45091</v>
      </c>
      <c r="N81" s="17" t="str">
        <f t="shared" si="19"/>
        <v>T3K56</v>
      </c>
      <c r="O81" s="18" t="s">
        <v>368</v>
      </c>
      <c r="P81" s="19" t="s">
        <v>369</v>
      </c>
      <c r="Q81" s="20" t="s">
        <v>102</v>
      </c>
      <c r="R81" s="21" t="s">
        <v>225</v>
      </c>
      <c r="S81" s="22">
        <f t="shared" si="1"/>
        <v>336</v>
      </c>
      <c r="T81" s="22"/>
      <c r="U81" s="22"/>
      <c r="V81" s="22"/>
      <c r="W81" s="23"/>
      <c r="X81" s="23"/>
      <c r="Y81" s="23"/>
      <c r="Z81" s="23"/>
      <c r="AA81" s="23">
        <v>36</v>
      </c>
      <c r="AB81" s="23"/>
      <c r="AC81" s="23">
        <v>72</v>
      </c>
      <c r="AD81" s="23"/>
      <c r="AE81" s="23">
        <v>96</v>
      </c>
      <c r="AF81" s="23"/>
      <c r="AG81" s="23">
        <v>84</v>
      </c>
      <c r="AH81" s="23"/>
      <c r="AI81" s="23">
        <v>48</v>
      </c>
      <c r="AJ81" s="23"/>
      <c r="AK81" s="23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spans="1:52" s="25" customFormat="1" ht="15" customHeight="1" outlineLevel="2" x14ac:dyDescent="0.45">
      <c r="A82" s="12">
        <v>3503405035</v>
      </c>
      <c r="B82" s="13">
        <v>10</v>
      </c>
      <c r="C82" s="13" t="s">
        <v>383</v>
      </c>
      <c r="D82" s="14"/>
      <c r="E82" s="14"/>
      <c r="F82" s="15" t="s">
        <v>366</v>
      </c>
      <c r="G82" s="15">
        <v>1038</v>
      </c>
      <c r="H82" s="15" t="s">
        <v>234</v>
      </c>
      <c r="I82" s="15" t="s">
        <v>98</v>
      </c>
      <c r="J82" s="14"/>
      <c r="K82" s="14">
        <v>45192</v>
      </c>
      <c r="L82" s="16" t="s">
        <v>384</v>
      </c>
      <c r="M82" s="14">
        <v>45091</v>
      </c>
      <c r="N82" s="17" t="str">
        <f t="shared" si="19"/>
        <v>T3K56</v>
      </c>
      <c r="O82" s="18" t="s">
        <v>368</v>
      </c>
      <c r="P82" s="19" t="s">
        <v>369</v>
      </c>
      <c r="Q82" s="20" t="s">
        <v>102</v>
      </c>
      <c r="R82" s="21" t="s">
        <v>225</v>
      </c>
      <c r="S82" s="22">
        <f t="shared" si="1"/>
        <v>228</v>
      </c>
      <c r="T82" s="22"/>
      <c r="U82" s="22"/>
      <c r="V82" s="22"/>
      <c r="W82" s="23"/>
      <c r="X82" s="23"/>
      <c r="Y82" s="23"/>
      <c r="Z82" s="23"/>
      <c r="AA82" s="23">
        <v>12</v>
      </c>
      <c r="AB82" s="23"/>
      <c r="AC82" s="23">
        <v>36</v>
      </c>
      <c r="AD82" s="23">
        <v>12</v>
      </c>
      <c r="AE82" s="23">
        <v>54</v>
      </c>
      <c r="AF82" s="23">
        <v>24</v>
      </c>
      <c r="AG82" s="23">
        <v>42</v>
      </c>
      <c r="AH82" s="23"/>
      <c r="AI82" s="23">
        <v>24</v>
      </c>
      <c r="AJ82" s="23"/>
      <c r="AK82" s="23">
        <v>18</v>
      </c>
      <c r="AL82" s="24"/>
      <c r="AM82" s="24">
        <v>6</v>
      </c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</row>
    <row r="83" spans="1:52" s="25" customFormat="1" ht="15" customHeight="1" outlineLevel="2" x14ac:dyDescent="0.45">
      <c r="A83" s="12">
        <v>3503404818</v>
      </c>
      <c r="B83" s="13">
        <v>20</v>
      </c>
      <c r="C83" s="13" t="s">
        <v>385</v>
      </c>
      <c r="D83" s="14"/>
      <c r="E83" s="14"/>
      <c r="F83" s="15" t="s">
        <v>366</v>
      </c>
      <c r="G83" s="15">
        <v>1041</v>
      </c>
      <c r="H83" s="15" t="s">
        <v>221</v>
      </c>
      <c r="I83" s="15" t="s">
        <v>98</v>
      </c>
      <c r="J83" s="14"/>
      <c r="K83" s="14">
        <v>45192</v>
      </c>
      <c r="L83" s="16" t="s">
        <v>386</v>
      </c>
      <c r="M83" s="14">
        <v>45091</v>
      </c>
      <c r="N83" s="17" t="str">
        <f t="shared" si="19"/>
        <v>T3K56</v>
      </c>
      <c r="O83" s="18" t="s">
        <v>368</v>
      </c>
      <c r="P83" s="19" t="s">
        <v>369</v>
      </c>
      <c r="Q83" s="20" t="s">
        <v>102</v>
      </c>
      <c r="R83" s="21" t="s">
        <v>225</v>
      </c>
      <c r="S83" s="22">
        <f t="shared" si="1"/>
        <v>498</v>
      </c>
      <c r="T83" s="22"/>
      <c r="U83" s="22"/>
      <c r="V83" s="22"/>
      <c r="W83" s="23"/>
      <c r="X83" s="23"/>
      <c r="Y83" s="23"/>
      <c r="Z83" s="23">
        <v>6</v>
      </c>
      <c r="AA83" s="23">
        <v>18</v>
      </c>
      <c r="AB83" s="23">
        <v>24</v>
      </c>
      <c r="AC83" s="23">
        <v>60</v>
      </c>
      <c r="AD83" s="23">
        <v>60</v>
      </c>
      <c r="AE83" s="23">
        <v>78</v>
      </c>
      <c r="AF83" s="23">
        <v>78</v>
      </c>
      <c r="AG83" s="23">
        <v>72</v>
      </c>
      <c r="AH83" s="23">
        <v>42</v>
      </c>
      <c r="AI83" s="23">
        <v>36</v>
      </c>
      <c r="AJ83" s="23">
        <v>6</v>
      </c>
      <c r="AK83" s="23">
        <v>18</v>
      </c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</row>
    <row r="84" spans="1:52" s="25" customFormat="1" ht="15" customHeight="1" outlineLevel="2" x14ac:dyDescent="0.45">
      <c r="A84" s="12">
        <v>4509530099</v>
      </c>
      <c r="B84" s="13">
        <v>10</v>
      </c>
      <c r="C84" s="13" t="s">
        <v>387</v>
      </c>
      <c r="D84" s="14"/>
      <c r="E84" s="14"/>
      <c r="F84" s="15" t="s">
        <v>366</v>
      </c>
      <c r="G84" s="15">
        <v>4991992</v>
      </c>
      <c r="H84" s="15" t="s">
        <v>348</v>
      </c>
      <c r="I84" s="15" t="s">
        <v>98</v>
      </c>
      <c r="J84" s="14"/>
      <c r="K84" s="14">
        <v>45192</v>
      </c>
      <c r="L84" s="16" t="s">
        <v>388</v>
      </c>
      <c r="M84" s="14">
        <v>45091</v>
      </c>
      <c r="N84" s="17" t="str">
        <f t="shared" si="19"/>
        <v>T3K56</v>
      </c>
      <c r="O84" s="18" t="s">
        <v>368</v>
      </c>
      <c r="P84" s="19" t="s">
        <v>369</v>
      </c>
      <c r="Q84" s="20" t="s">
        <v>102</v>
      </c>
      <c r="R84" s="21" t="s">
        <v>225</v>
      </c>
      <c r="S84" s="22">
        <f t="shared" si="1"/>
        <v>426</v>
      </c>
      <c r="T84" s="22"/>
      <c r="U84" s="22"/>
      <c r="V84" s="22"/>
      <c r="W84" s="23"/>
      <c r="X84" s="23"/>
      <c r="Y84" s="23"/>
      <c r="Z84" s="23"/>
      <c r="AA84" s="23">
        <v>6</v>
      </c>
      <c r="AB84" s="23">
        <v>6</v>
      </c>
      <c r="AC84" s="23">
        <v>30</v>
      </c>
      <c r="AD84" s="23">
        <v>30</v>
      </c>
      <c r="AE84" s="23">
        <v>54</v>
      </c>
      <c r="AF84" s="23">
        <v>78</v>
      </c>
      <c r="AG84" s="23">
        <v>60</v>
      </c>
      <c r="AH84" s="23">
        <v>60</v>
      </c>
      <c r="AI84" s="23">
        <v>54</v>
      </c>
      <c r="AJ84" s="23">
        <v>18</v>
      </c>
      <c r="AK84" s="23">
        <v>18</v>
      </c>
      <c r="AL84" s="24">
        <v>6</v>
      </c>
      <c r="AM84" s="24">
        <v>6</v>
      </c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</row>
    <row r="85" spans="1:52" s="25" customFormat="1" ht="15" customHeight="1" outlineLevel="2" x14ac:dyDescent="0.45">
      <c r="A85" s="12">
        <v>4509529429</v>
      </c>
      <c r="B85" s="13">
        <v>30</v>
      </c>
      <c r="C85" s="13" t="s">
        <v>622</v>
      </c>
      <c r="D85" s="14"/>
      <c r="E85" s="14"/>
      <c r="F85" s="15" t="s">
        <v>366</v>
      </c>
      <c r="G85" s="15">
        <v>1064</v>
      </c>
      <c r="H85" s="15" t="s">
        <v>5</v>
      </c>
      <c r="I85" s="15" t="s">
        <v>98</v>
      </c>
      <c r="J85" s="14"/>
      <c r="K85" s="14">
        <v>45185</v>
      </c>
      <c r="L85" s="16" t="s">
        <v>623</v>
      </c>
      <c r="M85" s="14">
        <v>45091</v>
      </c>
      <c r="N85" s="17" t="str">
        <f t="shared" ref="N85:N86" si="20">+LEFT(L85,5)</f>
        <v>T3K56</v>
      </c>
      <c r="O85" s="18" t="s">
        <v>368</v>
      </c>
      <c r="P85" s="19" t="s">
        <v>369</v>
      </c>
      <c r="Q85" s="20" t="s">
        <v>624</v>
      </c>
      <c r="R85" s="21" t="s">
        <v>225</v>
      </c>
      <c r="S85" s="22">
        <f t="shared" ref="S85:S86" si="21">SUM(T85:AZ85)</f>
        <v>215</v>
      </c>
      <c r="T85" s="22"/>
      <c r="U85" s="22"/>
      <c r="V85" s="22"/>
      <c r="W85" s="23"/>
      <c r="X85" s="23"/>
      <c r="Y85" s="23">
        <v>2</v>
      </c>
      <c r="Z85" s="23">
        <v>5</v>
      </c>
      <c r="AA85" s="23">
        <v>4</v>
      </c>
      <c r="AB85" s="23">
        <v>7</v>
      </c>
      <c r="AC85" s="23">
        <v>16</v>
      </c>
      <c r="AD85" s="23">
        <v>14</v>
      </c>
      <c r="AE85" s="23">
        <v>23</v>
      </c>
      <c r="AF85" s="23">
        <v>29</v>
      </c>
      <c r="AG85" s="23">
        <v>28</v>
      </c>
      <c r="AH85" s="23">
        <v>19</v>
      </c>
      <c r="AI85" s="23">
        <v>17</v>
      </c>
      <c r="AJ85" s="23">
        <v>13</v>
      </c>
      <c r="AK85" s="23">
        <v>16</v>
      </c>
      <c r="AL85" s="24">
        <v>6</v>
      </c>
      <c r="AM85" s="24">
        <v>7</v>
      </c>
      <c r="AN85" s="24"/>
      <c r="AO85" s="24">
        <v>5</v>
      </c>
      <c r="AP85" s="24"/>
      <c r="AQ85" s="24">
        <v>4</v>
      </c>
      <c r="AR85" s="24"/>
      <c r="AS85" s="24"/>
      <c r="AT85" s="24"/>
      <c r="AU85" s="24"/>
      <c r="AV85" s="24"/>
      <c r="AW85" s="24"/>
      <c r="AX85" s="24"/>
      <c r="AY85" s="24"/>
      <c r="AZ85" s="24"/>
    </row>
    <row r="86" spans="1:52" s="25" customFormat="1" ht="15" customHeight="1" outlineLevel="2" x14ac:dyDescent="0.45">
      <c r="A86" s="12">
        <v>4509529429</v>
      </c>
      <c r="B86" s="13">
        <v>40</v>
      </c>
      <c r="C86" s="13" t="s">
        <v>626</v>
      </c>
      <c r="D86" s="14"/>
      <c r="E86" s="14"/>
      <c r="F86" s="15" t="s">
        <v>366</v>
      </c>
      <c r="G86" s="15">
        <v>1064</v>
      </c>
      <c r="H86" s="15" t="s">
        <v>5</v>
      </c>
      <c r="I86" s="15" t="s">
        <v>98</v>
      </c>
      <c r="J86" s="14"/>
      <c r="K86" s="14">
        <v>45192</v>
      </c>
      <c r="L86" s="16" t="s">
        <v>627</v>
      </c>
      <c r="M86" s="14">
        <v>45091</v>
      </c>
      <c r="N86" s="17" t="str">
        <f t="shared" si="20"/>
        <v>T3K56</v>
      </c>
      <c r="O86" s="18" t="s">
        <v>368</v>
      </c>
      <c r="P86" s="19" t="s">
        <v>369</v>
      </c>
      <c r="Q86" s="20" t="s">
        <v>628</v>
      </c>
      <c r="R86" s="21" t="s">
        <v>225</v>
      </c>
      <c r="S86" s="22">
        <f t="shared" si="21"/>
        <v>73</v>
      </c>
      <c r="T86" s="22"/>
      <c r="U86" s="22"/>
      <c r="V86" s="22"/>
      <c r="W86" s="23"/>
      <c r="X86" s="23"/>
      <c r="Y86" s="23"/>
      <c r="Z86" s="23">
        <v>1</v>
      </c>
      <c r="AA86" s="23">
        <v>6</v>
      </c>
      <c r="AB86" s="23">
        <v>2</v>
      </c>
      <c r="AC86" s="23">
        <v>8</v>
      </c>
      <c r="AD86" s="23">
        <v>7</v>
      </c>
      <c r="AE86" s="23">
        <v>4</v>
      </c>
      <c r="AF86" s="23">
        <v>12</v>
      </c>
      <c r="AG86" s="23">
        <v>10</v>
      </c>
      <c r="AH86" s="23">
        <v>4</v>
      </c>
      <c r="AI86" s="23">
        <v>8</v>
      </c>
      <c r="AJ86" s="23">
        <v>4</v>
      </c>
      <c r="AK86" s="23">
        <v>6</v>
      </c>
      <c r="AL86" s="24">
        <v>1</v>
      </c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</row>
    <row r="87" spans="1:52" s="26" customFormat="1" ht="15" customHeight="1" outlineLevel="1" x14ac:dyDescent="0.45">
      <c r="A87" s="38"/>
      <c r="B87" s="39"/>
      <c r="C87" s="39"/>
      <c r="D87" s="40"/>
      <c r="E87" s="40"/>
      <c r="F87" s="16"/>
      <c r="G87" s="16"/>
      <c r="H87" s="16"/>
      <c r="I87" s="16"/>
      <c r="J87" s="40"/>
      <c r="K87" s="40"/>
      <c r="L87" s="16"/>
      <c r="M87" s="40"/>
      <c r="N87" s="41" t="s">
        <v>389</v>
      </c>
      <c r="O87" s="42"/>
      <c r="P87" s="43"/>
      <c r="Q87" s="44"/>
      <c r="R87" s="45"/>
      <c r="S87" s="46">
        <f>SUBTOTAL(9,S75:S86)</f>
        <v>4356</v>
      </c>
      <c r="T87" s="46">
        <f t="shared" ref="T87:AZ87" si="22">SUBTOTAL(9,T75:T86)</f>
        <v>0</v>
      </c>
      <c r="U87" s="46">
        <f t="shared" si="22"/>
        <v>0</v>
      </c>
      <c r="V87" s="46">
        <f t="shared" si="22"/>
        <v>0</v>
      </c>
      <c r="W87" s="46">
        <f t="shared" si="22"/>
        <v>0</v>
      </c>
      <c r="X87" s="46">
        <f t="shared" si="22"/>
        <v>0</v>
      </c>
      <c r="Y87" s="46">
        <f t="shared" si="22"/>
        <v>12</v>
      </c>
      <c r="Z87" s="46">
        <f t="shared" si="22"/>
        <v>36</v>
      </c>
      <c r="AA87" s="46">
        <f t="shared" si="22"/>
        <v>192</v>
      </c>
      <c r="AB87" s="46">
        <f t="shared" si="22"/>
        <v>132</v>
      </c>
      <c r="AC87" s="46">
        <f t="shared" si="22"/>
        <v>432</v>
      </c>
      <c r="AD87" s="46">
        <f t="shared" si="22"/>
        <v>306</v>
      </c>
      <c r="AE87" s="46">
        <f t="shared" si="22"/>
        <v>660</v>
      </c>
      <c r="AF87" s="46">
        <f t="shared" si="22"/>
        <v>510</v>
      </c>
      <c r="AG87" s="46">
        <f t="shared" si="22"/>
        <v>702</v>
      </c>
      <c r="AH87" s="46">
        <f t="shared" si="22"/>
        <v>336</v>
      </c>
      <c r="AI87" s="46">
        <f t="shared" si="22"/>
        <v>444</v>
      </c>
      <c r="AJ87" s="46">
        <f t="shared" si="22"/>
        <v>132</v>
      </c>
      <c r="AK87" s="46">
        <f t="shared" si="22"/>
        <v>282</v>
      </c>
      <c r="AL87" s="46">
        <f t="shared" si="22"/>
        <v>42</v>
      </c>
      <c r="AM87" s="46">
        <f t="shared" si="22"/>
        <v>84</v>
      </c>
      <c r="AN87" s="46">
        <f t="shared" si="22"/>
        <v>0</v>
      </c>
      <c r="AO87" s="46">
        <f t="shared" si="22"/>
        <v>30</v>
      </c>
      <c r="AP87" s="46">
        <f t="shared" si="22"/>
        <v>0</v>
      </c>
      <c r="AQ87" s="46">
        <f t="shared" si="22"/>
        <v>24</v>
      </c>
      <c r="AR87" s="46">
        <f t="shared" si="22"/>
        <v>0</v>
      </c>
      <c r="AS87" s="46">
        <f t="shared" si="22"/>
        <v>0</v>
      </c>
      <c r="AT87" s="46">
        <f t="shared" si="22"/>
        <v>0</v>
      </c>
      <c r="AU87" s="46">
        <f t="shared" si="22"/>
        <v>0</v>
      </c>
      <c r="AV87" s="46">
        <f t="shared" si="22"/>
        <v>0</v>
      </c>
      <c r="AW87" s="46">
        <f t="shared" si="22"/>
        <v>0</v>
      </c>
      <c r="AX87" s="46">
        <f t="shared" si="22"/>
        <v>0</v>
      </c>
      <c r="AY87" s="46">
        <f t="shared" si="22"/>
        <v>0</v>
      </c>
      <c r="AZ87" s="46">
        <f t="shared" si="22"/>
        <v>0</v>
      </c>
    </row>
    <row r="88" spans="1:52" s="25" customFormat="1" ht="15" customHeight="1" outlineLevel="2" x14ac:dyDescent="0.45">
      <c r="A88" s="12">
        <v>3503405152</v>
      </c>
      <c r="B88" s="13">
        <v>10</v>
      </c>
      <c r="C88" s="13" t="s">
        <v>390</v>
      </c>
      <c r="D88" s="14"/>
      <c r="E88" s="14"/>
      <c r="F88" s="15" t="s">
        <v>366</v>
      </c>
      <c r="G88" s="15">
        <v>1083</v>
      </c>
      <c r="H88" s="15" t="s">
        <v>105</v>
      </c>
      <c r="I88" s="15" t="s">
        <v>98</v>
      </c>
      <c r="J88" s="14"/>
      <c r="K88" s="14">
        <v>45185</v>
      </c>
      <c r="L88" s="16" t="s">
        <v>391</v>
      </c>
      <c r="M88" s="14">
        <v>45091</v>
      </c>
      <c r="N88" s="17" t="str">
        <f t="shared" ref="N88:N94" si="23">+LEFT(L88,5)</f>
        <v>T3K57</v>
      </c>
      <c r="O88" s="18" t="s">
        <v>392</v>
      </c>
      <c r="P88" s="19" t="s">
        <v>393</v>
      </c>
      <c r="Q88" s="20" t="s">
        <v>102</v>
      </c>
      <c r="R88" s="21" t="s">
        <v>6</v>
      </c>
      <c r="S88" s="22">
        <f t="shared" si="1"/>
        <v>1776</v>
      </c>
      <c r="T88" s="22"/>
      <c r="U88" s="22"/>
      <c r="V88" s="22"/>
      <c r="W88" s="23"/>
      <c r="X88" s="23">
        <v>180</v>
      </c>
      <c r="Y88" s="23">
        <v>270</v>
      </c>
      <c r="Z88" s="23">
        <v>342</v>
      </c>
      <c r="AA88" s="23">
        <v>366</v>
      </c>
      <c r="AB88" s="23">
        <v>342</v>
      </c>
      <c r="AC88" s="23">
        <v>264</v>
      </c>
      <c r="AD88" s="23">
        <v>6</v>
      </c>
      <c r="AE88" s="23">
        <v>6</v>
      </c>
      <c r="AF88" s="23"/>
      <c r="AG88" s="23"/>
      <c r="AH88" s="23"/>
      <c r="AI88" s="23"/>
      <c r="AJ88" s="23"/>
      <c r="AK88" s="23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spans="1:52" s="25" customFormat="1" ht="15" customHeight="1" outlineLevel="2" x14ac:dyDescent="0.45">
      <c r="A89" s="12">
        <v>4509529437</v>
      </c>
      <c r="B89" s="13">
        <v>10</v>
      </c>
      <c r="C89" s="13" t="s">
        <v>394</v>
      </c>
      <c r="D89" s="14"/>
      <c r="E89" s="14"/>
      <c r="F89" s="15" t="s">
        <v>366</v>
      </c>
      <c r="G89" s="15">
        <v>1064</v>
      </c>
      <c r="H89" s="15" t="s">
        <v>5</v>
      </c>
      <c r="I89" s="15" t="s">
        <v>98</v>
      </c>
      <c r="J89" s="14"/>
      <c r="K89" s="14">
        <v>45185</v>
      </c>
      <c r="L89" s="16" t="s">
        <v>395</v>
      </c>
      <c r="M89" s="14">
        <v>45091</v>
      </c>
      <c r="N89" s="17" t="str">
        <f t="shared" si="23"/>
        <v>T3K57</v>
      </c>
      <c r="O89" s="18" t="s">
        <v>392</v>
      </c>
      <c r="P89" s="19" t="s">
        <v>393</v>
      </c>
      <c r="Q89" s="20" t="s">
        <v>633</v>
      </c>
      <c r="R89" s="21" t="s">
        <v>6</v>
      </c>
      <c r="S89" s="22">
        <f t="shared" si="1"/>
        <v>499</v>
      </c>
      <c r="T89" s="22">
        <v>0</v>
      </c>
      <c r="U89" s="22">
        <v>0</v>
      </c>
      <c r="V89" s="22">
        <v>0</v>
      </c>
      <c r="W89" s="23">
        <v>14</v>
      </c>
      <c r="X89" s="23">
        <v>24</v>
      </c>
      <c r="Y89" s="23">
        <v>43</v>
      </c>
      <c r="Z89" s="23">
        <v>67</v>
      </c>
      <c r="AA89" s="23">
        <v>77</v>
      </c>
      <c r="AB89" s="23">
        <v>77</v>
      </c>
      <c r="AC89" s="23">
        <v>62</v>
      </c>
      <c r="AD89" s="23">
        <v>43</v>
      </c>
      <c r="AE89" s="23">
        <v>29</v>
      </c>
      <c r="AF89" s="23">
        <v>38</v>
      </c>
      <c r="AG89" s="23">
        <v>10</v>
      </c>
      <c r="AH89" s="23">
        <v>5</v>
      </c>
      <c r="AI89" s="23">
        <v>5</v>
      </c>
      <c r="AJ89" s="23">
        <v>5</v>
      </c>
      <c r="AK89" s="23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0</v>
      </c>
      <c r="AV89" s="24">
        <v>0</v>
      </c>
      <c r="AW89" s="24">
        <v>0</v>
      </c>
      <c r="AX89" s="24">
        <v>0</v>
      </c>
      <c r="AY89" s="24"/>
      <c r="AZ89" s="24"/>
    </row>
    <row r="90" spans="1:52" s="25" customFormat="1" ht="15" customHeight="1" outlineLevel="2" x14ac:dyDescent="0.45">
      <c r="A90" s="12">
        <v>4509530100</v>
      </c>
      <c r="B90" s="13">
        <v>10</v>
      </c>
      <c r="C90" s="13" t="s">
        <v>396</v>
      </c>
      <c r="D90" s="14"/>
      <c r="E90" s="14"/>
      <c r="F90" s="15" t="s">
        <v>366</v>
      </c>
      <c r="G90" s="15">
        <v>4992000</v>
      </c>
      <c r="H90" s="15" t="s">
        <v>111</v>
      </c>
      <c r="I90" s="15" t="s">
        <v>98</v>
      </c>
      <c r="J90" s="14"/>
      <c r="K90" s="14">
        <v>45185</v>
      </c>
      <c r="L90" s="16" t="s">
        <v>397</v>
      </c>
      <c r="M90" s="14">
        <v>45091</v>
      </c>
      <c r="N90" s="17" t="str">
        <f t="shared" si="23"/>
        <v>T3K57</v>
      </c>
      <c r="O90" s="18" t="s">
        <v>392</v>
      </c>
      <c r="P90" s="19" t="s">
        <v>393</v>
      </c>
      <c r="Q90" s="20" t="s">
        <v>102</v>
      </c>
      <c r="R90" s="21" t="s">
        <v>6</v>
      </c>
      <c r="S90" s="22">
        <f t="shared" ref="S90:S166" si="24">SUM(T90:AZ90)</f>
        <v>480</v>
      </c>
      <c r="T90" s="22"/>
      <c r="U90" s="22"/>
      <c r="V90" s="22"/>
      <c r="W90" s="23"/>
      <c r="X90" s="23"/>
      <c r="Y90" s="23"/>
      <c r="Z90" s="23"/>
      <c r="AA90" s="23"/>
      <c r="AB90" s="23"/>
      <c r="AC90" s="23">
        <v>160</v>
      </c>
      <c r="AD90" s="23">
        <v>160</v>
      </c>
      <c r="AE90" s="23">
        <v>80</v>
      </c>
      <c r="AF90" s="23"/>
      <c r="AG90" s="23">
        <v>80</v>
      </c>
      <c r="AH90" s="23"/>
      <c r="AI90" s="23"/>
      <c r="AJ90" s="23"/>
      <c r="AK90" s="23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spans="1:52" s="25" customFormat="1" ht="15" customHeight="1" outlineLevel="2" x14ac:dyDescent="0.45">
      <c r="A91" s="12">
        <v>4509530100</v>
      </c>
      <c r="B91" s="13">
        <v>20</v>
      </c>
      <c r="C91" s="13" t="s">
        <v>398</v>
      </c>
      <c r="D91" s="14"/>
      <c r="E91" s="14"/>
      <c r="F91" s="15" t="s">
        <v>366</v>
      </c>
      <c r="G91" s="15">
        <v>4992000</v>
      </c>
      <c r="H91" s="15" t="s">
        <v>111</v>
      </c>
      <c r="I91" s="15" t="s">
        <v>98</v>
      </c>
      <c r="J91" s="14"/>
      <c r="K91" s="14">
        <v>45185</v>
      </c>
      <c r="L91" s="16" t="s">
        <v>399</v>
      </c>
      <c r="M91" s="14">
        <v>45091</v>
      </c>
      <c r="N91" s="17" t="str">
        <f t="shared" si="23"/>
        <v>T3K57</v>
      </c>
      <c r="O91" s="18" t="s">
        <v>392</v>
      </c>
      <c r="P91" s="19" t="s">
        <v>393</v>
      </c>
      <c r="Q91" s="20" t="s">
        <v>102</v>
      </c>
      <c r="R91" s="21" t="s">
        <v>6</v>
      </c>
      <c r="S91" s="22">
        <f t="shared" si="24"/>
        <v>288</v>
      </c>
      <c r="T91" s="22"/>
      <c r="U91" s="22"/>
      <c r="V91" s="22"/>
      <c r="W91" s="23"/>
      <c r="X91" s="23"/>
      <c r="Y91" s="23"/>
      <c r="Z91" s="23"/>
      <c r="AA91" s="23">
        <v>96</v>
      </c>
      <c r="AB91" s="23">
        <v>96</v>
      </c>
      <c r="AC91" s="23">
        <v>96</v>
      </c>
      <c r="AD91" s="23"/>
      <c r="AE91" s="23"/>
      <c r="AF91" s="23"/>
      <c r="AG91" s="23"/>
      <c r="AH91" s="23"/>
      <c r="AI91" s="23"/>
      <c r="AJ91" s="23"/>
      <c r="AK91" s="23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</row>
    <row r="92" spans="1:52" s="25" customFormat="1" ht="15" customHeight="1" outlineLevel="2" x14ac:dyDescent="0.45">
      <c r="A92" s="12">
        <v>4509530100</v>
      </c>
      <c r="B92" s="13">
        <v>30</v>
      </c>
      <c r="C92" s="13" t="s">
        <v>400</v>
      </c>
      <c r="D92" s="14"/>
      <c r="E92" s="14"/>
      <c r="F92" s="15" t="s">
        <v>366</v>
      </c>
      <c r="G92" s="15">
        <v>4992000</v>
      </c>
      <c r="H92" s="15" t="s">
        <v>111</v>
      </c>
      <c r="I92" s="15" t="s">
        <v>98</v>
      </c>
      <c r="J92" s="14"/>
      <c r="K92" s="14">
        <v>45185</v>
      </c>
      <c r="L92" s="16" t="s">
        <v>401</v>
      </c>
      <c r="M92" s="14">
        <v>45091</v>
      </c>
      <c r="N92" s="17" t="str">
        <f t="shared" si="23"/>
        <v>T3K57</v>
      </c>
      <c r="O92" s="18" t="s">
        <v>392</v>
      </c>
      <c r="P92" s="19" t="s">
        <v>393</v>
      </c>
      <c r="Q92" s="20" t="s">
        <v>102</v>
      </c>
      <c r="R92" s="21" t="s">
        <v>6</v>
      </c>
      <c r="S92" s="22">
        <f t="shared" si="24"/>
        <v>660</v>
      </c>
      <c r="T92" s="22"/>
      <c r="U92" s="22"/>
      <c r="V92" s="22"/>
      <c r="W92" s="23"/>
      <c r="X92" s="23"/>
      <c r="Y92" s="23">
        <v>110</v>
      </c>
      <c r="Z92" s="23">
        <v>110</v>
      </c>
      <c r="AA92" s="23">
        <v>220</v>
      </c>
      <c r="AB92" s="23">
        <v>220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spans="1:52" s="25" customFormat="1" ht="15" customHeight="1" outlineLevel="2" x14ac:dyDescent="0.45">
      <c r="A93" s="12">
        <v>4509530103</v>
      </c>
      <c r="B93" s="13">
        <v>10</v>
      </c>
      <c r="C93" s="13" t="s">
        <v>402</v>
      </c>
      <c r="D93" s="14"/>
      <c r="E93" s="14"/>
      <c r="F93" s="15" t="s">
        <v>366</v>
      </c>
      <c r="G93" s="15">
        <v>4992118</v>
      </c>
      <c r="H93" s="15" t="s">
        <v>403</v>
      </c>
      <c r="I93" s="15" t="s">
        <v>98</v>
      </c>
      <c r="J93" s="14"/>
      <c r="K93" s="14">
        <v>45185</v>
      </c>
      <c r="L93" s="16" t="s">
        <v>404</v>
      </c>
      <c r="M93" s="14">
        <v>45091</v>
      </c>
      <c r="N93" s="17" t="str">
        <f t="shared" si="23"/>
        <v>T3K57</v>
      </c>
      <c r="O93" s="18" t="s">
        <v>392</v>
      </c>
      <c r="P93" s="19" t="s">
        <v>393</v>
      </c>
      <c r="Q93" s="20" t="s">
        <v>102</v>
      </c>
      <c r="R93" s="21" t="s">
        <v>6</v>
      </c>
      <c r="S93" s="22">
        <f t="shared" si="24"/>
        <v>744</v>
      </c>
      <c r="T93" s="22"/>
      <c r="U93" s="22"/>
      <c r="V93" s="22"/>
      <c r="W93" s="23"/>
      <c r="X93" s="23">
        <v>6</v>
      </c>
      <c r="Y93" s="23">
        <v>66</v>
      </c>
      <c r="Z93" s="23">
        <v>72</v>
      </c>
      <c r="AA93" s="23">
        <v>138</v>
      </c>
      <c r="AB93" s="23">
        <v>144</v>
      </c>
      <c r="AC93" s="23">
        <v>144</v>
      </c>
      <c r="AD93" s="23">
        <v>84</v>
      </c>
      <c r="AE93" s="23">
        <v>72</v>
      </c>
      <c r="AF93" s="23">
        <v>12</v>
      </c>
      <c r="AG93" s="23">
        <v>6</v>
      </c>
      <c r="AH93" s="23"/>
      <c r="AI93" s="23"/>
      <c r="AJ93" s="23"/>
      <c r="AK93" s="23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</row>
    <row r="94" spans="1:52" s="25" customFormat="1" ht="15" customHeight="1" outlineLevel="2" x14ac:dyDescent="0.45">
      <c r="A94" s="12">
        <v>3503404819</v>
      </c>
      <c r="B94" s="13">
        <v>10</v>
      </c>
      <c r="C94" s="13" t="s">
        <v>405</v>
      </c>
      <c r="D94" s="14"/>
      <c r="E94" s="14"/>
      <c r="F94" s="15" t="s">
        <v>366</v>
      </c>
      <c r="G94" s="15">
        <v>1041</v>
      </c>
      <c r="H94" s="15" t="s">
        <v>221</v>
      </c>
      <c r="I94" s="15" t="s">
        <v>98</v>
      </c>
      <c r="J94" s="14"/>
      <c r="K94" s="14">
        <v>45192</v>
      </c>
      <c r="L94" s="16" t="s">
        <v>406</v>
      </c>
      <c r="M94" s="14">
        <v>45091</v>
      </c>
      <c r="N94" s="17" t="str">
        <f t="shared" si="23"/>
        <v>T3K57</v>
      </c>
      <c r="O94" s="18" t="s">
        <v>392</v>
      </c>
      <c r="P94" s="19" t="s">
        <v>393</v>
      </c>
      <c r="Q94" s="20" t="s">
        <v>102</v>
      </c>
      <c r="R94" s="21" t="s">
        <v>6</v>
      </c>
      <c r="S94" s="22">
        <f t="shared" si="24"/>
        <v>426</v>
      </c>
      <c r="T94" s="22"/>
      <c r="U94" s="22"/>
      <c r="V94" s="22"/>
      <c r="W94" s="23">
        <v>6</v>
      </c>
      <c r="X94" s="23">
        <v>6</v>
      </c>
      <c r="Y94" s="23">
        <v>42</v>
      </c>
      <c r="Z94" s="23">
        <v>42</v>
      </c>
      <c r="AA94" s="23">
        <v>72</v>
      </c>
      <c r="AB94" s="23">
        <v>72</v>
      </c>
      <c r="AC94" s="23">
        <v>66</v>
      </c>
      <c r="AD94" s="23">
        <v>60</v>
      </c>
      <c r="AE94" s="23">
        <v>60</v>
      </c>
      <c r="AF94" s="23"/>
      <c r="AG94" s="23"/>
      <c r="AH94" s="23"/>
      <c r="AI94" s="23"/>
      <c r="AJ94" s="23"/>
      <c r="AK94" s="23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spans="1:52" s="25" customFormat="1" ht="15" customHeight="1" outlineLevel="2" x14ac:dyDescent="0.45">
      <c r="A95" s="12">
        <v>4509529437</v>
      </c>
      <c r="B95" s="13">
        <v>60</v>
      </c>
      <c r="C95" s="13" t="s">
        <v>630</v>
      </c>
      <c r="D95" s="14"/>
      <c r="E95" s="14"/>
      <c r="F95" s="15" t="s">
        <v>366</v>
      </c>
      <c r="G95" s="15">
        <v>1064</v>
      </c>
      <c r="H95" s="15" t="s">
        <v>5</v>
      </c>
      <c r="I95" s="15" t="s">
        <v>98</v>
      </c>
      <c r="J95" s="14"/>
      <c r="K95" s="14">
        <v>45185</v>
      </c>
      <c r="L95" s="16" t="s">
        <v>631</v>
      </c>
      <c r="M95" s="14">
        <v>45091</v>
      </c>
      <c r="N95" s="17" t="str">
        <f t="shared" ref="N95" si="25">+LEFT(L95,5)</f>
        <v>T3K57</v>
      </c>
      <c r="O95" s="18" t="s">
        <v>392</v>
      </c>
      <c r="P95" s="19" t="s">
        <v>393</v>
      </c>
      <c r="Q95" s="20" t="s">
        <v>632</v>
      </c>
      <c r="R95" s="21" t="s">
        <v>6</v>
      </c>
      <c r="S95" s="22">
        <f t="shared" si="24"/>
        <v>125</v>
      </c>
      <c r="T95" s="22"/>
      <c r="U95" s="22"/>
      <c r="V95" s="22"/>
      <c r="W95" s="23">
        <v>4</v>
      </c>
      <c r="X95" s="23">
        <v>6</v>
      </c>
      <c r="Y95" s="23">
        <v>11</v>
      </c>
      <c r="Z95" s="23">
        <v>17</v>
      </c>
      <c r="AA95" s="23">
        <v>19</v>
      </c>
      <c r="AB95" s="23">
        <v>19</v>
      </c>
      <c r="AC95" s="23">
        <v>16</v>
      </c>
      <c r="AD95" s="23">
        <v>11</v>
      </c>
      <c r="AE95" s="23">
        <v>7</v>
      </c>
      <c r="AF95" s="23">
        <v>10</v>
      </c>
      <c r="AG95" s="23">
        <v>2</v>
      </c>
      <c r="AH95" s="23">
        <v>1</v>
      </c>
      <c r="AI95" s="23">
        <v>1</v>
      </c>
      <c r="AJ95" s="23">
        <v>1</v>
      </c>
      <c r="AK95" s="23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</row>
    <row r="96" spans="1:52" s="26" customFormat="1" ht="15" customHeight="1" outlineLevel="1" x14ac:dyDescent="0.45">
      <c r="A96" s="38"/>
      <c r="B96" s="39"/>
      <c r="C96" s="39"/>
      <c r="D96" s="40"/>
      <c r="E96" s="40"/>
      <c r="F96" s="16"/>
      <c r="G96" s="16"/>
      <c r="H96" s="16"/>
      <c r="I96" s="16"/>
      <c r="J96" s="40"/>
      <c r="K96" s="40"/>
      <c r="L96" s="16"/>
      <c r="M96" s="40"/>
      <c r="N96" s="41" t="s">
        <v>407</v>
      </c>
      <c r="O96" s="42"/>
      <c r="P96" s="43"/>
      <c r="Q96" s="44"/>
      <c r="R96" s="45"/>
      <c r="S96" s="46">
        <f>SUBTOTAL(9,S88:S95)</f>
        <v>4998</v>
      </c>
      <c r="T96" s="46">
        <f t="shared" ref="T96:AZ96" si="26">SUBTOTAL(9,T88:T95)</f>
        <v>0</v>
      </c>
      <c r="U96" s="46">
        <f t="shared" si="26"/>
        <v>0</v>
      </c>
      <c r="V96" s="46">
        <f t="shared" si="26"/>
        <v>0</v>
      </c>
      <c r="W96" s="46">
        <f t="shared" si="26"/>
        <v>24</v>
      </c>
      <c r="X96" s="46">
        <f t="shared" si="26"/>
        <v>222</v>
      </c>
      <c r="Y96" s="46">
        <f t="shared" si="26"/>
        <v>542</v>
      </c>
      <c r="Z96" s="46">
        <f t="shared" si="26"/>
        <v>650</v>
      </c>
      <c r="AA96" s="46">
        <f t="shared" si="26"/>
        <v>988</v>
      </c>
      <c r="AB96" s="46">
        <f t="shared" si="26"/>
        <v>970</v>
      </c>
      <c r="AC96" s="46">
        <f t="shared" si="26"/>
        <v>808</v>
      </c>
      <c r="AD96" s="46">
        <f t="shared" si="26"/>
        <v>364</v>
      </c>
      <c r="AE96" s="46">
        <f t="shared" si="26"/>
        <v>254</v>
      </c>
      <c r="AF96" s="46">
        <f t="shared" si="26"/>
        <v>60</v>
      </c>
      <c r="AG96" s="46">
        <f t="shared" si="26"/>
        <v>98</v>
      </c>
      <c r="AH96" s="46">
        <f t="shared" si="26"/>
        <v>6</v>
      </c>
      <c r="AI96" s="46">
        <f t="shared" si="26"/>
        <v>6</v>
      </c>
      <c r="AJ96" s="46">
        <f t="shared" si="26"/>
        <v>6</v>
      </c>
      <c r="AK96" s="46">
        <f t="shared" si="26"/>
        <v>0</v>
      </c>
      <c r="AL96" s="46">
        <f t="shared" si="26"/>
        <v>0</v>
      </c>
      <c r="AM96" s="46">
        <f t="shared" si="26"/>
        <v>0</v>
      </c>
      <c r="AN96" s="46">
        <f t="shared" si="26"/>
        <v>0</v>
      </c>
      <c r="AO96" s="46">
        <f t="shared" si="26"/>
        <v>0</v>
      </c>
      <c r="AP96" s="46">
        <f t="shared" si="26"/>
        <v>0</v>
      </c>
      <c r="AQ96" s="46">
        <f t="shared" si="26"/>
        <v>0</v>
      </c>
      <c r="AR96" s="46">
        <f t="shared" si="26"/>
        <v>0</v>
      </c>
      <c r="AS96" s="46">
        <f t="shared" si="26"/>
        <v>0</v>
      </c>
      <c r="AT96" s="46">
        <f t="shared" si="26"/>
        <v>0</v>
      </c>
      <c r="AU96" s="46">
        <f t="shared" si="26"/>
        <v>0</v>
      </c>
      <c r="AV96" s="46">
        <f t="shared" si="26"/>
        <v>0</v>
      </c>
      <c r="AW96" s="46">
        <f t="shared" si="26"/>
        <v>0</v>
      </c>
      <c r="AX96" s="46">
        <f t="shared" si="26"/>
        <v>0</v>
      </c>
      <c r="AY96" s="46">
        <f t="shared" si="26"/>
        <v>0</v>
      </c>
      <c r="AZ96" s="46">
        <f t="shared" si="26"/>
        <v>0</v>
      </c>
    </row>
    <row r="97" spans="1:52" s="25" customFormat="1" ht="15" customHeight="1" outlineLevel="2" x14ac:dyDescent="0.45">
      <c r="A97" s="12">
        <v>4509530786</v>
      </c>
      <c r="B97" s="13">
        <v>10</v>
      </c>
      <c r="C97" s="13" t="s">
        <v>408</v>
      </c>
      <c r="D97" s="14"/>
      <c r="E97" s="14"/>
      <c r="F97" s="15" t="s">
        <v>366</v>
      </c>
      <c r="G97" s="15">
        <v>517963</v>
      </c>
      <c r="H97" s="15" t="s">
        <v>409</v>
      </c>
      <c r="I97" s="15" t="s">
        <v>98</v>
      </c>
      <c r="J97" s="14"/>
      <c r="K97" s="14">
        <v>45206</v>
      </c>
      <c r="L97" s="16" t="s">
        <v>410</v>
      </c>
      <c r="M97" s="14">
        <v>45091</v>
      </c>
      <c r="N97" s="17" t="str">
        <f>+LEFT(L97,5)</f>
        <v>T3K58</v>
      </c>
      <c r="O97" s="18" t="s">
        <v>392</v>
      </c>
      <c r="P97" s="19" t="s">
        <v>393</v>
      </c>
      <c r="Q97" s="20" t="s">
        <v>102</v>
      </c>
      <c r="R97" s="21" t="s">
        <v>6</v>
      </c>
      <c r="S97" s="22">
        <f t="shared" si="24"/>
        <v>456</v>
      </c>
      <c r="T97" s="22"/>
      <c r="U97" s="22"/>
      <c r="V97" s="22"/>
      <c r="W97" s="23"/>
      <c r="X97" s="23">
        <v>6</v>
      </c>
      <c r="Y97" s="23">
        <v>18</v>
      </c>
      <c r="Z97" s="23">
        <v>42</v>
      </c>
      <c r="AA97" s="23">
        <v>54</v>
      </c>
      <c r="AB97" s="23">
        <v>48</v>
      </c>
      <c r="AC97" s="23">
        <v>96</v>
      </c>
      <c r="AD97" s="23">
        <v>66</v>
      </c>
      <c r="AE97" s="23">
        <v>30</v>
      </c>
      <c r="AF97" s="23">
        <v>48</v>
      </c>
      <c r="AG97" s="23">
        <v>24</v>
      </c>
      <c r="AH97" s="23">
        <v>12</v>
      </c>
      <c r="AI97" s="23">
        <v>12</v>
      </c>
      <c r="AJ97" s="23"/>
      <c r="AK97" s="23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</row>
    <row r="98" spans="1:52" s="26" customFormat="1" ht="15" customHeight="1" outlineLevel="1" x14ac:dyDescent="0.45">
      <c r="A98" s="38"/>
      <c r="B98" s="39"/>
      <c r="C98" s="39"/>
      <c r="D98" s="40"/>
      <c r="E98" s="40"/>
      <c r="F98" s="16"/>
      <c r="G98" s="16"/>
      <c r="H98" s="16"/>
      <c r="I98" s="16"/>
      <c r="J98" s="40"/>
      <c r="K98" s="40"/>
      <c r="L98" s="16"/>
      <c r="M98" s="40"/>
      <c r="N98" s="41" t="s">
        <v>411</v>
      </c>
      <c r="O98" s="42"/>
      <c r="P98" s="43"/>
      <c r="Q98" s="44"/>
      <c r="R98" s="45"/>
      <c r="S98" s="46">
        <f t="shared" ref="S98:AZ98" si="27">SUBTOTAL(9,S97:S97)</f>
        <v>456</v>
      </c>
      <c r="T98" s="46">
        <f t="shared" si="27"/>
        <v>0</v>
      </c>
      <c r="U98" s="46">
        <f t="shared" si="27"/>
        <v>0</v>
      </c>
      <c r="V98" s="46">
        <f t="shared" si="27"/>
        <v>0</v>
      </c>
      <c r="W98" s="85">
        <f t="shared" si="27"/>
        <v>0</v>
      </c>
      <c r="X98" s="85">
        <f t="shared" si="27"/>
        <v>6</v>
      </c>
      <c r="Y98" s="85">
        <f t="shared" si="27"/>
        <v>18</v>
      </c>
      <c r="Z98" s="85">
        <f t="shared" si="27"/>
        <v>42</v>
      </c>
      <c r="AA98" s="85">
        <f t="shared" si="27"/>
        <v>54</v>
      </c>
      <c r="AB98" s="85">
        <f t="shared" si="27"/>
        <v>48</v>
      </c>
      <c r="AC98" s="85">
        <f t="shared" si="27"/>
        <v>96</v>
      </c>
      <c r="AD98" s="85">
        <f t="shared" si="27"/>
        <v>66</v>
      </c>
      <c r="AE98" s="85">
        <f t="shared" si="27"/>
        <v>30</v>
      </c>
      <c r="AF98" s="85">
        <f t="shared" si="27"/>
        <v>48</v>
      </c>
      <c r="AG98" s="85">
        <f t="shared" si="27"/>
        <v>24</v>
      </c>
      <c r="AH98" s="85">
        <f t="shared" si="27"/>
        <v>12</v>
      </c>
      <c r="AI98" s="85">
        <f t="shared" si="27"/>
        <v>12</v>
      </c>
      <c r="AJ98" s="85">
        <f t="shared" si="27"/>
        <v>0</v>
      </c>
      <c r="AK98" s="85">
        <f t="shared" si="27"/>
        <v>0</v>
      </c>
      <c r="AL98" s="86">
        <f t="shared" si="27"/>
        <v>0</v>
      </c>
      <c r="AM98" s="86">
        <f t="shared" si="27"/>
        <v>0</v>
      </c>
      <c r="AN98" s="86">
        <f t="shared" si="27"/>
        <v>0</v>
      </c>
      <c r="AO98" s="86">
        <f t="shared" si="27"/>
        <v>0</v>
      </c>
      <c r="AP98" s="86">
        <f t="shared" si="27"/>
        <v>0</v>
      </c>
      <c r="AQ98" s="86">
        <f t="shared" si="27"/>
        <v>0</v>
      </c>
      <c r="AR98" s="86">
        <f t="shared" si="27"/>
        <v>0</v>
      </c>
      <c r="AS98" s="86">
        <f t="shared" si="27"/>
        <v>0</v>
      </c>
      <c r="AT98" s="86">
        <f t="shared" si="27"/>
        <v>0</v>
      </c>
      <c r="AU98" s="86">
        <f t="shared" si="27"/>
        <v>0</v>
      </c>
      <c r="AV98" s="86">
        <f t="shared" si="27"/>
        <v>0</v>
      </c>
      <c r="AW98" s="86">
        <f t="shared" si="27"/>
        <v>0</v>
      </c>
      <c r="AX98" s="86">
        <f t="shared" si="27"/>
        <v>0</v>
      </c>
      <c r="AY98" s="86">
        <f t="shared" si="27"/>
        <v>0</v>
      </c>
      <c r="AZ98" s="86">
        <f t="shared" si="27"/>
        <v>0</v>
      </c>
    </row>
    <row r="99" spans="1:52" s="25" customFormat="1" ht="15" customHeight="1" outlineLevel="2" x14ac:dyDescent="0.45">
      <c r="A99" s="12">
        <v>4509529437</v>
      </c>
      <c r="B99" s="13">
        <v>20</v>
      </c>
      <c r="C99" s="13" t="s">
        <v>412</v>
      </c>
      <c r="D99" s="14"/>
      <c r="E99" s="14"/>
      <c r="F99" s="15" t="s">
        <v>366</v>
      </c>
      <c r="G99" s="15">
        <v>1064</v>
      </c>
      <c r="H99" s="15" t="s">
        <v>5</v>
      </c>
      <c r="I99" s="15" t="s">
        <v>98</v>
      </c>
      <c r="J99" s="14"/>
      <c r="K99" s="14">
        <v>45185</v>
      </c>
      <c r="L99" s="16" t="s">
        <v>413</v>
      </c>
      <c r="M99" s="14">
        <v>45091</v>
      </c>
      <c r="N99" s="17" t="str">
        <f t="shared" ref="N99:N104" si="28">+LEFT(L99,5)</f>
        <v>T3K59</v>
      </c>
      <c r="O99" s="18" t="s">
        <v>414</v>
      </c>
      <c r="P99" s="19" t="s">
        <v>393</v>
      </c>
      <c r="Q99" s="20" t="s">
        <v>637</v>
      </c>
      <c r="R99" s="21" t="s">
        <v>6</v>
      </c>
      <c r="S99" s="22">
        <f t="shared" si="24"/>
        <v>580</v>
      </c>
      <c r="T99" s="22">
        <v>0</v>
      </c>
      <c r="U99" s="22">
        <v>0</v>
      </c>
      <c r="V99" s="22">
        <v>0</v>
      </c>
      <c r="W99" s="23">
        <v>0</v>
      </c>
      <c r="X99" s="23">
        <v>14</v>
      </c>
      <c r="Y99" s="23">
        <v>5</v>
      </c>
      <c r="Z99" s="23">
        <v>58</v>
      </c>
      <c r="AA99" s="23">
        <v>43</v>
      </c>
      <c r="AB99" s="23">
        <v>101</v>
      </c>
      <c r="AC99" s="23">
        <v>62</v>
      </c>
      <c r="AD99" s="23">
        <v>139</v>
      </c>
      <c r="AE99" s="23">
        <v>38</v>
      </c>
      <c r="AF99" s="23">
        <v>82</v>
      </c>
      <c r="AG99" s="23">
        <v>14</v>
      </c>
      <c r="AH99" s="23">
        <v>14</v>
      </c>
      <c r="AI99" s="23">
        <v>5</v>
      </c>
      <c r="AJ99" s="23">
        <v>5</v>
      </c>
      <c r="AK99" s="23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0</v>
      </c>
      <c r="AV99" s="24">
        <v>0</v>
      </c>
      <c r="AW99" s="24">
        <v>0</v>
      </c>
      <c r="AX99" s="24">
        <v>0</v>
      </c>
      <c r="AY99" s="24"/>
      <c r="AZ99" s="24"/>
    </row>
    <row r="100" spans="1:52" s="25" customFormat="1" ht="15" customHeight="1" outlineLevel="2" x14ac:dyDescent="0.45">
      <c r="A100" s="12">
        <v>4509529437</v>
      </c>
      <c r="B100" s="13">
        <v>30</v>
      </c>
      <c r="C100" s="13" t="s">
        <v>415</v>
      </c>
      <c r="D100" s="14"/>
      <c r="E100" s="14"/>
      <c r="F100" s="15" t="s">
        <v>366</v>
      </c>
      <c r="G100" s="15">
        <v>1064</v>
      </c>
      <c r="H100" s="15" t="s">
        <v>5</v>
      </c>
      <c r="I100" s="15" t="s">
        <v>98</v>
      </c>
      <c r="J100" s="14"/>
      <c r="K100" s="14">
        <v>45192</v>
      </c>
      <c r="L100" s="16" t="s">
        <v>416</v>
      </c>
      <c r="M100" s="14">
        <v>45091</v>
      </c>
      <c r="N100" s="17" t="str">
        <f t="shared" si="28"/>
        <v>T3K59</v>
      </c>
      <c r="O100" s="18" t="s">
        <v>414</v>
      </c>
      <c r="P100" s="19" t="s">
        <v>393</v>
      </c>
      <c r="Q100" s="20" t="s">
        <v>641</v>
      </c>
      <c r="R100" s="21" t="s">
        <v>6</v>
      </c>
      <c r="S100" s="22">
        <f t="shared" si="24"/>
        <v>271</v>
      </c>
      <c r="T100" s="22">
        <v>0</v>
      </c>
      <c r="U100" s="22">
        <v>0</v>
      </c>
      <c r="V100" s="22">
        <v>0</v>
      </c>
      <c r="W100" s="23">
        <v>5</v>
      </c>
      <c r="X100" s="23">
        <v>10</v>
      </c>
      <c r="Y100" s="23">
        <v>5</v>
      </c>
      <c r="Z100" s="23">
        <v>24</v>
      </c>
      <c r="AA100" s="23">
        <v>24</v>
      </c>
      <c r="AB100" s="23">
        <v>29</v>
      </c>
      <c r="AC100" s="23">
        <v>38</v>
      </c>
      <c r="AD100" s="23">
        <v>53</v>
      </c>
      <c r="AE100" s="23">
        <v>19</v>
      </c>
      <c r="AF100" s="23">
        <v>34</v>
      </c>
      <c r="AG100" s="23">
        <v>10</v>
      </c>
      <c r="AH100" s="23">
        <v>10</v>
      </c>
      <c r="AI100" s="23">
        <v>5</v>
      </c>
      <c r="AJ100" s="23">
        <v>5</v>
      </c>
      <c r="AK100" s="23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4"/>
      <c r="AZ100" s="24"/>
    </row>
    <row r="101" spans="1:52" s="25" customFormat="1" ht="15" customHeight="1" outlineLevel="2" x14ac:dyDescent="0.45">
      <c r="A101" s="12">
        <v>4509529437</v>
      </c>
      <c r="B101" s="13">
        <v>40</v>
      </c>
      <c r="C101" s="13" t="s">
        <v>417</v>
      </c>
      <c r="D101" s="14"/>
      <c r="E101" s="14"/>
      <c r="F101" s="15" t="s">
        <v>366</v>
      </c>
      <c r="G101" s="15">
        <v>1064</v>
      </c>
      <c r="H101" s="15" t="s">
        <v>5</v>
      </c>
      <c r="I101" s="15" t="s">
        <v>98</v>
      </c>
      <c r="J101" s="14"/>
      <c r="K101" s="14">
        <v>45199</v>
      </c>
      <c r="L101" s="16" t="s">
        <v>418</v>
      </c>
      <c r="M101" s="14">
        <v>45091</v>
      </c>
      <c r="N101" s="17" t="str">
        <f t="shared" si="28"/>
        <v>T3K59</v>
      </c>
      <c r="O101" s="18" t="s">
        <v>414</v>
      </c>
      <c r="P101" s="19" t="s">
        <v>393</v>
      </c>
      <c r="Q101" s="20" t="s">
        <v>645</v>
      </c>
      <c r="R101" s="21" t="s">
        <v>6</v>
      </c>
      <c r="S101" s="22">
        <f t="shared" si="24"/>
        <v>1041</v>
      </c>
      <c r="T101" s="22">
        <v>0</v>
      </c>
      <c r="U101" s="22">
        <v>0</v>
      </c>
      <c r="V101" s="22">
        <v>0</v>
      </c>
      <c r="W101" s="23">
        <v>5</v>
      </c>
      <c r="X101" s="23">
        <v>19</v>
      </c>
      <c r="Y101" s="23">
        <v>38</v>
      </c>
      <c r="Z101" s="23">
        <v>91</v>
      </c>
      <c r="AA101" s="23">
        <v>77</v>
      </c>
      <c r="AB101" s="23">
        <v>139</v>
      </c>
      <c r="AC101" s="23">
        <v>134</v>
      </c>
      <c r="AD101" s="23">
        <v>202</v>
      </c>
      <c r="AE101" s="23">
        <v>82</v>
      </c>
      <c r="AF101" s="23">
        <v>130</v>
      </c>
      <c r="AG101" s="23">
        <v>48</v>
      </c>
      <c r="AH101" s="23">
        <v>43</v>
      </c>
      <c r="AI101" s="23">
        <v>14</v>
      </c>
      <c r="AJ101" s="23">
        <v>19</v>
      </c>
      <c r="AK101" s="23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0</v>
      </c>
      <c r="AV101" s="24">
        <v>0</v>
      </c>
      <c r="AW101" s="24">
        <v>0</v>
      </c>
      <c r="AX101" s="24">
        <v>0</v>
      </c>
      <c r="AY101" s="24"/>
      <c r="AZ101" s="24"/>
    </row>
    <row r="102" spans="1:52" s="25" customFormat="1" ht="15" customHeight="1" outlineLevel="2" x14ac:dyDescent="0.45">
      <c r="A102" s="12">
        <v>4509529437</v>
      </c>
      <c r="B102" s="13">
        <v>70</v>
      </c>
      <c r="C102" s="13" t="s">
        <v>634</v>
      </c>
      <c r="D102" s="14"/>
      <c r="E102" s="14"/>
      <c r="F102" s="15" t="s">
        <v>366</v>
      </c>
      <c r="G102" s="15">
        <v>1064</v>
      </c>
      <c r="H102" s="15" t="s">
        <v>5</v>
      </c>
      <c r="I102" s="15" t="s">
        <v>98</v>
      </c>
      <c r="J102" s="14"/>
      <c r="K102" s="14">
        <v>45185</v>
      </c>
      <c r="L102" s="16" t="s">
        <v>635</v>
      </c>
      <c r="M102" s="14">
        <v>45091</v>
      </c>
      <c r="N102" s="17" t="str">
        <f t="shared" si="28"/>
        <v>T3K59</v>
      </c>
      <c r="O102" s="18" t="s">
        <v>414</v>
      </c>
      <c r="P102" s="19" t="s">
        <v>393</v>
      </c>
      <c r="Q102" s="20" t="s">
        <v>636</v>
      </c>
      <c r="R102" s="21" t="s">
        <v>6</v>
      </c>
      <c r="S102" s="22">
        <f t="shared" ref="S102:S104" si="29">SUM(T102:AZ102)</f>
        <v>146</v>
      </c>
      <c r="T102" s="22"/>
      <c r="U102" s="22"/>
      <c r="V102" s="22"/>
      <c r="W102" s="23"/>
      <c r="X102" s="23">
        <v>4</v>
      </c>
      <c r="Y102" s="23">
        <v>1</v>
      </c>
      <c r="Z102" s="23">
        <v>14</v>
      </c>
      <c r="AA102" s="23">
        <v>11</v>
      </c>
      <c r="AB102" s="23">
        <v>25</v>
      </c>
      <c r="AC102" s="23">
        <v>16</v>
      </c>
      <c r="AD102" s="23">
        <v>35</v>
      </c>
      <c r="AE102" s="23">
        <v>10</v>
      </c>
      <c r="AF102" s="23">
        <v>20</v>
      </c>
      <c r="AG102" s="23">
        <v>4</v>
      </c>
      <c r="AH102" s="23">
        <v>4</v>
      </c>
      <c r="AI102" s="23">
        <v>1</v>
      </c>
      <c r="AJ102" s="23">
        <v>1</v>
      </c>
      <c r="AK102" s="23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</row>
    <row r="103" spans="1:52" s="25" customFormat="1" ht="15" customHeight="1" outlineLevel="2" x14ac:dyDescent="0.45">
      <c r="A103" s="12">
        <v>4509529437</v>
      </c>
      <c r="B103" s="13">
        <v>80</v>
      </c>
      <c r="C103" s="13" t="s">
        <v>638</v>
      </c>
      <c r="D103" s="14"/>
      <c r="E103" s="14"/>
      <c r="F103" s="15" t="s">
        <v>366</v>
      </c>
      <c r="G103" s="15">
        <v>1064</v>
      </c>
      <c r="H103" s="15" t="s">
        <v>5</v>
      </c>
      <c r="I103" s="15" t="s">
        <v>98</v>
      </c>
      <c r="J103" s="14"/>
      <c r="K103" s="14">
        <v>45192</v>
      </c>
      <c r="L103" s="16" t="s">
        <v>639</v>
      </c>
      <c r="M103" s="14">
        <v>45091</v>
      </c>
      <c r="N103" s="17" t="str">
        <f t="shared" si="28"/>
        <v>T3K59</v>
      </c>
      <c r="O103" s="18" t="s">
        <v>414</v>
      </c>
      <c r="P103" s="19" t="s">
        <v>393</v>
      </c>
      <c r="Q103" s="20" t="s">
        <v>640</v>
      </c>
      <c r="R103" s="21" t="s">
        <v>6</v>
      </c>
      <c r="S103" s="22">
        <f t="shared" si="29"/>
        <v>65</v>
      </c>
      <c r="T103" s="22"/>
      <c r="U103" s="22"/>
      <c r="V103" s="22"/>
      <c r="W103" s="23">
        <v>1</v>
      </c>
      <c r="X103" s="23">
        <v>2</v>
      </c>
      <c r="Y103" s="23">
        <v>1</v>
      </c>
      <c r="Z103" s="23">
        <v>6</v>
      </c>
      <c r="AA103" s="23">
        <v>6</v>
      </c>
      <c r="AB103" s="23">
        <v>7</v>
      </c>
      <c r="AC103" s="23">
        <v>10</v>
      </c>
      <c r="AD103" s="23">
        <v>13</v>
      </c>
      <c r="AE103" s="23">
        <v>5</v>
      </c>
      <c r="AF103" s="23">
        <v>8</v>
      </c>
      <c r="AG103" s="23">
        <v>2</v>
      </c>
      <c r="AH103" s="23">
        <v>2</v>
      </c>
      <c r="AI103" s="23">
        <v>1</v>
      </c>
      <c r="AJ103" s="23">
        <v>1</v>
      </c>
      <c r="AK103" s="23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</row>
    <row r="104" spans="1:52" s="25" customFormat="1" ht="15" customHeight="1" outlineLevel="2" x14ac:dyDescent="0.45">
      <c r="A104" s="12">
        <v>4509529437</v>
      </c>
      <c r="B104" s="13">
        <v>90</v>
      </c>
      <c r="C104" s="13" t="s">
        <v>642</v>
      </c>
      <c r="D104" s="14"/>
      <c r="E104" s="14"/>
      <c r="F104" s="15" t="s">
        <v>366</v>
      </c>
      <c r="G104" s="15">
        <v>1064</v>
      </c>
      <c r="H104" s="15" t="s">
        <v>5</v>
      </c>
      <c r="I104" s="15" t="s">
        <v>98</v>
      </c>
      <c r="J104" s="14"/>
      <c r="K104" s="14">
        <v>45199</v>
      </c>
      <c r="L104" s="16" t="s">
        <v>643</v>
      </c>
      <c r="M104" s="14">
        <v>45091</v>
      </c>
      <c r="N104" s="17" t="str">
        <f t="shared" si="28"/>
        <v>T3K59</v>
      </c>
      <c r="O104" s="18" t="s">
        <v>414</v>
      </c>
      <c r="P104" s="19" t="s">
        <v>393</v>
      </c>
      <c r="Q104" s="20" t="s">
        <v>644</v>
      </c>
      <c r="R104" s="21" t="s">
        <v>6</v>
      </c>
      <c r="S104" s="22">
        <f t="shared" si="29"/>
        <v>261</v>
      </c>
      <c r="T104" s="22"/>
      <c r="U104" s="22"/>
      <c r="V104" s="22"/>
      <c r="W104" s="23">
        <v>1</v>
      </c>
      <c r="X104" s="23">
        <v>5</v>
      </c>
      <c r="Y104" s="23">
        <v>10</v>
      </c>
      <c r="Z104" s="23">
        <v>23</v>
      </c>
      <c r="AA104" s="23">
        <v>19</v>
      </c>
      <c r="AB104" s="23">
        <v>35</v>
      </c>
      <c r="AC104" s="23">
        <v>34</v>
      </c>
      <c r="AD104" s="23">
        <v>50</v>
      </c>
      <c r="AE104" s="23">
        <v>20</v>
      </c>
      <c r="AF104" s="23">
        <v>32</v>
      </c>
      <c r="AG104" s="23">
        <v>12</v>
      </c>
      <c r="AH104" s="23">
        <v>11</v>
      </c>
      <c r="AI104" s="23">
        <v>4</v>
      </c>
      <c r="AJ104" s="23">
        <v>5</v>
      </c>
      <c r="AK104" s="23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</row>
    <row r="105" spans="1:52" s="26" customFormat="1" ht="15" customHeight="1" outlineLevel="1" x14ac:dyDescent="0.45">
      <c r="A105" s="38"/>
      <c r="B105" s="39"/>
      <c r="C105" s="39"/>
      <c r="D105" s="40"/>
      <c r="E105" s="40"/>
      <c r="F105" s="16"/>
      <c r="G105" s="16"/>
      <c r="H105" s="16"/>
      <c r="I105" s="16"/>
      <c r="J105" s="40"/>
      <c r="K105" s="40"/>
      <c r="L105" s="16"/>
      <c r="M105" s="40"/>
      <c r="N105" s="41" t="s">
        <v>419</v>
      </c>
      <c r="O105" s="42"/>
      <c r="P105" s="43"/>
      <c r="Q105" s="44"/>
      <c r="R105" s="45"/>
      <c r="S105" s="46">
        <f>SUBTOTAL(9,S99:S104)</f>
        <v>2364</v>
      </c>
      <c r="T105" s="46">
        <f t="shared" ref="T105:AZ105" si="30">SUBTOTAL(9,T99:T104)</f>
        <v>0</v>
      </c>
      <c r="U105" s="46">
        <f t="shared" si="30"/>
        <v>0</v>
      </c>
      <c r="V105" s="46">
        <f t="shared" si="30"/>
        <v>0</v>
      </c>
      <c r="W105" s="46">
        <f t="shared" si="30"/>
        <v>12</v>
      </c>
      <c r="X105" s="46">
        <f t="shared" si="30"/>
        <v>54</v>
      </c>
      <c r="Y105" s="46">
        <f t="shared" si="30"/>
        <v>60</v>
      </c>
      <c r="Z105" s="46">
        <f t="shared" si="30"/>
        <v>216</v>
      </c>
      <c r="AA105" s="46">
        <f t="shared" si="30"/>
        <v>180</v>
      </c>
      <c r="AB105" s="46">
        <f t="shared" si="30"/>
        <v>336</v>
      </c>
      <c r="AC105" s="46">
        <f t="shared" si="30"/>
        <v>294</v>
      </c>
      <c r="AD105" s="46">
        <f t="shared" si="30"/>
        <v>492</v>
      </c>
      <c r="AE105" s="46">
        <f t="shared" si="30"/>
        <v>174</v>
      </c>
      <c r="AF105" s="46">
        <f t="shared" si="30"/>
        <v>306</v>
      </c>
      <c r="AG105" s="46">
        <f t="shared" si="30"/>
        <v>90</v>
      </c>
      <c r="AH105" s="46">
        <f t="shared" si="30"/>
        <v>84</v>
      </c>
      <c r="AI105" s="46">
        <f t="shared" si="30"/>
        <v>30</v>
      </c>
      <c r="AJ105" s="46">
        <f t="shared" si="30"/>
        <v>36</v>
      </c>
      <c r="AK105" s="46">
        <f t="shared" si="30"/>
        <v>0</v>
      </c>
      <c r="AL105" s="46">
        <f t="shared" si="30"/>
        <v>0</v>
      </c>
      <c r="AM105" s="46">
        <f t="shared" si="30"/>
        <v>0</v>
      </c>
      <c r="AN105" s="46">
        <f t="shared" si="30"/>
        <v>0</v>
      </c>
      <c r="AO105" s="46">
        <f t="shared" si="30"/>
        <v>0</v>
      </c>
      <c r="AP105" s="46">
        <f t="shared" si="30"/>
        <v>0</v>
      </c>
      <c r="AQ105" s="46">
        <f t="shared" si="30"/>
        <v>0</v>
      </c>
      <c r="AR105" s="46">
        <f t="shared" si="30"/>
        <v>0</v>
      </c>
      <c r="AS105" s="46">
        <f t="shared" si="30"/>
        <v>0</v>
      </c>
      <c r="AT105" s="46">
        <f t="shared" si="30"/>
        <v>0</v>
      </c>
      <c r="AU105" s="46">
        <f t="shared" si="30"/>
        <v>0</v>
      </c>
      <c r="AV105" s="46">
        <f t="shared" si="30"/>
        <v>0</v>
      </c>
      <c r="AW105" s="46">
        <f t="shared" si="30"/>
        <v>0</v>
      </c>
      <c r="AX105" s="46">
        <f t="shared" si="30"/>
        <v>0</v>
      </c>
      <c r="AY105" s="46">
        <f t="shared" si="30"/>
        <v>0</v>
      </c>
      <c r="AZ105" s="46">
        <f t="shared" si="30"/>
        <v>0</v>
      </c>
    </row>
    <row r="106" spans="1:52" s="25" customFormat="1" ht="15" customHeight="1" outlineLevel="2" x14ac:dyDescent="0.45">
      <c r="A106" s="12">
        <v>4509529437</v>
      </c>
      <c r="B106" s="13">
        <v>50</v>
      </c>
      <c r="C106" s="13" t="s">
        <v>420</v>
      </c>
      <c r="D106" s="14"/>
      <c r="E106" s="14"/>
      <c r="F106" s="15" t="s">
        <v>366</v>
      </c>
      <c r="G106" s="15">
        <v>1064</v>
      </c>
      <c r="H106" s="15" t="s">
        <v>5</v>
      </c>
      <c r="I106" s="15" t="s">
        <v>98</v>
      </c>
      <c r="J106" s="14"/>
      <c r="K106" s="14">
        <v>45206</v>
      </c>
      <c r="L106" s="16" t="s">
        <v>421</v>
      </c>
      <c r="M106" s="14">
        <v>45091</v>
      </c>
      <c r="N106" s="17" t="str">
        <f>+LEFT(L106,5)</f>
        <v>T3K60</v>
      </c>
      <c r="O106" s="18" t="s">
        <v>414</v>
      </c>
      <c r="P106" s="19" t="s">
        <v>393</v>
      </c>
      <c r="Q106" s="20" t="s">
        <v>649</v>
      </c>
      <c r="R106" s="21" t="s">
        <v>6</v>
      </c>
      <c r="S106" s="22">
        <f t="shared" si="24"/>
        <v>866</v>
      </c>
      <c r="T106" s="22">
        <v>0</v>
      </c>
      <c r="U106" s="22">
        <v>0</v>
      </c>
      <c r="V106" s="22">
        <v>0</v>
      </c>
      <c r="W106" s="23">
        <v>0</v>
      </c>
      <c r="X106" s="23">
        <v>5</v>
      </c>
      <c r="Y106" s="23">
        <v>86</v>
      </c>
      <c r="Z106" s="23">
        <v>101</v>
      </c>
      <c r="AA106" s="23">
        <v>178</v>
      </c>
      <c r="AB106" s="23">
        <v>106</v>
      </c>
      <c r="AC106" s="23">
        <v>115</v>
      </c>
      <c r="AD106" s="23">
        <v>125</v>
      </c>
      <c r="AE106" s="23">
        <v>96</v>
      </c>
      <c r="AF106" s="23">
        <v>29</v>
      </c>
      <c r="AG106" s="23">
        <v>10</v>
      </c>
      <c r="AH106" s="23">
        <v>5</v>
      </c>
      <c r="AI106" s="23">
        <v>5</v>
      </c>
      <c r="AJ106" s="23">
        <v>5</v>
      </c>
      <c r="AK106" s="23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24">
        <v>0</v>
      </c>
      <c r="AX106" s="24">
        <v>0</v>
      </c>
      <c r="AY106" s="24"/>
      <c r="AZ106" s="24"/>
    </row>
    <row r="107" spans="1:52" s="25" customFormat="1" ht="15" customHeight="1" outlineLevel="2" x14ac:dyDescent="0.45">
      <c r="A107" s="12">
        <v>4509529437</v>
      </c>
      <c r="B107" s="13">
        <v>100</v>
      </c>
      <c r="C107" s="13" t="s">
        <v>646</v>
      </c>
      <c r="D107" s="14"/>
      <c r="E107" s="14"/>
      <c r="F107" s="15" t="s">
        <v>366</v>
      </c>
      <c r="G107" s="15">
        <v>1064</v>
      </c>
      <c r="H107" s="15" t="s">
        <v>5</v>
      </c>
      <c r="I107" s="15" t="s">
        <v>98</v>
      </c>
      <c r="J107" s="14"/>
      <c r="K107" s="14">
        <v>45206</v>
      </c>
      <c r="L107" s="16" t="s">
        <v>647</v>
      </c>
      <c r="M107" s="14">
        <v>45091</v>
      </c>
      <c r="N107" s="17" t="str">
        <f>+LEFT(L107,5)</f>
        <v>T3K60</v>
      </c>
      <c r="O107" s="18" t="s">
        <v>414</v>
      </c>
      <c r="P107" s="19" t="s">
        <v>393</v>
      </c>
      <c r="Q107" s="20" t="s">
        <v>648</v>
      </c>
      <c r="R107" s="21" t="s">
        <v>6</v>
      </c>
      <c r="S107" s="22">
        <f t="shared" ref="S107" si="31">SUM(T107:AZ107)</f>
        <v>214</v>
      </c>
      <c r="T107" s="22"/>
      <c r="U107" s="22"/>
      <c r="V107" s="22"/>
      <c r="W107" s="23"/>
      <c r="X107" s="23">
        <v>1</v>
      </c>
      <c r="Y107" s="23">
        <v>22</v>
      </c>
      <c r="Z107" s="23">
        <v>25</v>
      </c>
      <c r="AA107" s="23">
        <v>44</v>
      </c>
      <c r="AB107" s="23">
        <v>26</v>
      </c>
      <c r="AC107" s="23">
        <v>29</v>
      </c>
      <c r="AD107" s="23">
        <v>31</v>
      </c>
      <c r="AE107" s="23">
        <v>24</v>
      </c>
      <c r="AF107" s="23">
        <v>7</v>
      </c>
      <c r="AG107" s="23">
        <v>2</v>
      </c>
      <c r="AH107" s="23">
        <v>1</v>
      </c>
      <c r="AI107" s="23">
        <v>1</v>
      </c>
      <c r="AJ107" s="23">
        <v>1</v>
      </c>
      <c r="AK107" s="23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</row>
    <row r="108" spans="1:52" s="26" customFormat="1" ht="15" customHeight="1" outlineLevel="1" x14ac:dyDescent="0.45">
      <c r="A108" s="38"/>
      <c r="B108" s="39"/>
      <c r="C108" s="39"/>
      <c r="D108" s="40"/>
      <c r="E108" s="40"/>
      <c r="F108" s="16"/>
      <c r="G108" s="16"/>
      <c r="H108" s="16"/>
      <c r="I108" s="16"/>
      <c r="J108" s="40"/>
      <c r="K108" s="40"/>
      <c r="L108" s="16"/>
      <c r="M108" s="40"/>
      <c r="N108" s="41" t="s">
        <v>422</v>
      </c>
      <c r="O108" s="42"/>
      <c r="P108" s="43"/>
      <c r="Q108" s="44"/>
      <c r="R108" s="45"/>
      <c r="S108" s="46">
        <f>SUBTOTAL(9,S106:S107)</f>
        <v>1080</v>
      </c>
      <c r="T108" s="46">
        <f t="shared" ref="T108:AZ108" si="32">SUBTOTAL(9,T106:T107)</f>
        <v>0</v>
      </c>
      <c r="U108" s="46">
        <f t="shared" si="32"/>
        <v>0</v>
      </c>
      <c r="V108" s="46">
        <f t="shared" si="32"/>
        <v>0</v>
      </c>
      <c r="W108" s="46">
        <f t="shared" si="32"/>
        <v>0</v>
      </c>
      <c r="X108" s="46">
        <f t="shared" si="32"/>
        <v>6</v>
      </c>
      <c r="Y108" s="46">
        <f t="shared" si="32"/>
        <v>108</v>
      </c>
      <c r="Z108" s="46">
        <f t="shared" si="32"/>
        <v>126</v>
      </c>
      <c r="AA108" s="46">
        <f t="shared" si="32"/>
        <v>222</v>
      </c>
      <c r="AB108" s="46">
        <f t="shared" si="32"/>
        <v>132</v>
      </c>
      <c r="AC108" s="46">
        <f t="shared" si="32"/>
        <v>144</v>
      </c>
      <c r="AD108" s="46">
        <f t="shared" si="32"/>
        <v>156</v>
      </c>
      <c r="AE108" s="46">
        <f t="shared" si="32"/>
        <v>120</v>
      </c>
      <c r="AF108" s="46">
        <f t="shared" si="32"/>
        <v>36</v>
      </c>
      <c r="AG108" s="46">
        <f t="shared" si="32"/>
        <v>12</v>
      </c>
      <c r="AH108" s="46">
        <f t="shared" si="32"/>
        <v>6</v>
      </c>
      <c r="AI108" s="46">
        <f t="shared" si="32"/>
        <v>6</v>
      </c>
      <c r="AJ108" s="46">
        <f t="shared" si="32"/>
        <v>6</v>
      </c>
      <c r="AK108" s="46">
        <f t="shared" si="32"/>
        <v>0</v>
      </c>
      <c r="AL108" s="46">
        <f t="shared" si="32"/>
        <v>0</v>
      </c>
      <c r="AM108" s="46">
        <f t="shared" si="32"/>
        <v>0</v>
      </c>
      <c r="AN108" s="46">
        <f t="shared" si="32"/>
        <v>0</v>
      </c>
      <c r="AO108" s="46">
        <f t="shared" si="32"/>
        <v>0</v>
      </c>
      <c r="AP108" s="46">
        <f t="shared" si="32"/>
        <v>0</v>
      </c>
      <c r="AQ108" s="46">
        <f t="shared" si="32"/>
        <v>0</v>
      </c>
      <c r="AR108" s="46">
        <f t="shared" si="32"/>
        <v>0</v>
      </c>
      <c r="AS108" s="46">
        <f t="shared" si="32"/>
        <v>0</v>
      </c>
      <c r="AT108" s="46">
        <f t="shared" si="32"/>
        <v>0</v>
      </c>
      <c r="AU108" s="46">
        <f t="shared" si="32"/>
        <v>0</v>
      </c>
      <c r="AV108" s="46">
        <f t="shared" si="32"/>
        <v>0</v>
      </c>
      <c r="AW108" s="46">
        <f t="shared" si="32"/>
        <v>0</v>
      </c>
      <c r="AX108" s="46">
        <f t="shared" si="32"/>
        <v>0</v>
      </c>
      <c r="AY108" s="46">
        <f t="shared" si="32"/>
        <v>0</v>
      </c>
      <c r="AZ108" s="46">
        <f t="shared" si="32"/>
        <v>0</v>
      </c>
    </row>
    <row r="109" spans="1:52" s="25" customFormat="1" ht="15" customHeight="1" outlineLevel="2" x14ac:dyDescent="0.45">
      <c r="A109" s="12">
        <v>3503405148</v>
      </c>
      <c r="B109" s="13">
        <v>10</v>
      </c>
      <c r="C109" s="13" t="s">
        <v>423</v>
      </c>
      <c r="D109" s="14"/>
      <c r="E109" s="14"/>
      <c r="F109" s="15" t="s">
        <v>255</v>
      </c>
      <c r="G109" s="15">
        <v>1083</v>
      </c>
      <c r="H109" s="15" t="s">
        <v>105</v>
      </c>
      <c r="I109" s="15" t="s">
        <v>98</v>
      </c>
      <c r="J109" s="14"/>
      <c r="K109" s="14">
        <v>45185</v>
      </c>
      <c r="L109" s="16" t="s">
        <v>424</v>
      </c>
      <c r="M109" s="14">
        <v>45091</v>
      </c>
      <c r="N109" s="17" t="str">
        <f t="shared" ref="N109:N115" si="33">+LEFT(L109,5)</f>
        <v>T3K61</v>
      </c>
      <c r="O109" s="18" t="s">
        <v>425</v>
      </c>
      <c r="P109" s="19" t="s">
        <v>258</v>
      </c>
      <c r="Q109" s="20" t="s">
        <v>102</v>
      </c>
      <c r="R109" s="21" t="s">
        <v>225</v>
      </c>
      <c r="S109" s="22">
        <f t="shared" si="24"/>
        <v>1044</v>
      </c>
      <c r="T109" s="22"/>
      <c r="U109" s="22"/>
      <c r="V109" s="22"/>
      <c r="W109" s="23"/>
      <c r="X109" s="23"/>
      <c r="Y109" s="23"/>
      <c r="Z109" s="23">
        <v>6</v>
      </c>
      <c r="AA109" s="23">
        <v>12</v>
      </c>
      <c r="AB109" s="23">
        <v>60</v>
      </c>
      <c r="AC109" s="23">
        <v>192</v>
      </c>
      <c r="AD109" s="23">
        <v>216</v>
      </c>
      <c r="AE109" s="23">
        <v>216</v>
      </c>
      <c r="AF109" s="23">
        <v>144</v>
      </c>
      <c r="AG109" s="23">
        <v>90</v>
      </c>
      <c r="AH109" s="23">
        <v>24</v>
      </c>
      <c r="AI109" s="23">
        <v>36</v>
      </c>
      <c r="AJ109" s="23">
        <v>6</v>
      </c>
      <c r="AK109" s="23">
        <v>24</v>
      </c>
      <c r="AL109" s="24"/>
      <c r="AM109" s="24">
        <v>12</v>
      </c>
      <c r="AN109" s="24"/>
      <c r="AO109" s="24">
        <v>6</v>
      </c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</row>
    <row r="110" spans="1:52" s="25" customFormat="1" ht="15" customHeight="1" outlineLevel="2" x14ac:dyDescent="0.45">
      <c r="A110" s="12">
        <v>3503405472</v>
      </c>
      <c r="B110" s="13">
        <v>10</v>
      </c>
      <c r="C110" s="13" t="s">
        <v>426</v>
      </c>
      <c r="D110" s="14"/>
      <c r="E110" s="14"/>
      <c r="F110" s="15" t="s">
        <v>255</v>
      </c>
      <c r="G110" s="15">
        <v>1041</v>
      </c>
      <c r="H110" s="15" t="s">
        <v>221</v>
      </c>
      <c r="I110" s="15" t="s">
        <v>98</v>
      </c>
      <c r="J110" s="14"/>
      <c r="K110" s="14">
        <v>45185</v>
      </c>
      <c r="L110" s="16" t="s">
        <v>427</v>
      </c>
      <c r="M110" s="14">
        <v>45091</v>
      </c>
      <c r="N110" s="17" t="str">
        <f t="shared" si="33"/>
        <v>T3K61</v>
      </c>
      <c r="O110" s="18" t="s">
        <v>425</v>
      </c>
      <c r="P110" s="19" t="s">
        <v>258</v>
      </c>
      <c r="Q110" s="20" t="s">
        <v>102</v>
      </c>
      <c r="R110" s="21" t="s">
        <v>225</v>
      </c>
      <c r="S110" s="22">
        <f t="shared" si="24"/>
        <v>222</v>
      </c>
      <c r="T110" s="22"/>
      <c r="U110" s="22"/>
      <c r="V110" s="22"/>
      <c r="W110" s="23"/>
      <c r="X110" s="23"/>
      <c r="Y110" s="23"/>
      <c r="Z110" s="23"/>
      <c r="AA110" s="23">
        <v>6</v>
      </c>
      <c r="AB110" s="23"/>
      <c r="AC110" s="23">
        <v>24</v>
      </c>
      <c r="AD110" s="23">
        <v>30</v>
      </c>
      <c r="AE110" s="23">
        <v>36</v>
      </c>
      <c r="AF110" s="23">
        <v>30</v>
      </c>
      <c r="AG110" s="23">
        <v>12</v>
      </c>
      <c r="AH110" s="23">
        <v>30</v>
      </c>
      <c r="AI110" s="23">
        <v>24</v>
      </c>
      <c r="AJ110" s="23"/>
      <c r="AK110" s="23">
        <v>18</v>
      </c>
      <c r="AL110" s="24"/>
      <c r="AM110" s="24">
        <v>12</v>
      </c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</row>
    <row r="111" spans="1:52" s="25" customFormat="1" ht="15" customHeight="1" outlineLevel="2" x14ac:dyDescent="0.45">
      <c r="A111" s="12">
        <v>3503405032</v>
      </c>
      <c r="B111" s="13">
        <v>10</v>
      </c>
      <c r="C111" s="13" t="s">
        <v>428</v>
      </c>
      <c r="D111" s="14"/>
      <c r="E111" s="14"/>
      <c r="F111" s="15" t="s">
        <v>255</v>
      </c>
      <c r="G111" s="15">
        <v>1038</v>
      </c>
      <c r="H111" s="15" t="s">
        <v>234</v>
      </c>
      <c r="I111" s="15" t="s">
        <v>98</v>
      </c>
      <c r="J111" s="14"/>
      <c r="K111" s="14">
        <v>45192</v>
      </c>
      <c r="L111" s="16" t="s">
        <v>429</v>
      </c>
      <c r="M111" s="14">
        <v>45091</v>
      </c>
      <c r="N111" s="17" t="str">
        <f t="shared" si="33"/>
        <v>T3K61</v>
      </c>
      <c r="O111" s="18" t="s">
        <v>425</v>
      </c>
      <c r="P111" s="19" t="s">
        <v>258</v>
      </c>
      <c r="Q111" s="20" t="s">
        <v>102</v>
      </c>
      <c r="R111" s="21" t="s">
        <v>225</v>
      </c>
      <c r="S111" s="22">
        <f t="shared" si="24"/>
        <v>234</v>
      </c>
      <c r="T111" s="22"/>
      <c r="U111" s="22"/>
      <c r="V111" s="22"/>
      <c r="W111" s="23"/>
      <c r="X111" s="23"/>
      <c r="Y111" s="23"/>
      <c r="Z111" s="23"/>
      <c r="AA111" s="23">
        <v>30</v>
      </c>
      <c r="AB111" s="23"/>
      <c r="AC111" s="23">
        <v>42</v>
      </c>
      <c r="AD111" s="23"/>
      <c r="AE111" s="23">
        <v>84</v>
      </c>
      <c r="AF111" s="23"/>
      <c r="AG111" s="23">
        <v>54</v>
      </c>
      <c r="AH111" s="23"/>
      <c r="AI111" s="23">
        <v>24</v>
      </c>
      <c r="AJ111" s="23"/>
      <c r="AK111" s="23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</row>
    <row r="112" spans="1:52" s="25" customFormat="1" ht="15" customHeight="1" outlineLevel="2" x14ac:dyDescent="0.45">
      <c r="A112" s="12">
        <v>4509528873</v>
      </c>
      <c r="B112" s="13">
        <v>10</v>
      </c>
      <c r="C112" s="13" t="s">
        <v>430</v>
      </c>
      <c r="D112" s="14"/>
      <c r="E112" s="14"/>
      <c r="F112" s="15" t="s">
        <v>255</v>
      </c>
      <c r="G112" s="15">
        <v>4992000</v>
      </c>
      <c r="H112" s="15" t="s">
        <v>111</v>
      </c>
      <c r="I112" s="15" t="s">
        <v>98</v>
      </c>
      <c r="J112" s="14"/>
      <c r="K112" s="14">
        <v>45192</v>
      </c>
      <c r="L112" s="16" t="s">
        <v>431</v>
      </c>
      <c r="M112" s="14">
        <v>45091</v>
      </c>
      <c r="N112" s="17" t="str">
        <f t="shared" si="33"/>
        <v>T3K61</v>
      </c>
      <c r="O112" s="18" t="s">
        <v>425</v>
      </c>
      <c r="P112" s="19" t="s">
        <v>258</v>
      </c>
      <c r="Q112" s="20" t="s">
        <v>102</v>
      </c>
      <c r="R112" s="21" t="s">
        <v>225</v>
      </c>
      <c r="S112" s="22">
        <f t="shared" si="24"/>
        <v>240</v>
      </c>
      <c r="T112" s="22"/>
      <c r="U112" s="22"/>
      <c r="V112" s="22"/>
      <c r="W112" s="23"/>
      <c r="X112" s="23"/>
      <c r="Y112" s="23"/>
      <c r="Z112" s="23"/>
      <c r="AA112" s="23">
        <v>20</v>
      </c>
      <c r="AB112" s="23">
        <v>20</v>
      </c>
      <c r="AC112" s="23">
        <v>20</v>
      </c>
      <c r="AD112" s="23">
        <v>40</v>
      </c>
      <c r="AE112" s="23">
        <v>60</v>
      </c>
      <c r="AF112" s="23">
        <v>60</v>
      </c>
      <c r="AG112" s="23">
        <v>20</v>
      </c>
      <c r="AH112" s="23"/>
      <c r="AI112" s="23"/>
      <c r="AJ112" s="23"/>
      <c r="AK112" s="23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</row>
    <row r="113" spans="1:52" s="25" customFormat="1" ht="15" customHeight="1" outlineLevel="2" x14ac:dyDescent="0.45">
      <c r="A113" s="12">
        <v>3503406253</v>
      </c>
      <c r="B113" s="13">
        <v>10</v>
      </c>
      <c r="C113" s="13" t="s">
        <v>432</v>
      </c>
      <c r="D113" s="14"/>
      <c r="E113" s="14"/>
      <c r="F113" s="15" t="s">
        <v>255</v>
      </c>
      <c r="G113" s="15">
        <v>5049730</v>
      </c>
      <c r="H113" s="15" t="s">
        <v>97</v>
      </c>
      <c r="I113" s="15" t="s">
        <v>98</v>
      </c>
      <c r="J113" s="14"/>
      <c r="K113" s="14">
        <v>45192</v>
      </c>
      <c r="L113" s="16" t="s">
        <v>433</v>
      </c>
      <c r="M113" s="14">
        <v>45091</v>
      </c>
      <c r="N113" s="17" t="str">
        <f t="shared" si="33"/>
        <v>T3K61</v>
      </c>
      <c r="O113" s="18" t="s">
        <v>425</v>
      </c>
      <c r="P113" s="19" t="s">
        <v>258</v>
      </c>
      <c r="Q113" s="20" t="s">
        <v>102</v>
      </c>
      <c r="R113" s="21" t="s">
        <v>225</v>
      </c>
      <c r="S113" s="22">
        <f t="shared" si="24"/>
        <v>600</v>
      </c>
      <c r="T113" s="22"/>
      <c r="U113" s="22"/>
      <c r="V113" s="22"/>
      <c r="W113" s="23"/>
      <c r="X113" s="23"/>
      <c r="Y113" s="23"/>
      <c r="Z113" s="23"/>
      <c r="AA113" s="23">
        <v>30</v>
      </c>
      <c r="AB113" s="23">
        <v>42</v>
      </c>
      <c r="AC113" s="23">
        <v>144</v>
      </c>
      <c r="AD113" s="23">
        <v>120</v>
      </c>
      <c r="AE113" s="23">
        <v>150</v>
      </c>
      <c r="AF113" s="23">
        <v>42</v>
      </c>
      <c r="AG113" s="23">
        <v>54</v>
      </c>
      <c r="AH113" s="23"/>
      <c r="AI113" s="23">
        <v>18</v>
      </c>
      <c r="AJ113" s="23"/>
      <c r="AK113" s="23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</row>
    <row r="114" spans="1:52" s="25" customFormat="1" ht="15" customHeight="1" outlineLevel="2" x14ac:dyDescent="0.45">
      <c r="A114" s="12">
        <v>4509527410</v>
      </c>
      <c r="B114" s="13">
        <v>30</v>
      </c>
      <c r="C114" s="13" t="s">
        <v>434</v>
      </c>
      <c r="D114" s="14"/>
      <c r="E114" s="14"/>
      <c r="F114" s="15" t="s">
        <v>255</v>
      </c>
      <c r="G114" s="15">
        <v>4992098</v>
      </c>
      <c r="H114" s="15" t="s">
        <v>271</v>
      </c>
      <c r="I114" s="15" t="s">
        <v>98</v>
      </c>
      <c r="J114" s="14"/>
      <c r="K114" s="14">
        <v>45192</v>
      </c>
      <c r="L114" s="16" t="s">
        <v>435</v>
      </c>
      <c r="M114" s="14">
        <v>45091</v>
      </c>
      <c r="N114" s="17" t="str">
        <f t="shared" si="33"/>
        <v>T3K61</v>
      </c>
      <c r="O114" s="18" t="s">
        <v>425</v>
      </c>
      <c r="P114" s="19" t="s">
        <v>258</v>
      </c>
      <c r="Q114" s="20" t="s">
        <v>102</v>
      </c>
      <c r="R114" s="21" t="s">
        <v>225</v>
      </c>
      <c r="S114" s="22">
        <f t="shared" si="24"/>
        <v>791</v>
      </c>
      <c r="T114" s="22"/>
      <c r="U114" s="22"/>
      <c r="V114" s="22"/>
      <c r="W114" s="23"/>
      <c r="X114" s="23"/>
      <c r="Y114" s="23"/>
      <c r="Z114" s="23"/>
      <c r="AA114" s="23">
        <v>62</v>
      </c>
      <c r="AB114" s="23">
        <v>127</v>
      </c>
      <c r="AC114" s="23"/>
      <c r="AD114" s="23">
        <v>192</v>
      </c>
      <c r="AE114" s="23"/>
      <c r="AF114" s="23">
        <v>196</v>
      </c>
      <c r="AG114" s="23">
        <v>139</v>
      </c>
      <c r="AH114" s="23"/>
      <c r="AI114" s="23">
        <v>75</v>
      </c>
      <c r="AJ114" s="23"/>
      <c r="AK114" s="23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</row>
    <row r="115" spans="1:52" s="25" customFormat="1" ht="15" customHeight="1" outlineLevel="2" x14ac:dyDescent="0.45">
      <c r="A115" s="12">
        <v>3503406003</v>
      </c>
      <c r="B115" s="13">
        <v>10</v>
      </c>
      <c r="C115" s="13" t="s">
        <v>436</v>
      </c>
      <c r="D115" s="14"/>
      <c r="E115" s="14"/>
      <c r="F115" s="15" t="s">
        <v>255</v>
      </c>
      <c r="G115" s="15">
        <v>1036</v>
      </c>
      <c r="H115" s="15" t="s">
        <v>231</v>
      </c>
      <c r="I115" s="15" t="s">
        <v>98</v>
      </c>
      <c r="J115" s="14"/>
      <c r="K115" s="14">
        <v>45199</v>
      </c>
      <c r="L115" s="16" t="s">
        <v>437</v>
      </c>
      <c r="M115" s="14">
        <v>45091</v>
      </c>
      <c r="N115" s="17" t="str">
        <f t="shared" si="33"/>
        <v>T3K61</v>
      </c>
      <c r="O115" s="18" t="s">
        <v>425</v>
      </c>
      <c r="P115" s="19" t="s">
        <v>258</v>
      </c>
      <c r="Q115" s="20" t="s">
        <v>102</v>
      </c>
      <c r="R115" s="21" t="s">
        <v>225</v>
      </c>
      <c r="S115" s="22">
        <f t="shared" si="24"/>
        <v>288</v>
      </c>
      <c r="T115" s="22"/>
      <c r="U115" s="22"/>
      <c r="V115" s="22"/>
      <c r="W115" s="23"/>
      <c r="X115" s="23"/>
      <c r="Y115" s="23"/>
      <c r="Z115" s="23"/>
      <c r="AA115" s="23">
        <v>6</v>
      </c>
      <c r="AB115" s="23">
        <v>6</v>
      </c>
      <c r="AC115" s="23">
        <v>42</v>
      </c>
      <c r="AD115" s="23">
        <v>6</v>
      </c>
      <c r="AE115" s="23">
        <v>78</v>
      </c>
      <c r="AF115" s="23">
        <v>12</v>
      </c>
      <c r="AG115" s="23">
        <v>60</v>
      </c>
      <c r="AH115" s="23">
        <v>12</v>
      </c>
      <c r="AI115" s="23">
        <v>36</v>
      </c>
      <c r="AJ115" s="23">
        <v>6</v>
      </c>
      <c r="AK115" s="23">
        <v>24</v>
      </c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</row>
    <row r="116" spans="1:52" s="26" customFormat="1" ht="15" customHeight="1" outlineLevel="1" x14ac:dyDescent="0.45">
      <c r="A116" s="38"/>
      <c r="B116" s="39"/>
      <c r="C116" s="39"/>
      <c r="D116" s="40"/>
      <c r="E116" s="40"/>
      <c r="F116" s="16"/>
      <c r="G116" s="16"/>
      <c r="H116" s="16"/>
      <c r="I116" s="16"/>
      <c r="J116" s="40"/>
      <c r="K116" s="40"/>
      <c r="L116" s="16"/>
      <c r="M116" s="40"/>
      <c r="N116" s="41" t="s">
        <v>438</v>
      </c>
      <c r="O116" s="42"/>
      <c r="P116" s="43"/>
      <c r="Q116" s="44"/>
      <c r="R116" s="45"/>
      <c r="S116" s="46">
        <f t="shared" ref="S116:AZ116" si="34">SUBTOTAL(9,S109:S115)</f>
        <v>3419</v>
      </c>
      <c r="T116" s="46">
        <f t="shared" si="34"/>
        <v>0</v>
      </c>
      <c r="U116" s="46">
        <f t="shared" si="34"/>
        <v>0</v>
      </c>
      <c r="V116" s="46">
        <f t="shared" si="34"/>
        <v>0</v>
      </c>
      <c r="W116" s="85">
        <f t="shared" si="34"/>
        <v>0</v>
      </c>
      <c r="X116" s="85">
        <f t="shared" si="34"/>
        <v>0</v>
      </c>
      <c r="Y116" s="85">
        <f t="shared" si="34"/>
        <v>0</v>
      </c>
      <c r="Z116" s="85">
        <f t="shared" si="34"/>
        <v>6</v>
      </c>
      <c r="AA116" s="85">
        <f t="shared" si="34"/>
        <v>166</v>
      </c>
      <c r="AB116" s="85">
        <f t="shared" si="34"/>
        <v>255</v>
      </c>
      <c r="AC116" s="85">
        <f t="shared" si="34"/>
        <v>464</v>
      </c>
      <c r="AD116" s="85">
        <f t="shared" si="34"/>
        <v>604</v>
      </c>
      <c r="AE116" s="85">
        <f t="shared" si="34"/>
        <v>624</v>
      </c>
      <c r="AF116" s="85">
        <f t="shared" si="34"/>
        <v>484</v>
      </c>
      <c r="AG116" s="85">
        <f t="shared" si="34"/>
        <v>429</v>
      </c>
      <c r="AH116" s="85">
        <f t="shared" si="34"/>
        <v>66</v>
      </c>
      <c r="AI116" s="85">
        <f t="shared" si="34"/>
        <v>213</v>
      </c>
      <c r="AJ116" s="85">
        <f t="shared" si="34"/>
        <v>12</v>
      </c>
      <c r="AK116" s="85">
        <f t="shared" si="34"/>
        <v>66</v>
      </c>
      <c r="AL116" s="86">
        <f t="shared" si="34"/>
        <v>0</v>
      </c>
      <c r="AM116" s="86">
        <f t="shared" si="34"/>
        <v>24</v>
      </c>
      <c r="AN116" s="86">
        <f t="shared" si="34"/>
        <v>0</v>
      </c>
      <c r="AO116" s="86">
        <f t="shared" si="34"/>
        <v>6</v>
      </c>
      <c r="AP116" s="86">
        <f t="shared" si="34"/>
        <v>0</v>
      </c>
      <c r="AQ116" s="86">
        <f t="shared" si="34"/>
        <v>0</v>
      </c>
      <c r="AR116" s="86">
        <f t="shared" si="34"/>
        <v>0</v>
      </c>
      <c r="AS116" s="86">
        <f t="shared" si="34"/>
        <v>0</v>
      </c>
      <c r="AT116" s="86">
        <f t="shared" si="34"/>
        <v>0</v>
      </c>
      <c r="AU116" s="86">
        <f t="shared" si="34"/>
        <v>0</v>
      </c>
      <c r="AV116" s="86">
        <f t="shared" si="34"/>
        <v>0</v>
      </c>
      <c r="AW116" s="86">
        <f t="shared" si="34"/>
        <v>0</v>
      </c>
      <c r="AX116" s="86">
        <f t="shared" si="34"/>
        <v>0</v>
      </c>
      <c r="AY116" s="86">
        <f t="shared" si="34"/>
        <v>0</v>
      </c>
      <c r="AZ116" s="86">
        <f t="shared" si="34"/>
        <v>0</v>
      </c>
    </row>
    <row r="117" spans="1:52" s="25" customFormat="1" ht="15" customHeight="1" outlineLevel="2" x14ac:dyDescent="0.45">
      <c r="A117" s="12">
        <v>4509528949</v>
      </c>
      <c r="B117" s="13">
        <v>10</v>
      </c>
      <c r="C117" s="13" t="s">
        <v>439</v>
      </c>
      <c r="D117" s="14"/>
      <c r="E117" s="14"/>
      <c r="F117" s="15" t="s">
        <v>243</v>
      </c>
      <c r="G117" s="15">
        <v>1098</v>
      </c>
      <c r="H117" s="15" t="s">
        <v>381</v>
      </c>
      <c r="I117" s="15" t="s">
        <v>152</v>
      </c>
      <c r="J117" s="14"/>
      <c r="K117" s="14">
        <v>45192</v>
      </c>
      <c r="L117" s="16" t="s">
        <v>440</v>
      </c>
      <c r="M117" s="14">
        <v>45091</v>
      </c>
      <c r="N117" s="17" t="str">
        <f>+LEFT(L117,5)</f>
        <v>T3K66</v>
      </c>
      <c r="O117" s="18" t="s">
        <v>252</v>
      </c>
      <c r="P117" s="19" t="s">
        <v>246</v>
      </c>
      <c r="Q117" s="20" t="s">
        <v>102</v>
      </c>
      <c r="R117" s="21" t="s">
        <v>225</v>
      </c>
      <c r="S117" s="22">
        <f t="shared" si="24"/>
        <v>1002</v>
      </c>
      <c r="T117" s="22"/>
      <c r="U117" s="22"/>
      <c r="V117" s="22"/>
      <c r="W117" s="23">
        <v>12</v>
      </c>
      <c r="X117" s="23"/>
      <c r="Y117" s="23">
        <v>24</v>
      </c>
      <c r="Z117" s="23">
        <v>18</v>
      </c>
      <c r="AA117" s="23">
        <v>54</v>
      </c>
      <c r="AB117" s="23">
        <v>30</v>
      </c>
      <c r="AC117" s="23">
        <v>108</v>
      </c>
      <c r="AD117" s="23">
        <v>60</v>
      </c>
      <c r="AE117" s="23">
        <v>192</v>
      </c>
      <c r="AF117" s="23">
        <v>90</v>
      </c>
      <c r="AG117" s="23">
        <v>174</v>
      </c>
      <c r="AH117" s="23">
        <v>54</v>
      </c>
      <c r="AI117" s="23">
        <v>120</v>
      </c>
      <c r="AJ117" s="23">
        <v>6</v>
      </c>
      <c r="AK117" s="23">
        <v>54</v>
      </c>
      <c r="AL117" s="24"/>
      <c r="AM117" s="24">
        <v>6</v>
      </c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</row>
    <row r="118" spans="1:52" s="25" customFormat="1" ht="15" customHeight="1" outlineLevel="2" x14ac:dyDescent="0.45">
      <c r="A118" s="12">
        <v>4509530293</v>
      </c>
      <c r="B118" s="13">
        <v>10</v>
      </c>
      <c r="C118" s="13" t="s">
        <v>441</v>
      </c>
      <c r="D118" s="14"/>
      <c r="E118" s="14" t="s">
        <v>165</v>
      </c>
      <c r="F118" s="15" t="s">
        <v>243</v>
      </c>
      <c r="G118" s="15">
        <v>1042</v>
      </c>
      <c r="H118" s="15" t="s">
        <v>151</v>
      </c>
      <c r="I118" s="15" t="s">
        <v>152</v>
      </c>
      <c r="J118" s="14"/>
      <c r="K118" s="14">
        <v>45206</v>
      </c>
      <c r="L118" s="16" t="s">
        <v>442</v>
      </c>
      <c r="M118" s="14">
        <v>45091</v>
      </c>
      <c r="N118" s="17" t="str">
        <f>+LEFT(L118,5)</f>
        <v>T3K66</v>
      </c>
      <c r="O118" s="18" t="s">
        <v>252</v>
      </c>
      <c r="P118" s="19" t="s">
        <v>246</v>
      </c>
      <c r="Q118" s="20" t="s">
        <v>102</v>
      </c>
      <c r="R118" s="21" t="s">
        <v>225</v>
      </c>
      <c r="S118" s="22">
        <f t="shared" si="24"/>
        <v>216</v>
      </c>
      <c r="T118" s="22"/>
      <c r="U118" s="22"/>
      <c r="V118" s="22"/>
      <c r="W118" s="23"/>
      <c r="X118" s="23"/>
      <c r="Y118" s="23"/>
      <c r="Z118" s="23"/>
      <c r="AA118" s="23">
        <v>6</v>
      </c>
      <c r="AB118" s="23">
        <v>6</v>
      </c>
      <c r="AC118" s="23">
        <v>18</v>
      </c>
      <c r="AD118" s="23">
        <v>18</v>
      </c>
      <c r="AE118" s="23">
        <v>24</v>
      </c>
      <c r="AF118" s="23">
        <v>24</v>
      </c>
      <c r="AG118" s="23">
        <v>30</v>
      </c>
      <c r="AH118" s="23">
        <v>24</v>
      </c>
      <c r="AI118" s="23">
        <v>24</v>
      </c>
      <c r="AJ118" s="23">
        <v>12</v>
      </c>
      <c r="AK118" s="23">
        <v>18</v>
      </c>
      <c r="AL118" s="24"/>
      <c r="AM118" s="24">
        <v>12</v>
      </c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</row>
    <row r="119" spans="1:52" s="26" customFormat="1" ht="15" customHeight="1" outlineLevel="1" x14ac:dyDescent="0.45">
      <c r="A119" s="38"/>
      <c r="B119" s="39"/>
      <c r="C119" s="39"/>
      <c r="D119" s="40"/>
      <c r="E119" s="40"/>
      <c r="F119" s="16"/>
      <c r="G119" s="16"/>
      <c r="H119" s="16"/>
      <c r="I119" s="16"/>
      <c r="J119" s="40"/>
      <c r="K119" s="40"/>
      <c r="L119" s="16"/>
      <c r="M119" s="40"/>
      <c r="N119" s="41" t="s">
        <v>443</v>
      </c>
      <c r="O119" s="42"/>
      <c r="P119" s="43"/>
      <c r="Q119" s="44"/>
      <c r="R119" s="45"/>
      <c r="S119" s="46">
        <f t="shared" ref="S119:AZ119" si="35">SUBTOTAL(9,S117:S118)</f>
        <v>1218</v>
      </c>
      <c r="T119" s="46">
        <f t="shared" si="35"/>
        <v>0</v>
      </c>
      <c r="U119" s="46">
        <f t="shared" si="35"/>
        <v>0</v>
      </c>
      <c r="V119" s="46">
        <f t="shared" si="35"/>
        <v>0</v>
      </c>
      <c r="W119" s="85">
        <f t="shared" si="35"/>
        <v>12</v>
      </c>
      <c r="X119" s="85">
        <f t="shared" si="35"/>
        <v>0</v>
      </c>
      <c r="Y119" s="85">
        <f t="shared" si="35"/>
        <v>24</v>
      </c>
      <c r="Z119" s="85">
        <f t="shared" si="35"/>
        <v>18</v>
      </c>
      <c r="AA119" s="85">
        <f t="shared" si="35"/>
        <v>60</v>
      </c>
      <c r="AB119" s="85">
        <f t="shared" si="35"/>
        <v>36</v>
      </c>
      <c r="AC119" s="85">
        <f t="shared" si="35"/>
        <v>126</v>
      </c>
      <c r="AD119" s="85">
        <f t="shared" si="35"/>
        <v>78</v>
      </c>
      <c r="AE119" s="85">
        <f t="shared" si="35"/>
        <v>216</v>
      </c>
      <c r="AF119" s="85">
        <f t="shared" si="35"/>
        <v>114</v>
      </c>
      <c r="AG119" s="85">
        <f t="shared" si="35"/>
        <v>204</v>
      </c>
      <c r="AH119" s="85">
        <f t="shared" si="35"/>
        <v>78</v>
      </c>
      <c r="AI119" s="85">
        <f t="shared" si="35"/>
        <v>144</v>
      </c>
      <c r="AJ119" s="85">
        <f t="shared" si="35"/>
        <v>18</v>
      </c>
      <c r="AK119" s="85">
        <f t="shared" si="35"/>
        <v>72</v>
      </c>
      <c r="AL119" s="86">
        <f t="shared" si="35"/>
        <v>0</v>
      </c>
      <c r="AM119" s="86">
        <f t="shared" si="35"/>
        <v>18</v>
      </c>
      <c r="AN119" s="86">
        <f t="shared" si="35"/>
        <v>0</v>
      </c>
      <c r="AO119" s="86">
        <f t="shared" si="35"/>
        <v>0</v>
      </c>
      <c r="AP119" s="86">
        <f t="shared" si="35"/>
        <v>0</v>
      </c>
      <c r="AQ119" s="86">
        <f t="shared" si="35"/>
        <v>0</v>
      </c>
      <c r="AR119" s="86">
        <f t="shared" si="35"/>
        <v>0</v>
      </c>
      <c r="AS119" s="86">
        <f t="shared" si="35"/>
        <v>0</v>
      </c>
      <c r="AT119" s="86">
        <f t="shared" si="35"/>
        <v>0</v>
      </c>
      <c r="AU119" s="86">
        <f t="shared" si="35"/>
        <v>0</v>
      </c>
      <c r="AV119" s="86">
        <f t="shared" si="35"/>
        <v>0</v>
      </c>
      <c r="AW119" s="86">
        <f t="shared" si="35"/>
        <v>0</v>
      </c>
      <c r="AX119" s="86">
        <f t="shared" si="35"/>
        <v>0</v>
      </c>
      <c r="AY119" s="86">
        <f t="shared" si="35"/>
        <v>0</v>
      </c>
      <c r="AZ119" s="86">
        <f t="shared" si="35"/>
        <v>0</v>
      </c>
    </row>
    <row r="120" spans="1:52" s="25" customFormat="1" ht="15" customHeight="1" outlineLevel="2" x14ac:dyDescent="0.45">
      <c r="A120" s="12">
        <v>4509529716</v>
      </c>
      <c r="B120" s="13">
        <v>10</v>
      </c>
      <c r="C120" s="13" t="s">
        <v>444</v>
      </c>
      <c r="D120" s="14"/>
      <c r="E120" s="14"/>
      <c r="F120" s="15" t="s">
        <v>4</v>
      </c>
      <c r="G120" s="15">
        <v>1014</v>
      </c>
      <c r="H120" s="15" t="s">
        <v>118</v>
      </c>
      <c r="I120" s="15" t="s">
        <v>152</v>
      </c>
      <c r="J120" s="14"/>
      <c r="K120" s="14">
        <v>45185</v>
      </c>
      <c r="L120" s="16" t="s">
        <v>445</v>
      </c>
      <c r="M120" s="14">
        <v>45091</v>
      </c>
      <c r="N120" s="17" t="str">
        <f>+LEFT(L120,5)</f>
        <v>T3K67</v>
      </c>
      <c r="O120" s="18" t="s">
        <v>446</v>
      </c>
      <c r="P120" s="19" t="s">
        <v>3</v>
      </c>
      <c r="Q120" s="20" t="s">
        <v>102</v>
      </c>
      <c r="R120" s="21" t="s">
        <v>6</v>
      </c>
      <c r="S120" s="22">
        <f t="shared" si="24"/>
        <v>570</v>
      </c>
      <c r="T120" s="22"/>
      <c r="U120" s="22"/>
      <c r="V120" s="22"/>
      <c r="W120" s="23">
        <v>6</v>
      </c>
      <c r="X120" s="23">
        <v>12</v>
      </c>
      <c r="Y120" s="23">
        <v>30</v>
      </c>
      <c r="Z120" s="23">
        <v>36</v>
      </c>
      <c r="AA120" s="23">
        <v>78</v>
      </c>
      <c r="AB120" s="23">
        <v>78</v>
      </c>
      <c r="AC120" s="23">
        <v>108</v>
      </c>
      <c r="AD120" s="23">
        <v>78</v>
      </c>
      <c r="AE120" s="23">
        <v>72</v>
      </c>
      <c r="AF120" s="23">
        <v>30</v>
      </c>
      <c r="AG120" s="23">
        <v>30</v>
      </c>
      <c r="AH120" s="23">
        <v>6</v>
      </c>
      <c r="AI120" s="23">
        <v>6</v>
      </c>
      <c r="AJ120" s="23"/>
      <c r="AK120" s="23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</row>
    <row r="121" spans="1:52" s="25" customFormat="1" ht="15" customHeight="1" outlineLevel="2" x14ac:dyDescent="0.45">
      <c r="A121" s="12">
        <v>4509528947</v>
      </c>
      <c r="B121" s="13">
        <v>10</v>
      </c>
      <c r="C121" s="13" t="s">
        <v>447</v>
      </c>
      <c r="D121" s="14"/>
      <c r="E121" s="14"/>
      <c r="F121" s="15" t="s">
        <v>4</v>
      </c>
      <c r="G121" s="15">
        <v>1098</v>
      </c>
      <c r="H121" s="15" t="s">
        <v>381</v>
      </c>
      <c r="I121" s="15" t="s">
        <v>152</v>
      </c>
      <c r="J121" s="14"/>
      <c r="K121" s="14">
        <v>45192</v>
      </c>
      <c r="L121" s="16" t="s">
        <v>448</v>
      </c>
      <c r="M121" s="14">
        <v>45091</v>
      </c>
      <c r="N121" s="17" t="str">
        <f>+LEFT(L121,5)</f>
        <v>T3K67</v>
      </c>
      <c r="O121" s="18" t="s">
        <v>446</v>
      </c>
      <c r="P121" s="19" t="s">
        <v>3</v>
      </c>
      <c r="Q121" s="20" t="s">
        <v>102</v>
      </c>
      <c r="R121" s="21" t="s">
        <v>6</v>
      </c>
      <c r="S121" s="22">
        <f t="shared" si="24"/>
        <v>1614</v>
      </c>
      <c r="T121" s="22"/>
      <c r="U121" s="22"/>
      <c r="V121" s="22"/>
      <c r="W121" s="23">
        <v>60</v>
      </c>
      <c r="X121" s="23">
        <v>54</v>
      </c>
      <c r="Y121" s="23">
        <v>168</v>
      </c>
      <c r="Z121" s="23">
        <v>174</v>
      </c>
      <c r="AA121" s="23">
        <v>300</v>
      </c>
      <c r="AB121" s="23">
        <v>258</v>
      </c>
      <c r="AC121" s="23">
        <v>234</v>
      </c>
      <c r="AD121" s="23">
        <v>150</v>
      </c>
      <c r="AE121" s="23">
        <v>126</v>
      </c>
      <c r="AF121" s="23">
        <v>42</v>
      </c>
      <c r="AG121" s="23">
        <v>42</v>
      </c>
      <c r="AH121" s="23">
        <v>6</v>
      </c>
      <c r="AI121" s="23"/>
      <c r="AJ121" s="23"/>
      <c r="AK121" s="23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</row>
    <row r="122" spans="1:52" s="26" customFormat="1" ht="15" customHeight="1" outlineLevel="1" x14ac:dyDescent="0.45">
      <c r="A122" s="38"/>
      <c r="B122" s="39"/>
      <c r="C122" s="39"/>
      <c r="D122" s="40"/>
      <c r="E122" s="40"/>
      <c r="F122" s="16"/>
      <c r="G122" s="16"/>
      <c r="H122" s="16"/>
      <c r="I122" s="16"/>
      <c r="J122" s="40"/>
      <c r="K122" s="40"/>
      <c r="L122" s="16"/>
      <c r="M122" s="40"/>
      <c r="N122" s="41" t="s">
        <v>449</v>
      </c>
      <c r="O122" s="42"/>
      <c r="P122" s="43"/>
      <c r="Q122" s="44"/>
      <c r="R122" s="45"/>
      <c r="S122" s="46">
        <f t="shared" ref="S122:AZ122" si="36">SUBTOTAL(9,S120:S121)</f>
        <v>2184</v>
      </c>
      <c r="T122" s="46">
        <f t="shared" si="36"/>
        <v>0</v>
      </c>
      <c r="U122" s="46">
        <f t="shared" si="36"/>
        <v>0</v>
      </c>
      <c r="V122" s="46">
        <f t="shared" si="36"/>
        <v>0</v>
      </c>
      <c r="W122" s="85">
        <f t="shared" si="36"/>
        <v>66</v>
      </c>
      <c r="X122" s="85">
        <f t="shared" si="36"/>
        <v>66</v>
      </c>
      <c r="Y122" s="85">
        <f t="shared" si="36"/>
        <v>198</v>
      </c>
      <c r="Z122" s="85">
        <f t="shared" si="36"/>
        <v>210</v>
      </c>
      <c r="AA122" s="85">
        <f t="shared" si="36"/>
        <v>378</v>
      </c>
      <c r="AB122" s="85">
        <f t="shared" si="36"/>
        <v>336</v>
      </c>
      <c r="AC122" s="85">
        <f t="shared" si="36"/>
        <v>342</v>
      </c>
      <c r="AD122" s="85">
        <f t="shared" si="36"/>
        <v>228</v>
      </c>
      <c r="AE122" s="85">
        <f t="shared" si="36"/>
        <v>198</v>
      </c>
      <c r="AF122" s="85">
        <f t="shared" si="36"/>
        <v>72</v>
      </c>
      <c r="AG122" s="85">
        <f t="shared" si="36"/>
        <v>72</v>
      </c>
      <c r="AH122" s="85">
        <f t="shared" si="36"/>
        <v>12</v>
      </c>
      <c r="AI122" s="85">
        <f t="shared" si="36"/>
        <v>6</v>
      </c>
      <c r="AJ122" s="85">
        <f t="shared" si="36"/>
        <v>0</v>
      </c>
      <c r="AK122" s="85">
        <f t="shared" si="36"/>
        <v>0</v>
      </c>
      <c r="AL122" s="86">
        <f t="shared" si="36"/>
        <v>0</v>
      </c>
      <c r="AM122" s="86">
        <f t="shared" si="36"/>
        <v>0</v>
      </c>
      <c r="AN122" s="86">
        <f t="shared" si="36"/>
        <v>0</v>
      </c>
      <c r="AO122" s="86">
        <f t="shared" si="36"/>
        <v>0</v>
      </c>
      <c r="AP122" s="86">
        <f t="shared" si="36"/>
        <v>0</v>
      </c>
      <c r="AQ122" s="86">
        <f t="shared" si="36"/>
        <v>0</v>
      </c>
      <c r="AR122" s="86">
        <f t="shared" si="36"/>
        <v>0</v>
      </c>
      <c r="AS122" s="86">
        <f t="shared" si="36"/>
        <v>0</v>
      </c>
      <c r="AT122" s="86">
        <f t="shared" si="36"/>
        <v>0</v>
      </c>
      <c r="AU122" s="86">
        <f t="shared" si="36"/>
        <v>0</v>
      </c>
      <c r="AV122" s="86">
        <f t="shared" si="36"/>
        <v>0</v>
      </c>
      <c r="AW122" s="86">
        <f t="shared" si="36"/>
        <v>0</v>
      </c>
      <c r="AX122" s="86">
        <f t="shared" si="36"/>
        <v>0</v>
      </c>
      <c r="AY122" s="86">
        <f t="shared" si="36"/>
        <v>0</v>
      </c>
      <c r="AZ122" s="86">
        <f t="shared" si="36"/>
        <v>0</v>
      </c>
    </row>
    <row r="123" spans="1:52" s="25" customFormat="1" ht="15" customHeight="1" outlineLevel="2" x14ac:dyDescent="0.45">
      <c r="A123" s="12">
        <v>4509528951</v>
      </c>
      <c r="B123" s="13">
        <v>20</v>
      </c>
      <c r="C123" s="13" t="s">
        <v>450</v>
      </c>
      <c r="D123" s="14"/>
      <c r="E123" s="14"/>
      <c r="F123" s="15" t="s">
        <v>366</v>
      </c>
      <c r="G123" s="15">
        <v>1098</v>
      </c>
      <c r="H123" s="15" t="s">
        <v>381</v>
      </c>
      <c r="I123" s="15" t="s">
        <v>152</v>
      </c>
      <c r="J123" s="14"/>
      <c r="K123" s="14">
        <v>45192</v>
      </c>
      <c r="L123" s="16" t="s">
        <v>451</v>
      </c>
      <c r="M123" s="14">
        <v>45091</v>
      </c>
      <c r="N123" s="17" t="str">
        <f>+LEFT(L123,5)</f>
        <v>T3K68</v>
      </c>
      <c r="O123" s="18" t="s">
        <v>368</v>
      </c>
      <c r="P123" s="19" t="s">
        <v>369</v>
      </c>
      <c r="Q123" s="20" t="s">
        <v>102</v>
      </c>
      <c r="R123" s="21" t="s">
        <v>225</v>
      </c>
      <c r="S123" s="22">
        <f t="shared" si="24"/>
        <v>1206</v>
      </c>
      <c r="T123" s="22"/>
      <c r="U123" s="22"/>
      <c r="V123" s="22"/>
      <c r="W123" s="23"/>
      <c r="X123" s="23"/>
      <c r="Y123" s="23"/>
      <c r="Z123" s="23"/>
      <c r="AA123" s="23">
        <v>60</v>
      </c>
      <c r="AB123" s="23">
        <v>42</v>
      </c>
      <c r="AC123" s="23">
        <v>156</v>
      </c>
      <c r="AD123" s="23">
        <v>114</v>
      </c>
      <c r="AE123" s="23">
        <v>246</v>
      </c>
      <c r="AF123" s="23">
        <v>144</v>
      </c>
      <c r="AG123" s="23">
        <v>192</v>
      </c>
      <c r="AH123" s="23">
        <v>78</v>
      </c>
      <c r="AI123" s="23">
        <v>102</v>
      </c>
      <c r="AJ123" s="23">
        <v>18</v>
      </c>
      <c r="AK123" s="23">
        <v>42</v>
      </c>
      <c r="AL123" s="24"/>
      <c r="AM123" s="24">
        <v>12</v>
      </c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</row>
    <row r="124" spans="1:52" s="26" customFormat="1" ht="15" customHeight="1" outlineLevel="1" x14ac:dyDescent="0.45">
      <c r="A124" s="38"/>
      <c r="B124" s="39"/>
      <c r="C124" s="39"/>
      <c r="D124" s="40"/>
      <c r="E124" s="40"/>
      <c r="F124" s="16"/>
      <c r="G124" s="16"/>
      <c r="H124" s="16"/>
      <c r="I124" s="16"/>
      <c r="J124" s="40"/>
      <c r="K124" s="40"/>
      <c r="L124" s="16"/>
      <c r="M124" s="40"/>
      <c r="N124" s="41" t="s">
        <v>452</v>
      </c>
      <c r="O124" s="42"/>
      <c r="P124" s="43"/>
      <c r="Q124" s="44"/>
      <c r="R124" s="45"/>
      <c r="S124" s="46">
        <f t="shared" ref="S124:AZ124" si="37">SUBTOTAL(9,S123:S123)</f>
        <v>1206</v>
      </c>
      <c r="T124" s="46">
        <f t="shared" si="37"/>
        <v>0</v>
      </c>
      <c r="U124" s="46">
        <f t="shared" si="37"/>
        <v>0</v>
      </c>
      <c r="V124" s="46">
        <f t="shared" si="37"/>
        <v>0</v>
      </c>
      <c r="W124" s="85">
        <f t="shared" si="37"/>
        <v>0</v>
      </c>
      <c r="X124" s="85">
        <f t="shared" si="37"/>
        <v>0</v>
      </c>
      <c r="Y124" s="85">
        <f t="shared" si="37"/>
        <v>0</v>
      </c>
      <c r="Z124" s="85">
        <f t="shared" si="37"/>
        <v>0</v>
      </c>
      <c r="AA124" s="85">
        <f t="shared" si="37"/>
        <v>60</v>
      </c>
      <c r="AB124" s="85">
        <f t="shared" si="37"/>
        <v>42</v>
      </c>
      <c r="AC124" s="85">
        <f t="shared" si="37"/>
        <v>156</v>
      </c>
      <c r="AD124" s="85">
        <f t="shared" si="37"/>
        <v>114</v>
      </c>
      <c r="AE124" s="85">
        <f t="shared" si="37"/>
        <v>246</v>
      </c>
      <c r="AF124" s="85">
        <f t="shared" si="37"/>
        <v>144</v>
      </c>
      <c r="AG124" s="85">
        <f t="shared" si="37"/>
        <v>192</v>
      </c>
      <c r="AH124" s="85">
        <f t="shared" si="37"/>
        <v>78</v>
      </c>
      <c r="AI124" s="85">
        <f t="shared" si="37"/>
        <v>102</v>
      </c>
      <c r="AJ124" s="85">
        <f t="shared" si="37"/>
        <v>18</v>
      </c>
      <c r="AK124" s="85">
        <f t="shared" si="37"/>
        <v>42</v>
      </c>
      <c r="AL124" s="86">
        <f t="shared" si="37"/>
        <v>0</v>
      </c>
      <c r="AM124" s="86">
        <f t="shared" si="37"/>
        <v>12</v>
      </c>
      <c r="AN124" s="86">
        <f t="shared" si="37"/>
        <v>0</v>
      </c>
      <c r="AO124" s="86">
        <f t="shared" si="37"/>
        <v>0</v>
      </c>
      <c r="AP124" s="86">
        <f t="shared" si="37"/>
        <v>0</v>
      </c>
      <c r="AQ124" s="86">
        <f t="shared" si="37"/>
        <v>0</v>
      </c>
      <c r="AR124" s="86">
        <f t="shared" si="37"/>
        <v>0</v>
      </c>
      <c r="AS124" s="86">
        <f t="shared" si="37"/>
        <v>0</v>
      </c>
      <c r="AT124" s="86">
        <f t="shared" si="37"/>
        <v>0</v>
      </c>
      <c r="AU124" s="86">
        <f t="shared" si="37"/>
        <v>0</v>
      </c>
      <c r="AV124" s="86">
        <f t="shared" si="37"/>
        <v>0</v>
      </c>
      <c r="AW124" s="86">
        <f t="shared" si="37"/>
        <v>0</v>
      </c>
      <c r="AX124" s="86">
        <f t="shared" si="37"/>
        <v>0</v>
      </c>
      <c r="AY124" s="86">
        <f t="shared" si="37"/>
        <v>0</v>
      </c>
      <c r="AZ124" s="86">
        <f t="shared" si="37"/>
        <v>0</v>
      </c>
    </row>
    <row r="125" spans="1:52" s="25" customFormat="1" ht="15" customHeight="1" outlineLevel="2" x14ac:dyDescent="0.45">
      <c r="A125" s="12">
        <v>4509530294</v>
      </c>
      <c r="B125" s="13">
        <v>30</v>
      </c>
      <c r="C125" s="13" t="s">
        <v>453</v>
      </c>
      <c r="D125" s="14"/>
      <c r="E125" s="14"/>
      <c r="F125" s="15" t="s">
        <v>366</v>
      </c>
      <c r="G125" s="15">
        <v>1042</v>
      </c>
      <c r="H125" s="15" t="s">
        <v>151</v>
      </c>
      <c r="I125" s="15" t="s">
        <v>152</v>
      </c>
      <c r="J125" s="14"/>
      <c r="K125" s="14">
        <v>45185</v>
      </c>
      <c r="L125" s="16" t="s">
        <v>454</v>
      </c>
      <c r="M125" s="14">
        <v>45091</v>
      </c>
      <c r="N125" s="17" t="str">
        <f>+LEFT(L125,5)</f>
        <v>T3K69</v>
      </c>
      <c r="O125" s="18" t="s">
        <v>455</v>
      </c>
      <c r="P125" s="19" t="s">
        <v>369</v>
      </c>
      <c r="Q125" s="20" t="s">
        <v>102</v>
      </c>
      <c r="R125" s="21" t="s">
        <v>225</v>
      </c>
      <c r="S125" s="22">
        <f t="shared" si="24"/>
        <v>7998</v>
      </c>
      <c r="T125" s="22"/>
      <c r="U125" s="22"/>
      <c r="V125" s="22"/>
      <c r="W125" s="23"/>
      <c r="X125" s="23"/>
      <c r="Y125" s="23"/>
      <c r="Z125" s="23">
        <v>6</v>
      </c>
      <c r="AA125" s="23">
        <v>150</v>
      </c>
      <c r="AB125" s="23">
        <v>162</v>
      </c>
      <c r="AC125" s="23">
        <v>480</v>
      </c>
      <c r="AD125" s="23">
        <v>552</v>
      </c>
      <c r="AE125" s="23">
        <v>960</v>
      </c>
      <c r="AF125" s="23">
        <v>936</v>
      </c>
      <c r="AG125" s="23">
        <v>1176</v>
      </c>
      <c r="AH125" s="23">
        <v>1008</v>
      </c>
      <c r="AI125" s="23">
        <v>984</v>
      </c>
      <c r="AJ125" s="23">
        <v>426</v>
      </c>
      <c r="AK125" s="23">
        <v>630</v>
      </c>
      <c r="AL125" s="24">
        <v>66</v>
      </c>
      <c r="AM125" s="24">
        <v>354</v>
      </c>
      <c r="AN125" s="24"/>
      <c r="AO125" s="24">
        <v>78</v>
      </c>
      <c r="AP125" s="24"/>
      <c r="AQ125" s="24">
        <v>30</v>
      </c>
      <c r="AR125" s="24"/>
      <c r="AS125" s="24"/>
      <c r="AT125" s="24"/>
      <c r="AU125" s="24"/>
      <c r="AV125" s="24"/>
      <c r="AW125" s="24"/>
      <c r="AX125" s="24"/>
      <c r="AY125" s="24"/>
      <c r="AZ125" s="24"/>
    </row>
    <row r="126" spans="1:52" s="26" customFormat="1" ht="15" customHeight="1" outlineLevel="1" x14ac:dyDescent="0.45">
      <c r="A126" s="38"/>
      <c r="B126" s="39"/>
      <c r="C126" s="39"/>
      <c r="D126" s="40"/>
      <c r="E126" s="40"/>
      <c r="F126" s="16"/>
      <c r="G126" s="16"/>
      <c r="H126" s="16"/>
      <c r="I126" s="16"/>
      <c r="J126" s="40"/>
      <c r="K126" s="40"/>
      <c r="L126" s="16"/>
      <c r="M126" s="40"/>
      <c r="N126" s="41" t="s">
        <v>456</v>
      </c>
      <c r="O126" s="42"/>
      <c r="P126" s="43"/>
      <c r="Q126" s="44"/>
      <c r="R126" s="45"/>
      <c r="S126" s="46">
        <f t="shared" ref="S126:AZ126" si="38">SUBTOTAL(9,S125:S125)</f>
        <v>7998</v>
      </c>
      <c r="T126" s="46">
        <f t="shared" si="38"/>
        <v>0</v>
      </c>
      <c r="U126" s="46">
        <f t="shared" si="38"/>
        <v>0</v>
      </c>
      <c r="V126" s="46">
        <f t="shared" si="38"/>
        <v>0</v>
      </c>
      <c r="W126" s="85">
        <f t="shared" si="38"/>
        <v>0</v>
      </c>
      <c r="X126" s="85">
        <f t="shared" si="38"/>
        <v>0</v>
      </c>
      <c r="Y126" s="85">
        <f t="shared" si="38"/>
        <v>0</v>
      </c>
      <c r="Z126" s="85">
        <f t="shared" si="38"/>
        <v>6</v>
      </c>
      <c r="AA126" s="85">
        <f t="shared" si="38"/>
        <v>150</v>
      </c>
      <c r="AB126" s="85">
        <f t="shared" si="38"/>
        <v>162</v>
      </c>
      <c r="AC126" s="85">
        <f t="shared" si="38"/>
        <v>480</v>
      </c>
      <c r="AD126" s="85">
        <f t="shared" si="38"/>
        <v>552</v>
      </c>
      <c r="AE126" s="85">
        <f t="shared" si="38"/>
        <v>960</v>
      </c>
      <c r="AF126" s="85">
        <f t="shared" si="38"/>
        <v>936</v>
      </c>
      <c r="AG126" s="85">
        <f t="shared" si="38"/>
        <v>1176</v>
      </c>
      <c r="AH126" s="85">
        <f t="shared" si="38"/>
        <v>1008</v>
      </c>
      <c r="AI126" s="85">
        <f t="shared" si="38"/>
        <v>984</v>
      </c>
      <c r="AJ126" s="85">
        <f t="shared" si="38"/>
        <v>426</v>
      </c>
      <c r="AK126" s="85">
        <f t="shared" si="38"/>
        <v>630</v>
      </c>
      <c r="AL126" s="86">
        <f t="shared" si="38"/>
        <v>66</v>
      </c>
      <c r="AM126" s="86">
        <f t="shared" si="38"/>
        <v>354</v>
      </c>
      <c r="AN126" s="86">
        <f t="shared" si="38"/>
        <v>0</v>
      </c>
      <c r="AO126" s="86">
        <f t="shared" si="38"/>
        <v>78</v>
      </c>
      <c r="AP126" s="86">
        <f t="shared" si="38"/>
        <v>0</v>
      </c>
      <c r="AQ126" s="86">
        <f t="shared" si="38"/>
        <v>30</v>
      </c>
      <c r="AR126" s="86">
        <f t="shared" si="38"/>
        <v>0</v>
      </c>
      <c r="AS126" s="86">
        <f t="shared" si="38"/>
        <v>0</v>
      </c>
      <c r="AT126" s="86">
        <f t="shared" si="38"/>
        <v>0</v>
      </c>
      <c r="AU126" s="86">
        <f t="shared" si="38"/>
        <v>0</v>
      </c>
      <c r="AV126" s="86">
        <f t="shared" si="38"/>
        <v>0</v>
      </c>
      <c r="AW126" s="86">
        <f t="shared" si="38"/>
        <v>0</v>
      </c>
      <c r="AX126" s="86">
        <f t="shared" si="38"/>
        <v>0</v>
      </c>
      <c r="AY126" s="86">
        <f t="shared" si="38"/>
        <v>0</v>
      </c>
      <c r="AZ126" s="86">
        <f t="shared" si="38"/>
        <v>0</v>
      </c>
    </row>
    <row r="127" spans="1:52" s="25" customFormat="1" ht="15" customHeight="1" outlineLevel="2" x14ac:dyDescent="0.45">
      <c r="A127" s="12">
        <v>4509530294</v>
      </c>
      <c r="B127" s="13">
        <v>40</v>
      </c>
      <c r="C127" s="13" t="s">
        <v>457</v>
      </c>
      <c r="D127" s="14"/>
      <c r="E127" s="14"/>
      <c r="F127" s="15" t="s">
        <v>366</v>
      </c>
      <c r="G127" s="15">
        <v>1042</v>
      </c>
      <c r="H127" s="15" t="s">
        <v>151</v>
      </c>
      <c r="I127" s="15" t="s">
        <v>152</v>
      </c>
      <c r="J127" s="14"/>
      <c r="K127" s="14">
        <v>45192</v>
      </c>
      <c r="L127" s="16" t="s">
        <v>458</v>
      </c>
      <c r="M127" s="14">
        <v>45091</v>
      </c>
      <c r="N127" s="17" t="str">
        <f>+LEFT(L127,5)</f>
        <v>T3K70</v>
      </c>
      <c r="O127" s="18" t="s">
        <v>455</v>
      </c>
      <c r="P127" s="19" t="s">
        <v>369</v>
      </c>
      <c r="Q127" s="20" t="s">
        <v>102</v>
      </c>
      <c r="R127" s="21" t="s">
        <v>225</v>
      </c>
      <c r="S127" s="22">
        <f t="shared" si="24"/>
        <v>7998</v>
      </c>
      <c r="T127" s="22"/>
      <c r="U127" s="22"/>
      <c r="V127" s="22"/>
      <c r="W127" s="23"/>
      <c r="X127" s="23"/>
      <c r="Y127" s="23"/>
      <c r="Z127" s="23">
        <v>6</v>
      </c>
      <c r="AA127" s="23">
        <v>150</v>
      </c>
      <c r="AB127" s="23">
        <v>162</v>
      </c>
      <c r="AC127" s="23">
        <v>480</v>
      </c>
      <c r="AD127" s="23">
        <v>552</v>
      </c>
      <c r="AE127" s="23">
        <v>960</v>
      </c>
      <c r="AF127" s="23">
        <v>936</v>
      </c>
      <c r="AG127" s="23">
        <v>1176</v>
      </c>
      <c r="AH127" s="23">
        <v>1008</v>
      </c>
      <c r="AI127" s="23">
        <v>984</v>
      </c>
      <c r="AJ127" s="23">
        <v>426</v>
      </c>
      <c r="AK127" s="23">
        <v>630</v>
      </c>
      <c r="AL127" s="24">
        <v>66</v>
      </c>
      <c r="AM127" s="24">
        <v>354</v>
      </c>
      <c r="AN127" s="24"/>
      <c r="AO127" s="24">
        <v>78</v>
      </c>
      <c r="AP127" s="24"/>
      <c r="AQ127" s="24">
        <v>30</v>
      </c>
      <c r="AR127" s="24"/>
      <c r="AS127" s="24"/>
      <c r="AT127" s="24"/>
      <c r="AU127" s="24"/>
      <c r="AV127" s="24"/>
      <c r="AW127" s="24"/>
      <c r="AX127" s="24"/>
      <c r="AY127" s="24"/>
      <c r="AZ127" s="24"/>
    </row>
    <row r="128" spans="1:52" s="26" customFormat="1" ht="15" customHeight="1" outlineLevel="1" x14ac:dyDescent="0.45">
      <c r="A128" s="38"/>
      <c r="B128" s="39"/>
      <c r="C128" s="39"/>
      <c r="D128" s="40"/>
      <c r="E128" s="40"/>
      <c r="F128" s="16"/>
      <c r="G128" s="16"/>
      <c r="H128" s="16"/>
      <c r="I128" s="16"/>
      <c r="J128" s="40"/>
      <c r="K128" s="40"/>
      <c r="L128" s="16"/>
      <c r="M128" s="40"/>
      <c r="N128" s="41" t="s">
        <v>459</v>
      </c>
      <c r="O128" s="42"/>
      <c r="P128" s="43"/>
      <c r="Q128" s="44"/>
      <c r="R128" s="45"/>
      <c r="S128" s="46">
        <f t="shared" ref="S128:AZ128" si="39">SUBTOTAL(9,S127:S127)</f>
        <v>7998</v>
      </c>
      <c r="T128" s="46">
        <f t="shared" si="39"/>
        <v>0</v>
      </c>
      <c r="U128" s="46">
        <f t="shared" si="39"/>
        <v>0</v>
      </c>
      <c r="V128" s="46">
        <f t="shared" si="39"/>
        <v>0</v>
      </c>
      <c r="W128" s="85">
        <f t="shared" si="39"/>
        <v>0</v>
      </c>
      <c r="X128" s="85">
        <f t="shared" si="39"/>
        <v>0</v>
      </c>
      <c r="Y128" s="85">
        <f t="shared" si="39"/>
        <v>0</v>
      </c>
      <c r="Z128" s="85">
        <f t="shared" si="39"/>
        <v>6</v>
      </c>
      <c r="AA128" s="85">
        <f t="shared" si="39"/>
        <v>150</v>
      </c>
      <c r="AB128" s="85">
        <f t="shared" si="39"/>
        <v>162</v>
      </c>
      <c r="AC128" s="85">
        <f t="shared" si="39"/>
        <v>480</v>
      </c>
      <c r="AD128" s="85">
        <f t="shared" si="39"/>
        <v>552</v>
      </c>
      <c r="AE128" s="85">
        <f t="shared" si="39"/>
        <v>960</v>
      </c>
      <c r="AF128" s="85">
        <f t="shared" si="39"/>
        <v>936</v>
      </c>
      <c r="AG128" s="85">
        <f t="shared" si="39"/>
        <v>1176</v>
      </c>
      <c r="AH128" s="85">
        <f t="shared" si="39"/>
        <v>1008</v>
      </c>
      <c r="AI128" s="85">
        <f t="shared" si="39"/>
        <v>984</v>
      </c>
      <c r="AJ128" s="85">
        <f t="shared" si="39"/>
        <v>426</v>
      </c>
      <c r="AK128" s="85">
        <f t="shared" si="39"/>
        <v>630</v>
      </c>
      <c r="AL128" s="86">
        <f t="shared" si="39"/>
        <v>66</v>
      </c>
      <c r="AM128" s="86">
        <f t="shared" si="39"/>
        <v>354</v>
      </c>
      <c r="AN128" s="86">
        <f t="shared" si="39"/>
        <v>0</v>
      </c>
      <c r="AO128" s="86">
        <f t="shared" si="39"/>
        <v>78</v>
      </c>
      <c r="AP128" s="86">
        <f t="shared" si="39"/>
        <v>0</v>
      </c>
      <c r="AQ128" s="86">
        <f t="shared" si="39"/>
        <v>30</v>
      </c>
      <c r="AR128" s="86">
        <f t="shared" si="39"/>
        <v>0</v>
      </c>
      <c r="AS128" s="86">
        <f t="shared" si="39"/>
        <v>0</v>
      </c>
      <c r="AT128" s="86">
        <f t="shared" si="39"/>
        <v>0</v>
      </c>
      <c r="AU128" s="86">
        <f t="shared" si="39"/>
        <v>0</v>
      </c>
      <c r="AV128" s="86">
        <f t="shared" si="39"/>
        <v>0</v>
      </c>
      <c r="AW128" s="86">
        <f t="shared" si="39"/>
        <v>0</v>
      </c>
      <c r="AX128" s="86">
        <f t="shared" si="39"/>
        <v>0</v>
      </c>
      <c r="AY128" s="86">
        <f t="shared" si="39"/>
        <v>0</v>
      </c>
      <c r="AZ128" s="86">
        <f t="shared" si="39"/>
        <v>0</v>
      </c>
    </row>
    <row r="129" spans="1:52" s="25" customFormat="1" ht="15" customHeight="1" outlineLevel="2" x14ac:dyDescent="0.45">
      <c r="A129" s="12">
        <v>4509530294</v>
      </c>
      <c r="B129" s="13">
        <v>10</v>
      </c>
      <c r="C129" s="13" t="s">
        <v>460</v>
      </c>
      <c r="D129" s="14"/>
      <c r="E129" s="14"/>
      <c r="F129" s="15" t="s">
        <v>366</v>
      </c>
      <c r="G129" s="15">
        <v>1042</v>
      </c>
      <c r="H129" s="15" t="s">
        <v>151</v>
      </c>
      <c r="I129" s="15" t="s">
        <v>152</v>
      </c>
      <c r="J129" s="14"/>
      <c r="K129" s="14">
        <v>45185</v>
      </c>
      <c r="L129" s="16" t="s">
        <v>461</v>
      </c>
      <c r="M129" s="14">
        <v>45091</v>
      </c>
      <c r="N129" s="17" t="str">
        <f>+LEFT(L129,5)</f>
        <v>T3K71</v>
      </c>
      <c r="O129" s="18" t="s">
        <v>462</v>
      </c>
      <c r="P129" s="19" t="s">
        <v>369</v>
      </c>
      <c r="Q129" s="20" t="s">
        <v>102</v>
      </c>
      <c r="R129" s="21" t="s">
        <v>225</v>
      </c>
      <c r="S129" s="22">
        <f t="shared" si="24"/>
        <v>6144</v>
      </c>
      <c r="T129" s="22"/>
      <c r="U129" s="22"/>
      <c r="V129" s="22"/>
      <c r="W129" s="23"/>
      <c r="X129" s="23"/>
      <c r="Y129" s="23"/>
      <c r="Z129" s="23">
        <v>6</v>
      </c>
      <c r="AA129" s="23">
        <v>120</v>
      </c>
      <c r="AB129" s="23">
        <v>120</v>
      </c>
      <c r="AC129" s="23">
        <v>366</v>
      </c>
      <c r="AD129" s="23">
        <v>420</v>
      </c>
      <c r="AE129" s="23">
        <v>738</v>
      </c>
      <c r="AF129" s="23">
        <v>720</v>
      </c>
      <c r="AG129" s="23">
        <v>906</v>
      </c>
      <c r="AH129" s="23">
        <v>774</v>
      </c>
      <c r="AI129" s="23">
        <v>756</v>
      </c>
      <c r="AJ129" s="23">
        <v>324</v>
      </c>
      <c r="AK129" s="23">
        <v>486</v>
      </c>
      <c r="AL129" s="24">
        <v>48</v>
      </c>
      <c r="AM129" s="24">
        <v>276</v>
      </c>
      <c r="AN129" s="24"/>
      <c r="AO129" s="24">
        <v>60</v>
      </c>
      <c r="AP129" s="24"/>
      <c r="AQ129" s="24">
        <v>24</v>
      </c>
      <c r="AR129" s="24"/>
      <c r="AS129" s="24"/>
      <c r="AT129" s="24"/>
      <c r="AU129" s="24"/>
      <c r="AV129" s="24"/>
      <c r="AW129" s="24"/>
      <c r="AX129" s="24"/>
      <c r="AY129" s="24"/>
      <c r="AZ129" s="24"/>
    </row>
    <row r="130" spans="1:52" s="26" customFormat="1" ht="15" customHeight="1" outlineLevel="1" x14ac:dyDescent="0.45">
      <c r="A130" s="38"/>
      <c r="B130" s="39"/>
      <c r="C130" s="39"/>
      <c r="D130" s="40"/>
      <c r="E130" s="40"/>
      <c r="F130" s="16"/>
      <c r="G130" s="16"/>
      <c r="H130" s="16"/>
      <c r="I130" s="16"/>
      <c r="J130" s="40"/>
      <c r="K130" s="40"/>
      <c r="L130" s="16"/>
      <c r="M130" s="40"/>
      <c r="N130" s="41" t="s">
        <v>463</v>
      </c>
      <c r="O130" s="42"/>
      <c r="P130" s="43"/>
      <c r="Q130" s="44"/>
      <c r="R130" s="45"/>
      <c r="S130" s="46">
        <f t="shared" ref="S130:AZ130" si="40">SUBTOTAL(9,S129:S129)</f>
        <v>6144</v>
      </c>
      <c r="T130" s="46">
        <f t="shared" si="40"/>
        <v>0</v>
      </c>
      <c r="U130" s="46">
        <f t="shared" si="40"/>
        <v>0</v>
      </c>
      <c r="V130" s="46">
        <f t="shared" si="40"/>
        <v>0</v>
      </c>
      <c r="W130" s="85">
        <f t="shared" si="40"/>
        <v>0</v>
      </c>
      <c r="X130" s="85">
        <f t="shared" si="40"/>
        <v>0</v>
      </c>
      <c r="Y130" s="85">
        <f t="shared" si="40"/>
        <v>0</v>
      </c>
      <c r="Z130" s="85">
        <f t="shared" si="40"/>
        <v>6</v>
      </c>
      <c r="AA130" s="85">
        <f t="shared" si="40"/>
        <v>120</v>
      </c>
      <c r="AB130" s="85">
        <f t="shared" si="40"/>
        <v>120</v>
      </c>
      <c r="AC130" s="85">
        <f t="shared" si="40"/>
        <v>366</v>
      </c>
      <c r="AD130" s="85">
        <f t="shared" si="40"/>
        <v>420</v>
      </c>
      <c r="AE130" s="85">
        <f t="shared" si="40"/>
        <v>738</v>
      </c>
      <c r="AF130" s="85">
        <f t="shared" si="40"/>
        <v>720</v>
      </c>
      <c r="AG130" s="85">
        <f t="shared" si="40"/>
        <v>906</v>
      </c>
      <c r="AH130" s="85">
        <f t="shared" si="40"/>
        <v>774</v>
      </c>
      <c r="AI130" s="85">
        <f t="shared" si="40"/>
        <v>756</v>
      </c>
      <c r="AJ130" s="85">
        <f t="shared" si="40"/>
        <v>324</v>
      </c>
      <c r="AK130" s="85">
        <f t="shared" si="40"/>
        <v>486</v>
      </c>
      <c r="AL130" s="86">
        <f t="shared" si="40"/>
        <v>48</v>
      </c>
      <c r="AM130" s="86">
        <f t="shared" si="40"/>
        <v>276</v>
      </c>
      <c r="AN130" s="86">
        <f t="shared" si="40"/>
        <v>0</v>
      </c>
      <c r="AO130" s="86">
        <f t="shared" si="40"/>
        <v>60</v>
      </c>
      <c r="AP130" s="86">
        <f t="shared" si="40"/>
        <v>0</v>
      </c>
      <c r="AQ130" s="86">
        <f t="shared" si="40"/>
        <v>24</v>
      </c>
      <c r="AR130" s="86">
        <f t="shared" si="40"/>
        <v>0</v>
      </c>
      <c r="AS130" s="86">
        <f t="shared" si="40"/>
        <v>0</v>
      </c>
      <c r="AT130" s="86">
        <f t="shared" si="40"/>
        <v>0</v>
      </c>
      <c r="AU130" s="86">
        <f t="shared" si="40"/>
        <v>0</v>
      </c>
      <c r="AV130" s="86">
        <f t="shared" si="40"/>
        <v>0</v>
      </c>
      <c r="AW130" s="86">
        <f t="shared" si="40"/>
        <v>0</v>
      </c>
      <c r="AX130" s="86">
        <f t="shared" si="40"/>
        <v>0</v>
      </c>
      <c r="AY130" s="86">
        <f t="shared" si="40"/>
        <v>0</v>
      </c>
      <c r="AZ130" s="86">
        <f t="shared" si="40"/>
        <v>0</v>
      </c>
    </row>
    <row r="131" spans="1:52" s="25" customFormat="1" ht="15" customHeight="1" outlineLevel="2" x14ac:dyDescent="0.45">
      <c r="A131" s="12">
        <v>4509530294</v>
      </c>
      <c r="B131" s="13">
        <v>20</v>
      </c>
      <c r="C131" s="13" t="s">
        <v>464</v>
      </c>
      <c r="D131" s="14"/>
      <c r="E131" s="14"/>
      <c r="F131" s="15" t="s">
        <v>366</v>
      </c>
      <c r="G131" s="15">
        <v>1042</v>
      </c>
      <c r="H131" s="15" t="s">
        <v>151</v>
      </c>
      <c r="I131" s="15" t="s">
        <v>152</v>
      </c>
      <c r="J131" s="14"/>
      <c r="K131" s="14">
        <v>45185</v>
      </c>
      <c r="L131" s="16" t="s">
        <v>465</v>
      </c>
      <c r="M131" s="14">
        <v>45091</v>
      </c>
      <c r="N131" s="17" t="str">
        <f>+LEFT(L131,5)</f>
        <v>T3K72</v>
      </c>
      <c r="O131" s="18" t="s">
        <v>462</v>
      </c>
      <c r="P131" s="19" t="s">
        <v>369</v>
      </c>
      <c r="Q131" s="20" t="s">
        <v>102</v>
      </c>
      <c r="R131" s="21" t="s">
        <v>225</v>
      </c>
      <c r="S131" s="22">
        <f t="shared" si="24"/>
        <v>6144</v>
      </c>
      <c r="T131" s="22"/>
      <c r="U131" s="22"/>
      <c r="V131" s="22"/>
      <c r="W131" s="23"/>
      <c r="X131" s="23"/>
      <c r="Y131" s="23"/>
      <c r="Z131" s="23">
        <v>6</v>
      </c>
      <c r="AA131" s="23">
        <v>120</v>
      </c>
      <c r="AB131" s="23">
        <v>120</v>
      </c>
      <c r="AC131" s="23">
        <v>366</v>
      </c>
      <c r="AD131" s="23">
        <v>420</v>
      </c>
      <c r="AE131" s="23">
        <v>738</v>
      </c>
      <c r="AF131" s="23">
        <v>720</v>
      </c>
      <c r="AG131" s="23">
        <v>906</v>
      </c>
      <c r="AH131" s="23">
        <v>774</v>
      </c>
      <c r="AI131" s="23">
        <v>756</v>
      </c>
      <c r="AJ131" s="23">
        <v>324</v>
      </c>
      <c r="AK131" s="23">
        <v>486</v>
      </c>
      <c r="AL131" s="24">
        <v>48</v>
      </c>
      <c r="AM131" s="24">
        <v>276</v>
      </c>
      <c r="AN131" s="24"/>
      <c r="AO131" s="24">
        <v>60</v>
      </c>
      <c r="AP131" s="24"/>
      <c r="AQ131" s="24">
        <v>24</v>
      </c>
      <c r="AR131" s="24"/>
      <c r="AS131" s="24"/>
      <c r="AT131" s="24"/>
      <c r="AU131" s="24"/>
      <c r="AV131" s="24"/>
      <c r="AW131" s="24"/>
      <c r="AX131" s="24"/>
      <c r="AY131" s="24"/>
      <c r="AZ131" s="24"/>
    </row>
    <row r="132" spans="1:52" s="26" customFormat="1" ht="15" customHeight="1" outlineLevel="1" x14ac:dyDescent="0.45">
      <c r="A132" s="38"/>
      <c r="B132" s="39"/>
      <c r="C132" s="39"/>
      <c r="D132" s="40"/>
      <c r="E132" s="40"/>
      <c r="F132" s="16"/>
      <c r="G132" s="16"/>
      <c r="H132" s="16"/>
      <c r="I132" s="16"/>
      <c r="J132" s="40"/>
      <c r="K132" s="40"/>
      <c r="L132" s="16"/>
      <c r="M132" s="40"/>
      <c r="N132" s="41" t="s">
        <v>466</v>
      </c>
      <c r="O132" s="42"/>
      <c r="P132" s="43"/>
      <c r="Q132" s="44"/>
      <c r="R132" s="45"/>
      <c r="S132" s="46">
        <f t="shared" ref="S132:AZ132" si="41">SUBTOTAL(9,S131:S131)</f>
        <v>6144</v>
      </c>
      <c r="T132" s="46">
        <f t="shared" si="41"/>
        <v>0</v>
      </c>
      <c r="U132" s="46">
        <f t="shared" si="41"/>
        <v>0</v>
      </c>
      <c r="V132" s="46">
        <f t="shared" si="41"/>
        <v>0</v>
      </c>
      <c r="W132" s="85">
        <f t="shared" si="41"/>
        <v>0</v>
      </c>
      <c r="X132" s="85">
        <f t="shared" si="41"/>
        <v>0</v>
      </c>
      <c r="Y132" s="85">
        <f t="shared" si="41"/>
        <v>0</v>
      </c>
      <c r="Z132" s="85">
        <f t="shared" si="41"/>
        <v>6</v>
      </c>
      <c r="AA132" s="85">
        <f t="shared" si="41"/>
        <v>120</v>
      </c>
      <c r="AB132" s="85">
        <f t="shared" si="41"/>
        <v>120</v>
      </c>
      <c r="AC132" s="85">
        <f t="shared" si="41"/>
        <v>366</v>
      </c>
      <c r="AD132" s="85">
        <f t="shared" si="41"/>
        <v>420</v>
      </c>
      <c r="AE132" s="85">
        <f t="shared" si="41"/>
        <v>738</v>
      </c>
      <c r="AF132" s="85">
        <f t="shared" si="41"/>
        <v>720</v>
      </c>
      <c r="AG132" s="85">
        <f t="shared" si="41"/>
        <v>906</v>
      </c>
      <c r="AH132" s="85">
        <f t="shared" si="41"/>
        <v>774</v>
      </c>
      <c r="AI132" s="85">
        <f t="shared" si="41"/>
        <v>756</v>
      </c>
      <c r="AJ132" s="85">
        <f t="shared" si="41"/>
        <v>324</v>
      </c>
      <c r="AK132" s="85">
        <f t="shared" si="41"/>
        <v>486</v>
      </c>
      <c r="AL132" s="86">
        <f t="shared" si="41"/>
        <v>48</v>
      </c>
      <c r="AM132" s="86">
        <f t="shared" si="41"/>
        <v>276</v>
      </c>
      <c r="AN132" s="86">
        <f t="shared" si="41"/>
        <v>0</v>
      </c>
      <c r="AO132" s="86">
        <f t="shared" si="41"/>
        <v>60</v>
      </c>
      <c r="AP132" s="86">
        <f t="shared" si="41"/>
        <v>0</v>
      </c>
      <c r="AQ132" s="86">
        <f t="shared" si="41"/>
        <v>24</v>
      </c>
      <c r="AR132" s="86">
        <f t="shared" si="41"/>
        <v>0</v>
      </c>
      <c r="AS132" s="86">
        <f t="shared" si="41"/>
        <v>0</v>
      </c>
      <c r="AT132" s="86">
        <f t="shared" si="41"/>
        <v>0</v>
      </c>
      <c r="AU132" s="86">
        <f t="shared" si="41"/>
        <v>0</v>
      </c>
      <c r="AV132" s="86">
        <f t="shared" si="41"/>
        <v>0</v>
      </c>
      <c r="AW132" s="86">
        <f t="shared" si="41"/>
        <v>0</v>
      </c>
      <c r="AX132" s="86">
        <f t="shared" si="41"/>
        <v>0</v>
      </c>
      <c r="AY132" s="86">
        <f t="shared" si="41"/>
        <v>0</v>
      </c>
      <c r="AZ132" s="86">
        <f t="shared" si="41"/>
        <v>0</v>
      </c>
    </row>
    <row r="133" spans="1:52" s="25" customFormat="1" ht="15" customHeight="1" outlineLevel="2" x14ac:dyDescent="0.45">
      <c r="A133" s="12">
        <v>4509530294</v>
      </c>
      <c r="B133" s="13">
        <v>50</v>
      </c>
      <c r="C133" s="13" t="s">
        <v>467</v>
      </c>
      <c r="D133" s="14"/>
      <c r="E133" s="14"/>
      <c r="F133" s="15" t="s">
        <v>366</v>
      </c>
      <c r="G133" s="15">
        <v>1042</v>
      </c>
      <c r="H133" s="15" t="s">
        <v>151</v>
      </c>
      <c r="I133" s="15" t="s">
        <v>152</v>
      </c>
      <c r="J133" s="14"/>
      <c r="K133" s="14">
        <v>45192</v>
      </c>
      <c r="L133" s="16" t="s">
        <v>468</v>
      </c>
      <c r="M133" s="14">
        <v>45091</v>
      </c>
      <c r="N133" s="17" t="str">
        <f>+LEFT(L133,5)</f>
        <v>T3K73</v>
      </c>
      <c r="O133" s="18" t="s">
        <v>462</v>
      </c>
      <c r="P133" s="19" t="s">
        <v>369</v>
      </c>
      <c r="Q133" s="20" t="s">
        <v>102</v>
      </c>
      <c r="R133" s="21" t="s">
        <v>225</v>
      </c>
      <c r="S133" s="22">
        <f t="shared" si="24"/>
        <v>8508</v>
      </c>
      <c r="T133" s="22"/>
      <c r="U133" s="22"/>
      <c r="V133" s="22"/>
      <c r="W133" s="23"/>
      <c r="X133" s="23"/>
      <c r="Y133" s="23"/>
      <c r="Z133" s="23">
        <v>12</v>
      </c>
      <c r="AA133" s="23">
        <v>162</v>
      </c>
      <c r="AB133" s="23">
        <v>162</v>
      </c>
      <c r="AC133" s="23">
        <v>510</v>
      </c>
      <c r="AD133" s="23">
        <v>576</v>
      </c>
      <c r="AE133" s="23">
        <v>1020</v>
      </c>
      <c r="AF133" s="23">
        <v>996</v>
      </c>
      <c r="AG133" s="23">
        <v>1260</v>
      </c>
      <c r="AH133" s="23">
        <v>1074</v>
      </c>
      <c r="AI133" s="23">
        <v>1044</v>
      </c>
      <c r="AJ133" s="23">
        <v>450</v>
      </c>
      <c r="AK133" s="23">
        <v>672</v>
      </c>
      <c r="AL133" s="24">
        <v>66</v>
      </c>
      <c r="AM133" s="24">
        <v>384</v>
      </c>
      <c r="AN133" s="24"/>
      <c r="AO133" s="24">
        <v>84</v>
      </c>
      <c r="AP133" s="24"/>
      <c r="AQ133" s="24">
        <v>36</v>
      </c>
      <c r="AR133" s="24"/>
      <c r="AS133" s="24"/>
      <c r="AT133" s="24"/>
      <c r="AU133" s="24"/>
      <c r="AV133" s="24"/>
      <c r="AW133" s="24"/>
      <c r="AX133" s="24"/>
      <c r="AY133" s="24"/>
      <c r="AZ133" s="24"/>
    </row>
    <row r="134" spans="1:52" s="26" customFormat="1" ht="15" customHeight="1" outlineLevel="1" x14ac:dyDescent="0.45">
      <c r="A134" s="38"/>
      <c r="B134" s="39"/>
      <c r="C134" s="39"/>
      <c r="D134" s="40"/>
      <c r="E134" s="40"/>
      <c r="F134" s="16"/>
      <c r="G134" s="16"/>
      <c r="H134" s="16"/>
      <c r="I134" s="16"/>
      <c r="J134" s="40"/>
      <c r="K134" s="40"/>
      <c r="L134" s="16"/>
      <c r="M134" s="40"/>
      <c r="N134" s="41" t="s">
        <v>469</v>
      </c>
      <c r="O134" s="42"/>
      <c r="P134" s="43"/>
      <c r="Q134" s="44"/>
      <c r="R134" s="45"/>
      <c r="S134" s="46">
        <f t="shared" ref="S134:AZ134" si="42">SUBTOTAL(9,S133:S133)</f>
        <v>8508</v>
      </c>
      <c r="T134" s="46">
        <f t="shared" si="42"/>
        <v>0</v>
      </c>
      <c r="U134" s="46">
        <f t="shared" si="42"/>
        <v>0</v>
      </c>
      <c r="V134" s="46">
        <f t="shared" si="42"/>
        <v>0</v>
      </c>
      <c r="W134" s="85">
        <f t="shared" si="42"/>
        <v>0</v>
      </c>
      <c r="X134" s="85">
        <f t="shared" si="42"/>
        <v>0</v>
      </c>
      <c r="Y134" s="85">
        <f t="shared" si="42"/>
        <v>0</v>
      </c>
      <c r="Z134" s="85">
        <f t="shared" si="42"/>
        <v>12</v>
      </c>
      <c r="AA134" s="85">
        <f t="shared" si="42"/>
        <v>162</v>
      </c>
      <c r="AB134" s="85">
        <f t="shared" si="42"/>
        <v>162</v>
      </c>
      <c r="AC134" s="85">
        <f t="shared" si="42"/>
        <v>510</v>
      </c>
      <c r="AD134" s="85">
        <f t="shared" si="42"/>
        <v>576</v>
      </c>
      <c r="AE134" s="85">
        <f t="shared" si="42"/>
        <v>1020</v>
      </c>
      <c r="AF134" s="85">
        <f t="shared" si="42"/>
        <v>996</v>
      </c>
      <c r="AG134" s="85">
        <f t="shared" si="42"/>
        <v>1260</v>
      </c>
      <c r="AH134" s="85">
        <f t="shared" si="42"/>
        <v>1074</v>
      </c>
      <c r="AI134" s="85">
        <f t="shared" si="42"/>
        <v>1044</v>
      </c>
      <c r="AJ134" s="85">
        <f t="shared" si="42"/>
        <v>450</v>
      </c>
      <c r="AK134" s="85">
        <f t="shared" si="42"/>
        <v>672</v>
      </c>
      <c r="AL134" s="86">
        <f t="shared" si="42"/>
        <v>66</v>
      </c>
      <c r="AM134" s="86">
        <f t="shared" si="42"/>
        <v>384</v>
      </c>
      <c r="AN134" s="86">
        <f t="shared" si="42"/>
        <v>0</v>
      </c>
      <c r="AO134" s="86">
        <f t="shared" si="42"/>
        <v>84</v>
      </c>
      <c r="AP134" s="86">
        <f t="shared" si="42"/>
        <v>0</v>
      </c>
      <c r="AQ134" s="86">
        <f t="shared" si="42"/>
        <v>36</v>
      </c>
      <c r="AR134" s="86">
        <f t="shared" si="42"/>
        <v>0</v>
      </c>
      <c r="AS134" s="86">
        <f t="shared" si="42"/>
        <v>0</v>
      </c>
      <c r="AT134" s="86">
        <f t="shared" si="42"/>
        <v>0</v>
      </c>
      <c r="AU134" s="86">
        <f t="shared" si="42"/>
        <v>0</v>
      </c>
      <c r="AV134" s="86">
        <f t="shared" si="42"/>
        <v>0</v>
      </c>
      <c r="AW134" s="86">
        <f t="shared" si="42"/>
        <v>0</v>
      </c>
      <c r="AX134" s="86">
        <f t="shared" si="42"/>
        <v>0</v>
      </c>
      <c r="AY134" s="86">
        <f t="shared" si="42"/>
        <v>0</v>
      </c>
      <c r="AZ134" s="86">
        <f t="shared" si="42"/>
        <v>0</v>
      </c>
    </row>
    <row r="135" spans="1:52" s="25" customFormat="1" ht="15" customHeight="1" outlineLevel="2" x14ac:dyDescent="0.45">
      <c r="A135" s="12">
        <v>4509530294</v>
      </c>
      <c r="B135" s="13">
        <v>60</v>
      </c>
      <c r="C135" s="13" t="s">
        <v>470</v>
      </c>
      <c r="D135" s="14"/>
      <c r="E135" s="14"/>
      <c r="F135" s="15" t="s">
        <v>366</v>
      </c>
      <c r="G135" s="15">
        <v>1042</v>
      </c>
      <c r="H135" s="15" t="s">
        <v>151</v>
      </c>
      <c r="I135" s="15" t="s">
        <v>152</v>
      </c>
      <c r="J135" s="14"/>
      <c r="K135" s="14">
        <v>45192</v>
      </c>
      <c r="L135" s="16" t="s">
        <v>471</v>
      </c>
      <c r="M135" s="14">
        <v>45091</v>
      </c>
      <c r="N135" s="17" t="str">
        <f>+LEFT(L135,5)</f>
        <v>T3K74</v>
      </c>
      <c r="O135" s="18" t="s">
        <v>462</v>
      </c>
      <c r="P135" s="19" t="s">
        <v>369</v>
      </c>
      <c r="Q135" s="20" t="s">
        <v>102</v>
      </c>
      <c r="R135" s="21" t="s">
        <v>225</v>
      </c>
      <c r="S135" s="22">
        <f t="shared" si="24"/>
        <v>8508</v>
      </c>
      <c r="T135" s="22"/>
      <c r="U135" s="22"/>
      <c r="V135" s="22"/>
      <c r="W135" s="23"/>
      <c r="X135" s="23"/>
      <c r="Y135" s="23"/>
      <c r="Z135" s="23">
        <v>12</v>
      </c>
      <c r="AA135" s="23">
        <v>162</v>
      </c>
      <c r="AB135" s="23">
        <v>162</v>
      </c>
      <c r="AC135" s="23">
        <v>510</v>
      </c>
      <c r="AD135" s="23">
        <v>576</v>
      </c>
      <c r="AE135" s="23">
        <v>1020</v>
      </c>
      <c r="AF135" s="23">
        <v>996</v>
      </c>
      <c r="AG135" s="23">
        <v>1260</v>
      </c>
      <c r="AH135" s="23">
        <v>1074</v>
      </c>
      <c r="AI135" s="23">
        <v>1044</v>
      </c>
      <c r="AJ135" s="23">
        <v>450</v>
      </c>
      <c r="AK135" s="23">
        <v>672</v>
      </c>
      <c r="AL135" s="24">
        <v>66</v>
      </c>
      <c r="AM135" s="24">
        <v>384</v>
      </c>
      <c r="AN135" s="24"/>
      <c r="AO135" s="24">
        <v>84</v>
      </c>
      <c r="AP135" s="24"/>
      <c r="AQ135" s="24">
        <v>36</v>
      </c>
      <c r="AR135" s="24"/>
      <c r="AS135" s="24"/>
      <c r="AT135" s="24"/>
      <c r="AU135" s="24"/>
      <c r="AV135" s="24"/>
      <c r="AW135" s="24"/>
      <c r="AX135" s="24"/>
      <c r="AY135" s="24"/>
      <c r="AZ135" s="24"/>
    </row>
    <row r="136" spans="1:52" s="26" customFormat="1" ht="15" customHeight="1" outlineLevel="1" x14ac:dyDescent="0.45">
      <c r="A136" s="38"/>
      <c r="B136" s="39"/>
      <c r="C136" s="39"/>
      <c r="D136" s="40"/>
      <c r="E136" s="40"/>
      <c r="F136" s="16"/>
      <c r="G136" s="16"/>
      <c r="H136" s="16"/>
      <c r="I136" s="16"/>
      <c r="J136" s="40"/>
      <c r="K136" s="40"/>
      <c r="L136" s="16"/>
      <c r="M136" s="40"/>
      <c r="N136" s="41" t="s">
        <v>472</v>
      </c>
      <c r="O136" s="42"/>
      <c r="P136" s="43"/>
      <c r="Q136" s="44"/>
      <c r="R136" s="45"/>
      <c r="S136" s="46">
        <f t="shared" ref="S136:AZ136" si="43">SUBTOTAL(9,S135:S135)</f>
        <v>8508</v>
      </c>
      <c r="T136" s="46">
        <f t="shared" si="43"/>
        <v>0</v>
      </c>
      <c r="U136" s="46">
        <f t="shared" si="43"/>
        <v>0</v>
      </c>
      <c r="V136" s="46">
        <f t="shared" si="43"/>
        <v>0</v>
      </c>
      <c r="W136" s="85">
        <f t="shared" si="43"/>
        <v>0</v>
      </c>
      <c r="X136" s="85">
        <f t="shared" si="43"/>
        <v>0</v>
      </c>
      <c r="Y136" s="85">
        <f t="shared" si="43"/>
        <v>0</v>
      </c>
      <c r="Z136" s="85">
        <f t="shared" si="43"/>
        <v>12</v>
      </c>
      <c r="AA136" s="85">
        <f t="shared" si="43"/>
        <v>162</v>
      </c>
      <c r="AB136" s="85">
        <f t="shared" si="43"/>
        <v>162</v>
      </c>
      <c r="AC136" s="85">
        <f t="shared" si="43"/>
        <v>510</v>
      </c>
      <c r="AD136" s="85">
        <f t="shared" si="43"/>
        <v>576</v>
      </c>
      <c r="AE136" s="85">
        <f t="shared" si="43"/>
        <v>1020</v>
      </c>
      <c r="AF136" s="85">
        <f t="shared" si="43"/>
        <v>996</v>
      </c>
      <c r="AG136" s="85">
        <f t="shared" si="43"/>
        <v>1260</v>
      </c>
      <c r="AH136" s="85">
        <f t="shared" si="43"/>
        <v>1074</v>
      </c>
      <c r="AI136" s="85">
        <f t="shared" si="43"/>
        <v>1044</v>
      </c>
      <c r="AJ136" s="85">
        <f t="shared" si="43"/>
        <v>450</v>
      </c>
      <c r="AK136" s="85">
        <f t="shared" si="43"/>
        <v>672</v>
      </c>
      <c r="AL136" s="86">
        <f t="shared" si="43"/>
        <v>66</v>
      </c>
      <c r="AM136" s="86">
        <f t="shared" si="43"/>
        <v>384</v>
      </c>
      <c r="AN136" s="86">
        <f t="shared" si="43"/>
        <v>0</v>
      </c>
      <c r="AO136" s="86">
        <f t="shared" si="43"/>
        <v>84</v>
      </c>
      <c r="AP136" s="86">
        <f t="shared" si="43"/>
        <v>0</v>
      </c>
      <c r="AQ136" s="86">
        <f t="shared" si="43"/>
        <v>36</v>
      </c>
      <c r="AR136" s="86">
        <f t="shared" si="43"/>
        <v>0</v>
      </c>
      <c r="AS136" s="86">
        <f t="shared" si="43"/>
        <v>0</v>
      </c>
      <c r="AT136" s="86">
        <f t="shared" si="43"/>
        <v>0</v>
      </c>
      <c r="AU136" s="86">
        <f t="shared" si="43"/>
        <v>0</v>
      </c>
      <c r="AV136" s="86">
        <f t="shared" si="43"/>
        <v>0</v>
      </c>
      <c r="AW136" s="86">
        <f t="shared" si="43"/>
        <v>0</v>
      </c>
      <c r="AX136" s="86">
        <f t="shared" si="43"/>
        <v>0</v>
      </c>
      <c r="AY136" s="86">
        <f t="shared" si="43"/>
        <v>0</v>
      </c>
      <c r="AZ136" s="86">
        <f t="shared" si="43"/>
        <v>0</v>
      </c>
    </row>
    <row r="137" spans="1:52" s="25" customFormat="1" ht="15" customHeight="1" outlineLevel="2" x14ac:dyDescent="0.45">
      <c r="A137" s="12">
        <v>4509529929</v>
      </c>
      <c r="B137" s="13">
        <v>10</v>
      </c>
      <c r="C137" s="13" t="s">
        <v>473</v>
      </c>
      <c r="D137" s="14"/>
      <c r="E137" s="14"/>
      <c r="F137" s="15" t="s">
        <v>366</v>
      </c>
      <c r="G137" s="15">
        <v>1014</v>
      </c>
      <c r="H137" s="15" t="s">
        <v>118</v>
      </c>
      <c r="I137" s="15" t="s">
        <v>152</v>
      </c>
      <c r="J137" s="14"/>
      <c r="K137" s="14">
        <v>45206</v>
      </c>
      <c r="L137" s="16" t="s">
        <v>474</v>
      </c>
      <c r="M137" s="14">
        <v>45091</v>
      </c>
      <c r="N137" s="17" t="str">
        <f>+LEFT(L137,5)</f>
        <v>T3K75</v>
      </c>
      <c r="O137" s="18" t="s">
        <v>475</v>
      </c>
      <c r="P137" s="19" t="s">
        <v>393</v>
      </c>
      <c r="Q137" s="20" t="s">
        <v>102</v>
      </c>
      <c r="R137" s="21" t="s">
        <v>6</v>
      </c>
      <c r="S137" s="22">
        <f t="shared" si="24"/>
        <v>726</v>
      </c>
      <c r="T137" s="22"/>
      <c r="U137" s="22"/>
      <c r="V137" s="22"/>
      <c r="W137" s="23">
        <v>18</v>
      </c>
      <c r="X137" s="23">
        <v>18</v>
      </c>
      <c r="Y137" s="23">
        <v>18</v>
      </c>
      <c r="Z137" s="23">
        <v>6</v>
      </c>
      <c r="AA137" s="23">
        <v>42</v>
      </c>
      <c r="AB137" s="23">
        <v>90</v>
      </c>
      <c r="AC137" s="23">
        <v>78</v>
      </c>
      <c r="AD137" s="23">
        <v>108</v>
      </c>
      <c r="AE137" s="23">
        <v>84</v>
      </c>
      <c r="AF137" s="23">
        <v>78</v>
      </c>
      <c r="AG137" s="23">
        <v>90</v>
      </c>
      <c r="AH137" s="23">
        <v>42</v>
      </c>
      <c r="AI137" s="23">
        <v>30</v>
      </c>
      <c r="AJ137" s="23">
        <v>12</v>
      </c>
      <c r="AK137" s="23">
        <v>12</v>
      </c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</row>
    <row r="138" spans="1:52" s="25" customFormat="1" ht="15" customHeight="1" outlineLevel="2" x14ac:dyDescent="0.45">
      <c r="A138" s="12">
        <v>4509530295</v>
      </c>
      <c r="B138" s="13">
        <v>60</v>
      </c>
      <c r="C138" s="13" t="s">
        <v>476</v>
      </c>
      <c r="D138" s="14"/>
      <c r="E138" s="14"/>
      <c r="F138" s="15" t="s">
        <v>366</v>
      </c>
      <c r="G138" s="15">
        <v>1042</v>
      </c>
      <c r="H138" s="15" t="s">
        <v>151</v>
      </c>
      <c r="I138" s="15" t="s">
        <v>152</v>
      </c>
      <c r="J138" s="14"/>
      <c r="K138" s="14">
        <v>45192</v>
      </c>
      <c r="L138" s="16" t="s">
        <v>477</v>
      </c>
      <c r="M138" s="14">
        <v>45091</v>
      </c>
      <c r="N138" s="17" t="str">
        <f>+LEFT(L138,5)</f>
        <v>T3K75</v>
      </c>
      <c r="O138" s="18" t="s">
        <v>475</v>
      </c>
      <c r="P138" s="19" t="s">
        <v>393</v>
      </c>
      <c r="Q138" s="20" t="s">
        <v>102</v>
      </c>
      <c r="R138" s="21" t="s">
        <v>6</v>
      </c>
      <c r="S138" s="22">
        <f t="shared" si="24"/>
        <v>624</v>
      </c>
      <c r="T138" s="22"/>
      <c r="U138" s="22"/>
      <c r="V138" s="22"/>
      <c r="W138" s="23">
        <v>6</v>
      </c>
      <c r="X138" s="23">
        <v>6</v>
      </c>
      <c r="Y138" s="23">
        <v>30</v>
      </c>
      <c r="Z138" s="23">
        <v>42</v>
      </c>
      <c r="AA138" s="23">
        <v>78</v>
      </c>
      <c r="AB138" s="23">
        <v>84</v>
      </c>
      <c r="AC138" s="23">
        <v>114</v>
      </c>
      <c r="AD138" s="23">
        <v>96</v>
      </c>
      <c r="AE138" s="23">
        <v>78</v>
      </c>
      <c r="AF138" s="23">
        <v>42</v>
      </c>
      <c r="AG138" s="23">
        <v>36</v>
      </c>
      <c r="AH138" s="23">
        <v>6</v>
      </c>
      <c r="AI138" s="23">
        <v>6</v>
      </c>
      <c r="AJ138" s="23"/>
      <c r="AK138" s="23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</row>
    <row r="139" spans="1:52" s="25" customFormat="1" ht="15" customHeight="1" outlineLevel="2" x14ac:dyDescent="0.45">
      <c r="A139" s="12">
        <v>4509530295</v>
      </c>
      <c r="B139" s="13">
        <v>30</v>
      </c>
      <c r="C139" s="13" t="s">
        <v>478</v>
      </c>
      <c r="D139" s="14"/>
      <c r="E139" s="14"/>
      <c r="F139" s="15" t="s">
        <v>366</v>
      </c>
      <c r="G139" s="15">
        <v>1042</v>
      </c>
      <c r="H139" s="15" t="s">
        <v>151</v>
      </c>
      <c r="I139" s="15" t="s">
        <v>152</v>
      </c>
      <c r="J139" s="14"/>
      <c r="K139" s="14">
        <v>45199</v>
      </c>
      <c r="L139" s="16" t="s">
        <v>479</v>
      </c>
      <c r="M139" s="14">
        <v>45091</v>
      </c>
      <c r="N139" s="17" t="str">
        <f>+LEFT(L139,5)</f>
        <v>T3K75</v>
      </c>
      <c r="O139" s="18" t="s">
        <v>475</v>
      </c>
      <c r="P139" s="19" t="s">
        <v>393</v>
      </c>
      <c r="Q139" s="20" t="s">
        <v>102</v>
      </c>
      <c r="R139" s="21" t="s">
        <v>6</v>
      </c>
      <c r="S139" s="22">
        <f t="shared" si="24"/>
        <v>198</v>
      </c>
      <c r="T139" s="22"/>
      <c r="U139" s="22"/>
      <c r="V139" s="22"/>
      <c r="W139" s="23"/>
      <c r="X139" s="23"/>
      <c r="Y139" s="23">
        <v>12</v>
      </c>
      <c r="Z139" s="23">
        <v>12</v>
      </c>
      <c r="AA139" s="23">
        <v>24</v>
      </c>
      <c r="AB139" s="23">
        <v>30</v>
      </c>
      <c r="AC139" s="23">
        <v>36</v>
      </c>
      <c r="AD139" s="23">
        <v>30</v>
      </c>
      <c r="AE139" s="23">
        <v>24</v>
      </c>
      <c r="AF139" s="23">
        <v>12</v>
      </c>
      <c r="AG139" s="23">
        <v>12</v>
      </c>
      <c r="AH139" s="23"/>
      <c r="AI139" s="23">
        <v>6</v>
      </c>
      <c r="AJ139" s="23"/>
      <c r="AK139" s="23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</row>
    <row r="140" spans="1:52" s="25" customFormat="1" ht="15" customHeight="1" outlineLevel="2" x14ac:dyDescent="0.45">
      <c r="A140" s="12">
        <v>4509530295</v>
      </c>
      <c r="B140" s="13">
        <v>50</v>
      </c>
      <c r="C140" s="13" t="s">
        <v>480</v>
      </c>
      <c r="D140" s="14"/>
      <c r="E140" s="14"/>
      <c r="F140" s="15" t="s">
        <v>366</v>
      </c>
      <c r="G140" s="15">
        <v>1042</v>
      </c>
      <c r="H140" s="15" t="s">
        <v>151</v>
      </c>
      <c r="I140" s="15" t="s">
        <v>152</v>
      </c>
      <c r="J140" s="14"/>
      <c r="K140" s="14">
        <v>45206</v>
      </c>
      <c r="L140" s="16" t="s">
        <v>481</v>
      </c>
      <c r="M140" s="14">
        <v>45091</v>
      </c>
      <c r="N140" s="17" t="str">
        <f>+LEFT(L140,5)</f>
        <v>T3K75</v>
      </c>
      <c r="O140" s="18" t="s">
        <v>475</v>
      </c>
      <c r="P140" s="19" t="s">
        <v>393</v>
      </c>
      <c r="Q140" s="20" t="s">
        <v>102</v>
      </c>
      <c r="R140" s="21" t="s">
        <v>6</v>
      </c>
      <c r="S140" s="22">
        <f t="shared" si="24"/>
        <v>288</v>
      </c>
      <c r="T140" s="22"/>
      <c r="U140" s="22"/>
      <c r="V140" s="22"/>
      <c r="W140" s="23"/>
      <c r="X140" s="23">
        <v>6</v>
      </c>
      <c r="Y140" s="23">
        <v>12</v>
      </c>
      <c r="Z140" s="23">
        <v>18</v>
      </c>
      <c r="AA140" s="23">
        <v>36</v>
      </c>
      <c r="AB140" s="23">
        <v>42</v>
      </c>
      <c r="AC140" s="23">
        <v>48</v>
      </c>
      <c r="AD140" s="23">
        <v>42</v>
      </c>
      <c r="AE140" s="23">
        <v>36</v>
      </c>
      <c r="AF140" s="23">
        <v>18</v>
      </c>
      <c r="AG140" s="23">
        <v>18</v>
      </c>
      <c r="AH140" s="23">
        <v>6</v>
      </c>
      <c r="AI140" s="23">
        <v>6</v>
      </c>
      <c r="AJ140" s="23"/>
      <c r="AK140" s="23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</row>
    <row r="141" spans="1:52" s="26" customFormat="1" ht="15" customHeight="1" outlineLevel="1" x14ac:dyDescent="0.45">
      <c r="A141" s="38"/>
      <c r="B141" s="39"/>
      <c r="C141" s="39"/>
      <c r="D141" s="40"/>
      <c r="E141" s="40"/>
      <c r="F141" s="16"/>
      <c r="G141" s="16"/>
      <c r="H141" s="16"/>
      <c r="I141" s="16"/>
      <c r="J141" s="40"/>
      <c r="K141" s="40"/>
      <c r="L141" s="16"/>
      <c r="M141" s="40"/>
      <c r="N141" s="41" t="s">
        <v>482</v>
      </c>
      <c r="O141" s="42"/>
      <c r="P141" s="43"/>
      <c r="Q141" s="44"/>
      <c r="R141" s="45"/>
      <c r="S141" s="46">
        <f t="shared" ref="S141:AZ141" si="44">SUBTOTAL(9,S137:S140)</f>
        <v>1836</v>
      </c>
      <c r="T141" s="46">
        <f t="shared" si="44"/>
        <v>0</v>
      </c>
      <c r="U141" s="46">
        <f t="shared" si="44"/>
        <v>0</v>
      </c>
      <c r="V141" s="46">
        <f t="shared" si="44"/>
        <v>0</v>
      </c>
      <c r="W141" s="85">
        <f t="shared" si="44"/>
        <v>24</v>
      </c>
      <c r="X141" s="85">
        <f t="shared" si="44"/>
        <v>30</v>
      </c>
      <c r="Y141" s="85">
        <f t="shared" si="44"/>
        <v>72</v>
      </c>
      <c r="Z141" s="85">
        <f t="shared" si="44"/>
        <v>78</v>
      </c>
      <c r="AA141" s="85">
        <f t="shared" si="44"/>
        <v>180</v>
      </c>
      <c r="AB141" s="85">
        <f t="shared" si="44"/>
        <v>246</v>
      </c>
      <c r="AC141" s="85">
        <f t="shared" si="44"/>
        <v>276</v>
      </c>
      <c r="AD141" s="85">
        <f t="shared" si="44"/>
        <v>276</v>
      </c>
      <c r="AE141" s="85">
        <f t="shared" si="44"/>
        <v>222</v>
      </c>
      <c r="AF141" s="85">
        <f t="shared" si="44"/>
        <v>150</v>
      </c>
      <c r="AG141" s="85">
        <f t="shared" si="44"/>
        <v>156</v>
      </c>
      <c r="AH141" s="85">
        <f t="shared" si="44"/>
        <v>54</v>
      </c>
      <c r="AI141" s="85">
        <f t="shared" si="44"/>
        <v>48</v>
      </c>
      <c r="AJ141" s="85">
        <f t="shared" si="44"/>
        <v>12</v>
      </c>
      <c r="AK141" s="85">
        <f t="shared" si="44"/>
        <v>12</v>
      </c>
      <c r="AL141" s="86">
        <f t="shared" si="44"/>
        <v>0</v>
      </c>
      <c r="AM141" s="86">
        <f t="shared" si="44"/>
        <v>0</v>
      </c>
      <c r="AN141" s="86">
        <f t="shared" si="44"/>
        <v>0</v>
      </c>
      <c r="AO141" s="86">
        <f t="shared" si="44"/>
        <v>0</v>
      </c>
      <c r="AP141" s="86">
        <f t="shared" si="44"/>
        <v>0</v>
      </c>
      <c r="AQ141" s="86">
        <f t="shared" si="44"/>
        <v>0</v>
      </c>
      <c r="AR141" s="86">
        <f t="shared" si="44"/>
        <v>0</v>
      </c>
      <c r="AS141" s="86">
        <f t="shared" si="44"/>
        <v>0</v>
      </c>
      <c r="AT141" s="86">
        <f t="shared" si="44"/>
        <v>0</v>
      </c>
      <c r="AU141" s="86">
        <f t="shared" si="44"/>
        <v>0</v>
      </c>
      <c r="AV141" s="86">
        <f t="shared" si="44"/>
        <v>0</v>
      </c>
      <c r="AW141" s="86">
        <f t="shared" si="44"/>
        <v>0</v>
      </c>
      <c r="AX141" s="86">
        <f t="shared" si="44"/>
        <v>0</v>
      </c>
      <c r="AY141" s="86">
        <f t="shared" si="44"/>
        <v>0</v>
      </c>
      <c r="AZ141" s="86">
        <f t="shared" si="44"/>
        <v>0</v>
      </c>
    </row>
    <row r="142" spans="1:52" s="25" customFormat="1" ht="15" customHeight="1" outlineLevel="2" x14ac:dyDescent="0.45">
      <c r="A142" s="12">
        <v>4509530295</v>
      </c>
      <c r="B142" s="13">
        <v>10</v>
      </c>
      <c r="C142" s="13" t="s">
        <v>483</v>
      </c>
      <c r="D142" s="14"/>
      <c r="E142" s="14"/>
      <c r="F142" s="15" t="s">
        <v>366</v>
      </c>
      <c r="G142" s="15">
        <v>1042</v>
      </c>
      <c r="H142" s="15" t="s">
        <v>151</v>
      </c>
      <c r="I142" s="15" t="s">
        <v>152</v>
      </c>
      <c r="J142" s="14"/>
      <c r="K142" s="14">
        <v>45185</v>
      </c>
      <c r="L142" s="16" t="s">
        <v>484</v>
      </c>
      <c r="M142" s="14">
        <v>45091</v>
      </c>
      <c r="N142" s="17" t="str">
        <f>+LEFT(L142,5)</f>
        <v>T3K76</v>
      </c>
      <c r="O142" s="18" t="s">
        <v>485</v>
      </c>
      <c r="P142" s="19" t="s">
        <v>393</v>
      </c>
      <c r="Q142" s="20" t="s">
        <v>102</v>
      </c>
      <c r="R142" s="21" t="s">
        <v>6</v>
      </c>
      <c r="S142" s="22">
        <f t="shared" si="24"/>
        <v>696</v>
      </c>
      <c r="T142" s="22"/>
      <c r="U142" s="22"/>
      <c r="V142" s="22"/>
      <c r="W142" s="23">
        <v>6</v>
      </c>
      <c r="X142" s="23">
        <v>6</v>
      </c>
      <c r="Y142" s="23">
        <v>36</v>
      </c>
      <c r="Z142" s="23">
        <v>42</v>
      </c>
      <c r="AA142" s="23">
        <v>84</v>
      </c>
      <c r="AB142" s="23">
        <v>96</v>
      </c>
      <c r="AC142" s="23">
        <v>126</v>
      </c>
      <c r="AD142" s="23">
        <v>108</v>
      </c>
      <c r="AE142" s="23">
        <v>84</v>
      </c>
      <c r="AF142" s="23">
        <v>48</v>
      </c>
      <c r="AG142" s="23">
        <v>42</v>
      </c>
      <c r="AH142" s="23">
        <v>6</v>
      </c>
      <c r="AI142" s="23">
        <v>12</v>
      </c>
      <c r="AJ142" s="23"/>
      <c r="AK142" s="23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</row>
    <row r="143" spans="1:52" s="25" customFormat="1" ht="15" customHeight="1" outlineLevel="2" x14ac:dyDescent="0.45">
      <c r="A143" s="12">
        <v>4509528952</v>
      </c>
      <c r="B143" s="13">
        <v>10</v>
      </c>
      <c r="C143" s="13" t="s">
        <v>486</v>
      </c>
      <c r="D143" s="14"/>
      <c r="E143" s="14"/>
      <c r="F143" s="15" t="s">
        <v>366</v>
      </c>
      <c r="G143" s="15">
        <v>1098</v>
      </c>
      <c r="H143" s="15" t="s">
        <v>381</v>
      </c>
      <c r="I143" s="15" t="s">
        <v>152</v>
      </c>
      <c r="J143" s="14"/>
      <c r="K143" s="14">
        <v>45192</v>
      </c>
      <c r="L143" s="16" t="s">
        <v>487</v>
      </c>
      <c r="M143" s="14">
        <v>45091</v>
      </c>
      <c r="N143" s="17" t="str">
        <f>+LEFT(L143,5)</f>
        <v>T3K76</v>
      </c>
      <c r="O143" s="18" t="s">
        <v>485</v>
      </c>
      <c r="P143" s="19" t="s">
        <v>393</v>
      </c>
      <c r="Q143" s="20" t="s">
        <v>102</v>
      </c>
      <c r="R143" s="21" t="s">
        <v>6</v>
      </c>
      <c r="S143" s="22">
        <f t="shared" si="24"/>
        <v>1152</v>
      </c>
      <c r="T143" s="22"/>
      <c r="U143" s="22"/>
      <c r="V143" s="22"/>
      <c r="W143" s="23">
        <v>54</v>
      </c>
      <c r="X143" s="23">
        <v>24</v>
      </c>
      <c r="Y143" s="23">
        <v>150</v>
      </c>
      <c r="Z143" s="23">
        <v>108</v>
      </c>
      <c r="AA143" s="23">
        <v>234</v>
      </c>
      <c r="AB143" s="23">
        <v>150</v>
      </c>
      <c r="AC143" s="23">
        <v>198</v>
      </c>
      <c r="AD143" s="23">
        <v>78</v>
      </c>
      <c r="AE143" s="23">
        <v>108</v>
      </c>
      <c r="AF143" s="23">
        <v>30</v>
      </c>
      <c r="AG143" s="23">
        <v>18</v>
      </c>
      <c r="AH143" s="23"/>
      <c r="AI143" s="23"/>
      <c r="AJ143" s="23"/>
      <c r="AK143" s="23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</row>
    <row r="144" spans="1:52" s="25" customFormat="1" ht="15" customHeight="1" outlineLevel="2" x14ac:dyDescent="0.45">
      <c r="A144" s="12">
        <v>4509530295</v>
      </c>
      <c r="B144" s="13">
        <v>20</v>
      </c>
      <c r="C144" s="13" t="s">
        <v>488</v>
      </c>
      <c r="D144" s="14"/>
      <c r="E144" s="14"/>
      <c r="F144" s="15" t="s">
        <v>366</v>
      </c>
      <c r="G144" s="15">
        <v>1042</v>
      </c>
      <c r="H144" s="15" t="s">
        <v>151</v>
      </c>
      <c r="I144" s="15" t="s">
        <v>152</v>
      </c>
      <c r="J144" s="14"/>
      <c r="K144" s="14">
        <v>45199</v>
      </c>
      <c r="L144" s="16" t="s">
        <v>489</v>
      </c>
      <c r="M144" s="14">
        <v>45091</v>
      </c>
      <c r="N144" s="17" t="str">
        <f>+LEFT(L144,5)</f>
        <v>T3K76</v>
      </c>
      <c r="O144" s="18" t="s">
        <v>485</v>
      </c>
      <c r="P144" s="19" t="s">
        <v>393</v>
      </c>
      <c r="Q144" s="20" t="s">
        <v>102</v>
      </c>
      <c r="R144" s="21" t="s">
        <v>6</v>
      </c>
      <c r="S144" s="22">
        <f t="shared" si="24"/>
        <v>702</v>
      </c>
      <c r="T144" s="22"/>
      <c r="U144" s="22"/>
      <c r="V144" s="22"/>
      <c r="W144" s="23">
        <v>6</v>
      </c>
      <c r="X144" s="23">
        <v>6</v>
      </c>
      <c r="Y144" s="23">
        <v>36</v>
      </c>
      <c r="Z144" s="23">
        <v>42</v>
      </c>
      <c r="AA144" s="23">
        <v>84</v>
      </c>
      <c r="AB144" s="23">
        <v>96</v>
      </c>
      <c r="AC144" s="23">
        <v>126</v>
      </c>
      <c r="AD144" s="23">
        <v>108</v>
      </c>
      <c r="AE144" s="23">
        <v>90</v>
      </c>
      <c r="AF144" s="23">
        <v>48</v>
      </c>
      <c r="AG144" s="23">
        <v>42</v>
      </c>
      <c r="AH144" s="23">
        <v>6</v>
      </c>
      <c r="AI144" s="23">
        <v>12</v>
      </c>
      <c r="AJ144" s="23"/>
      <c r="AK144" s="23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spans="1:52" s="26" customFormat="1" ht="15" customHeight="1" outlineLevel="1" x14ac:dyDescent="0.45">
      <c r="A145" s="38"/>
      <c r="B145" s="39"/>
      <c r="C145" s="39"/>
      <c r="D145" s="40"/>
      <c r="E145" s="40"/>
      <c r="F145" s="16"/>
      <c r="G145" s="16"/>
      <c r="H145" s="16"/>
      <c r="I145" s="16"/>
      <c r="J145" s="40"/>
      <c r="K145" s="40"/>
      <c r="L145" s="16"/>
      <c r="M145" s="40"/>
      <c r="N145" s="41" t="s">
        <v>490</v>
      </c>
      <c r="O145" s="42"/>
      <c r="P145" s="43"/>
      <c r="Q145" s="44"/>
      <c r="R145" s="45"/>
      <c r="S145" s="46">
        <f t="shared" ref="S145:AZ145" si="45">SUBTOTAL(9,S142:S144)</f>
        <v>2550</v>
      </c>
      <c r="T145" s="46">
        <f t="shared" si="45"/>
        <v>0</v>
      </c>
      <c r="U145" s="46">
        <f t="shared" si="45"/>
        <v>0</v>
      </c>
      <c r="V145" s="46">
        <f t="shared" si="45"/>
        <v>0</v>
      </c>
      <c r="W145" s="85">
        <f t="shared" si="45"/>
        <v>66</v>
      </c>
      <c r="X145" s="85">
        <f t="shared" si="45"/>
        <v>36</v>
      </c>
      <c r="Y145" s="85">
        <f t="shared" si="45"/>
        <v>222</v>
      </c>
      <c r="Z145" s="85">
        <f t="shared" si="45"/>
        <v>192</v>
      </c>
      <c r="AA145" s="85">
        <f t="shared" si="45"/>
        <v>402</v>
      </c>
      <c r="AB145" s="85">
        <f t="shared" si="45"/>
        <v>342</v>
      </c>
      <c r="AC145" s="85">
        <f t="shared" si="45"/>
        <v>450</v>
      </c>
      <c r="AD145" s="85">
        <f t="shared" si="45"/>
        <v>294</v>
      </c>
      <c r="AE145" s="85">
        <f t="shared" si="45"/>
        <v>282</v>
      </c>
      <c r="AF145" s="85">
        <f t="shared" si="45"/>
        <v>126</v>
      </c>
      <c r="AG145" s="85">
        <f t="shared" si="45"/>
        <v>102</v>
      </c>
      <c r="AH145" s="85">
        <f t="shared" si="45"/>
        <v>12</v>
      </c>
      <c r="AI145" s="85">
        <f t="shared" si="45"/>
        <v>24</v>
      </c>
      <c r="AJ145" s="85">
        <f t="shared" si="45"/>
        <v>0</v>
      </c>
      <c r="AK145" s="85">
        <f t="shared" si="45"/>
        <v>0</v>
      </c>
      <c r="AL145" s="86">
        <f t="shared" si="45"/>
        <v>0</v>
      </c>
      <c r="AM145" s="86">
        <f t="shared" si="45"/>
        <v>0</v>
      </c>
      <c r="AN145" s="86">
        <f t="shared" si="45"/>
        <v>0</v>
      </c>
      <c r="AO145" s="86">
        <f t="shared" si="45"/>
        <v>0</v>
      </c>
      <c r="AP145" s="86">
        <f t="shared" si="45"/>
        <v>0</v>
      </c>
      <c r="AQ145" s="86">
        <f t="shared" si="45"/>
        <v>0</v>
      </c>
      <c r="AR145" s="86">
        <f t="shared" si="45"/>
        <v>0</v>
      </c>
      <c r="AS145" s="86">
        <f t="shared" si="45"/>
        <v>0</v>
      </c>
      <c r="AT145" s="86">
        <f t="shared" si="45"/>
        <v>0</v>
      </c>
      <c r="AU145" s="86">
        <f t="shared" si="45"/>
        <v>0</v>
      </c>
      <c r="AV145" s="86">
        <f t="shared" si="45"/>
        <v>0</v>
      </c>
      <c r="AW145" s="86">
        <f t="shared" si="45"/>
        <v>0</v>
      </c>
      <c r="AX145" s="86">
        <f t="shared" si="45"/>
        <v>0</v>
      </c>
      <c r="AY145" s="86">
        <f t="shared" si="45"/>
        <v>0</v>
      </c>
      <c r="AZ145" s="86">
        <f t="shared" si="45"/>
        <v>0</v>
      </c>
    </row>
    <row r="146" spans="1:52" s="25" customFormat="1" ht="15" customHeight="1" outlineLevel="2" x14ac:dyDescent="0.45">
      <c r="A146" s="12">
        <v>3503405148</v>
      </c>
      <c r="B146" s="13">
        <v>30</v>
      </c>
      <c r="C146" s="13" t="s">
        <v>491</v>
      </c>
      <c r="D146" s="14"/>
      <c r="E146" s="14"/>
      <c r="F146" s="15" t="s">
        <v>255</v>
      </c>
      <c r="G146" s="15">
        <v>1083</v>
      </c>
      <c r="H146" s="15" t="s">
        <v>105</v>
      </c>
      <c r="I146" s="15" t="s">
        <v>98</v>
      </c>
      <c r="J146" s="14"/>
      <c r="K146" s="14">
        <v>45220</v>
      </c>
      <c r="L146" s="16" t="s">
        <v>492</v>
      </c>
      <c r="M146" s="14">
        <v>45091</v>
      </c>
      <c r="N146" s="17" t="str">
        <f>+LEFT(L146,5)</f>
        <v>T3M12</v>
      </c>
      <c r="O146" s="18" t="s">
        <v>257</v>
      </c>
      <c r="P146" s="19" t="s">
        <v>258</v>
      </c>
      <c r="Q146" s="20" t="s">
        <v>102</v>
      </c>
      <c r="R146" s="21" t="s">
        <v>225</v>
      </c>
      <c r="S146" s="22">
        <f t="shared" si="24"/>
        <v>372</v>
      </c>
      <c r="T146" s="22"/>
      <c r="U146" s="22"/>
      <c r="V146" s="22"/>
      <c r="W146" s="23"/>
      <c r="X146" s="23"/>
      <c r="Y146" s="23"/>
      <c r="Z146" s="23"/>
      <c r="AA146" s="23"/>
      <c r="AB146" s="23">
        <v>24</v>
      </c>
      <c r="AC146" s="23">
        <v>84</v>
      </c>
      <c r="AD146" s="23">
        <v>90</v>
      </c>
      <c r="AE146" s="23">
        <v>84</v>
      </c>
      <c r="AF146" s="23">
        <v>48</v>
      </c>
      <c r="AG146" s="23">
        <v>18</v>
      </c>
      <c r="AH146" s="23">
        <v>12</v>
      </c>
      <c r="AI146" s="23">
        <v>6</v>
      </c>
      <c r="AJ146" s="23"/>
      <c r="AK146" s="23">
        <v>6</v>
      </c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</row>
    <row r="147" spans="1:52" s="26" customFormat="1" ht="15" customHeight="1" outlineLevel="1" x14ac:dyDescent="0.45">
      <c r="A147" s="38"/>
      <c r="B147" s="39"/>
      <c r="C147" s="39"/>
      <c r="D147" s="40"/>
      <c r="E147" s="40"/>
      <c r="F147" s="16"/>
      <c r="G147" s="16"/>
      <c r="H147" s="16"/>
      <c r="I147" s="16"/>
      <c r="J147" s="40"/>
      <c r="K147" s="40"/>
      <c r="L147" s="16"/>
      <c r="M147" s="40"/>
      <c r="N147" s="41" t="s">
        <v>493</v>
      </c>
      <c r="O147" s="42"/>
      <c r="P147" s="43"/>
      <c r="Q147" s="44"/>
      <c r="R147" s="45"/>
      <c r="S147" s="46">
        <f t="shared" ref="S147:AZ147" si="46">SUBTOTAL(9,S146:S146)</f>
        <v>372</v>
      </c>
      <c r="T147" s="46">
        <f t="shared" si="46"/>
        <v>0</v>
      </c>
      <c r="U147" s="46">
        <f t="shared" si="46"/>
        <v>0</v>
      </c>
      <c r="V147" s="46">
        <f t="shared" si="46"/>
        <v>0</v>
      </c>
      <c r="W147" s="85">
        <f t="shared" si="46"/>
        <v>0</v>
      </c>
      <c r="X147" s="85">
        <f t="shared" si="46"/>
        <v>0</v>
      </c>
      <c r="Y147" s="85">
        <f t="shared" si="46"/>
        <v>0</v>
      </c>
      <c r="Z147" s="85">
        <f t="shared" si="46"/>
        <v>0</v>
      </c>
      <c r="AA147" s="85">
        <f t="shared" si="46"/>
        <v>0</v>
      </c>
      <c r="AB147" s="85">
        <f t="shared" si="46"/>
        <v>24</v>
      </c>
      <c r="AC147" s="85">
        <f t="shared" si="46"/>
        <v>84</v>
      </c>
      <c r="AD147" s="85">
        <f t="shared" si="46"/>
        <v>90</v>
      </c>
      <c r="AE147" s="85">
        <f t="shared" si="46"/>
        <v>84</v>
      </c>
      <c r="AF147" s="85">
        <f t="shared" si="46"/>
        <v>48</v>
      </c>
      <c r="AG147" s="85">
        <f t="shared" si="46"/>
        <v>18</v>
      </c>
      <c r="AH147" s="85">
        <f t="shared" si="46"/>
        <v>12</v>
      </c>
      <c r="AI147" s="85">
        <f t="shared" si="46"/>
        <v>6</v>
      </c>
      <c r="AJ147" s="85">
        <f t="shared" si="46"/>
        <v>0</v>
      </c>
      <c r="AK147" s="85">
        <f t="shared" si="46"/>
        <v>6</v>
      </c>
      <c r="AL147" s="86">
        <f t="shared" si="46"/>
        <v>0</v>
      </c>
      <c r="AM147" s="86">
        <f t="shared" si="46"/>
        <v>0</v>
      </c>
      <c r="AN147" s="86">
        <f t="shared" si="46"/>
        <v>0</v>
      </c>
      <c r="AO147" s="86">
        <f t="shared" si="46"/>
        <v>0</v>
      </c>
      <c r="AP147" s="86">
        <f t="shared" si="46"/>
        <v>0</v>
      </c>
      <c r="AQ147" s="86">
        <f t="shared" si="46"/>
        <v>0</v>
      </c>
      <c r="AR147" s="86">
        <f t="shared" si="46"/>
        <v>0</v>
      </c>
      <c r="AS147" s="86">
        <f t="shared" si="46"/>
        <v>0</v>
      </c>
      <c r="AT147" s="86">
        <f t="shared" si="46"/>
        <v>0</v>
      </c>
      <c r="AU147" s="86">
        <f t="shared" si="46"/>
        <v>0</v>
      </c>
      <c r="AV147" s="86">
        <f t="shared" si="46"/>
        <v>0</v>
      </c>
      <c r="AW147" s="86">
        <f t="shared" si="46"/>
        <v>0</v>
      </c>
      <c r="AX147" s="86">
        <f t="shared" si="46"/>
        <v>0</v>
      </c>
      <c r="AY147" s="86">
        <f t="shared" si="46"/>
        <v>0</v>
      </c>
      <c r="AZ147" s="86">
        <f t="shared" si="46"/>
        <v>0</v>
      </c>
    </row>
    <row r="148" spans="1:52" s="25" customFormat="1" ht="15" customHeight="1" outlineLevel="2" x14ac:dyDescent="0.45">
      <c r="A148" s="12">
        <v>3503405473</v>
      </c>
      <c r="B148" s="13">
        <v>40</v>
      </c>
      <c r="C148" s="13" t="s">
        <v>494</v>
      </c>
      <c r="D148" s="14"/>
      <c r="E148" s="14"/>
      <c r="F148" s="15" t="s">
        <v>220</v>
      </c>
      <c r="G148" s="15">
        <v>1041</v>
      </c>
      <c r="H148" s="15" t="s">
        <v>221</v>
      </c>
      <c r="I148" s="15" t="s">
        <v>98</v>
      </c>
      <c r="J148" s="14"/>
      <c r="K148" s="14">
        <v>45213</v>
      </c>
      <c r="L148" s="16" t="s">
        <v>495</v>
      </c>
      <c r="M148" s="14">
        <v>45091</v>
      </c>
      <c r="N148" s="17" t="str">
        <f>+LEFT(L148,5)</f>
        <v>T3M13</v>
      </c>
      <c r="O148" s="18" t="s">
        <v>229</v>
      </c>
      <c r="P148" s="19" t="s">
        <v>224</v>
      </c>
      <c r="Q148" s="20" t="s">
        <v>102</v>
      </c>
      <c r="R148" s="21" t="s">
        <v>225</v>
      </c>
      <c r="S148" s="22">
        <f t="shared" si="24"/>
        <v>678</v>
      </c>
      <c r="T148" s="22"/>
      <c r="U148" s="22"/>
      <c r="V148" s="22"/>
      <c r="W148" s="23"/>
      <c r="X148" s="23"/>
      <c r="Y148" s="23"/>
      <c r="Z148" s="23"/>
      <c r="AA148" s="23">
        <v>54</v>
      </c>
      <c r="AB148" s="23">
        <v>54</v>
      </c>
      <c r="AC148" s="23">
        <v>54</v>
      </c>
      <c r="AD148" s="23">
        <v>54</v>
      </c>
      <c r="AE148" s="23">
        <v>114</v>
      </c>
      <c r="AF148" s="23">
        <v>60</v>
      </c>
      <c r="AG148" s="23">
        <v>114</v>
      </c>
      <c r="AH148" s="23">
        <v>60</v>
      </c>
      <c r="AI148" s="23">
        <v>60</v>
      </c>
      <c r="AJ148" s="23"/>
      <c r="AK148" s="23">
        <v>54</v>
      </c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</row>
    <row r="149" spans="1:52" s="26" customFormat="1" ht="15" customHeight="1" outlineLevel="1" x14ac:dyDescent="0.45">
      <c r="A149" s="38"/>
      <c r="B149" s="39"/>
      <c r="C149" s="39"/>
      <c r="D149" s="40"/>
      <c r="E149" s="40"/>
      <c r="F149" s="16"/>
      <c r="G149" s="16"/>
      <c r="H149" s="16"/>
      <c r="I149" s="16"/>
      <c r="J149" s="40"/>
      <c r="K149" s="40"/>
      <c r="L149" s="16"/>
      <c r="M149" s="40"/>
      <c r="N149" s="41" t="s">
        <v>496</v>
      </c>
      <c r="O149" s="42"/>
      <c r="P149" s="43"/>
      <c r="Q149" s="44"/>
      <c r="R149" s="45"/>
      <c r="S149" s="46">
        <f t="shared" ref="S149:AZ149" si="47">SUBTOTAL(9,S148:S148)</f>
        <v>678</v>
      </c>
      <c r="T149" s="46">
        <f t="shared" si="47"/>
        <v>0</v>
      </c>
      <c r="U149" s="46">
        <f t="shared" si="47"/>
        <v>0</v>
      </c>
      <c r="V149" s="46">
        <f t="shared" si="47"/>
        <v>0</v>
      </c>
      <c r="W149" s="85">
        <f t="shared" si="47"/>
        <v>0</v>
      </c>
      <c r="X149" s="85">
        <f t="shared" si="47"/>
        <v>0</v>
      </c>
      <c r="Y149" s="85">
        <f t="shared" si="47"/>
        <v>0</v>
      </c>
      <c r="Z149" s="85">
        <f t="shared" si="47"/>
        <v>0</v>
      </c>
      <c r="AA149" s="85">
        <f t="shared" si="47"/>
        <v>54</v>
      </c>
      <c r="AB149" s="85">
        <f t="shared" si="47"/>
        <v>54</v>
      </c>
      <c r="AC149" s="85">
        <f t="shared" si="47"/>
        <v>54</v>
      </c>
      <c r="AD149" s="85">
        <f t="shared" si="47"/>
        <v>54</v>
      </c>
      <c r="AE149" s="85">
        <f t="shared" si="47"/>
        <v>114</v>
      </c>
      <c r="AF149" s="85">
        <f t="shared" si="47"/>
        <v>60</v>
      </c>
      <c r="AG149" s="85">
        <f t="shared" si="47"/>
        <v>114</v>
      </c>
      <c r="AH149" s="85">
        <f t="shared" si="47"/>
        <v>60</v>
      </c>
      <c r="AI149" s="85">
        <f t="shared" si="47"/>
        <v>60</v>
      </c>
      <c r="AJ149" s="85">
        <f t="shared" si="47"/>
        <v>0</v>
      </c>
      <c r="AK149" s="85">
        <f t="shared" si="47"/>
        <v>54</v>
      </c>
      <c r="AL149" s="86">
        <f t="shared" si="47"/>
        <v>0</v>
      </c>
      <c r="AM149" s="86">
        <f t="shared" si="47"/>
        <v>0</v>
      </c>
      <c r="AN149" s="86">
        <f t="shared" si="47"/>
        <v>0</v>
      </c>
      <c r="AO149" s="86">
        <f t="shared" si="47"/>
        <v>0</v>
      </c>
      <c r="AP149" s="86">
        <f t="shared" si="47"/>
        <v>0</v>
      </c>
      <c r="AQ149" s="86">
        <f t="shared" si="47"/>
        <v>0</v>
      </c>
      <c r="AR149" s="86">
        <f t="shared" si="47"/>
        <v>0</v>
      </c>
      <c r="AS149" s="86">
        <f t="shared" si="47"/>
        <v>0</v>
      </c>
      <c r="AT149" s="86">
        <f t="shared" si="47"/>
        <v>0</v>
      </c>
      <c r="AU149" s="86">
        <f t="shared" si="47"/>
        <v>0</v>
      </c>
      <c r="AV149" s="86">
        <f t="shared" si="47"/>
        <v>0</v>
      </c>
      <c r="AW149" s="86">
        <f t="shared" si="47"/>
        <v>0</v>
      </c>
      <c r="AX149" s="86">
        <f t="shared" si="47"/>
        <v>0</v>
      </c>
      <c r="AY149" s="86">
        <f t="shared" si="47"/>
        <v>0</v>
      </c>
      <c r="AZ149" s="86">
        <f t="shared" si="47"/>
        <v>0</v>
      </c>
    </row>
    <row r="150" spans="1:52" s="25" customFormat="1" ht="15" customHeight="1" outlineLevel="2" x14ac:dyDescent="0.45">
      <c r="A150" s="12">
        <v>3503405471</v>
      </c>
      <c r="B150" s="13">
        <v>10</v>
      </c>
      <c r="C150" s="13" t="s">
        <v>497</v>
      </c>
      <c r="D150" s="14"/>
      <c r="E150" s="14"/>
      <c r="F150" s="15" t="s">
        <v>4</v>
      </c>
      <c r="G150" s="15">
        <v>1041</v>
      </c>
      <c r="H150" s="15" t="s">
        <v>221</v>
      </c>
      <c r="I150" s="15" t="s">
        <v>98</v>
      </c>
      <c r="J150" s="14"/>
      <c r="K150" s="14">
        <v>45213</v>
      </c>
      <c r="L150" s="16" t="s">
        <v>498</v>
      </c>
      <c r="M150" s="14">
        <v>45091</v>
      </c>
      <c r="N150" s="17" t="str">
        <f>+LEFT(L150,5)</f>
        <v>T3M14</v>
      </c>
      <c r="O150" s="18" t="s">
        <v>353</v>
      </c>
      <c r="P150" s="19" t="s">
        <v>3</v>
      </c>
      <c r="Q150" s="20" t="s">
        <v>102</v>
      </c>
      <c r="R150" s="21" t="s">
        <v>6</v>
      </c>
      <c r="S150" s="22">
        <f t="shared" si="24"/>
        <v>618</v>
      </c>
      <c r="T150" s="22"/>
      <c r="U150" s="22"/>
      <c r="V150" s="22"/>
      <c r="W150" s="23"/>
      <c r="X150" s="23">
        <v>12</v>
      </c>
      <c r="Y150" s="23">
        <v>66</v>
      </c>
      <c r="Z150" s="23">
        <v>66</v>
      </c>
      <c r="AA150" s="23">
        <v>108</v>
      </c>
      <c r="AB150" s="23">
        <v>102</v>
      </c>
      <c r="AC150" s="23">
        <v>96</v>
      </c>
      <c r="AD150" s="23">
        <v>84</v>
      </c>
      <c r="AE150" s="23">
        <v>78</v>
      </c>
      <c r="AF150" s="23">
        <v>6</v>
      </c>
      <c r="AG150" s="23"/>
      <c r="AH150" s="23"/>
      <c r="AI150" s="23"/>
      <c r="AJ150" s="23"/>
      <c r="AK150" s="23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</row>
    <row r="151" spans="1:52" s="26" customFormat="1" ht="15" customHeight="1" outlineLevel="1" x14ac:dyDescent="0.45">
      <c r="A151" s="38"/>
      <c r="B151" s="39"/>
      <c r="C151" s="39"/>
      <c r="D151" s="40"/>
      <c r="E151" s="40"/>
      <c r="F151" s="16"/>
      <c r="G151" s="16"/>
      <c r="H151" s="16"/>
      <c r="I151" s="16"/>
      <c r="J151" s="40"/>
      <c r="K151" s="40"/>
      <c r="L151" s="16"/>
      <c r="M151" s="40"/>
      <c r="N151" s="41" t="s">
        <v>499</v>
      </c>
      <c r="O151" s="42"/>
      <c r="P151" s="43"/>
      <c r="Q151" s="44"/>
      <c r="R151" s="45"/>
      <c r="S151" s="46">
        <f t="shared" ref="S151:AZ151" si="48">SUBTOTAL(9,S150:S150)</f>
        <v>618</v>
      </c>
      <c r="T151" s="46">
        <f t="shared" si="48"/>
        <v>0</v>
      </c>
      <c r="U151" s="46">
        <f t="shared" si="48"/>
        <v>0</v>
      </c>
      <c r="V151" s="46">
        <f t="shared" si="48"/>
        <v>0</v>
      </c>
      <c r="W151" s="85">
        <f t="shared" si="48"/>
        <v>0</v>
      </c>
      <c r="X151" s="85">
        <f t="shared" si="48"/>
        <v>12</v>
      </c>
      <c r="Y151" s="85">
        <f t="shared" si="48"/>
        <v>66</v>
      </c>
      <c r="Z151" s="85">
        <f t="shared" si="48"/>
        <v>66</v>
      </c>
      <c r="AA151" s="85">
        <f t="shared" si="48"/>
        <v>108</v>
      </c>
      <c r="AB151" s="85">
        <f t="shared" si="48"/>
        <v>102</v>
      </c>
      <c r="AC151" s="85">
        <f t="shared" si="48"/>
        <v>96</v>
      </c>
      <c r="AD151" s="85">
        <f t="shared" si="48"/>
        <v>84</v>
      </c>
      <c r="AE151" s="85">
        <f t="shared" si="48"/>
        <v>78</v>
      </c>
      <c r="AF151" s="85">
        <f t="shared" si="48"/>
        <v>6</v>
      </c>
      <c r="AG151" s="85">
        <f t="shared" si="48"/>
        <v>0</v>
      </c>
      <c r="AH151" s="85">
        <f t="shared" si="48"/>
        <v>0</v>
      </c>
      <c r="AI151" s="85">
        <f t="shared" si="48"/>
        <v>0</v>
      </c>
      <c r="AJ151" s="85">
        <f t="shared" si="48"/>
        <v>0</v>
      </c>
      <c r="AK151" s="85">
        <f t="shared" si="48"/>
        <v>0</v>
      </c>
      <c r="AL151" s="86">
        <f t="shared" si="48"/>
        <v>0</v>
      </c>
      <c r="AM151" s="86">
        <f t="shared" si="48"/>
        <v>0</v>
      </c>
      <c r="AN151" s="86">
        <f t="shared" si="48"/>
        <v>0</v>
      </c>
      <c r="AO151" s="86">
        <f t="shared" si="48"/>
        <v>0</v>
      </c>
      <c r="AP151" s="86">
        <f t="shared" si="48"/>
        <v>0</v>
      </c>
      <c r="AQ151" s="86">
        <f t="shared" si="48"/>
        <v>0</v>
      </c>
      <c r="AR151" s="86">
        <f t="shared" si="48"/>
        <v>0</v>
      </c>
      <c r="AS151" s="86">
        <f t="shared" si="48"/>
        <v>0</v>
      </c>
      <c r="AT151" s="86">
        <f t="shared" si="48"/>
        <v>0</v>
      </c>
      <c r="AU151" s="86">
        <f t="shared" si="48"/>
        <v>0</v>
      </c>
      <c r="AV151" s="86">
        <f t="shared" si="48"/>
        <v>0</v>
      </c>
      <c r="AW151" s="86">
        <f t="shared" si="48"/>
        <v>0</v>
      </c>
      <c r="AX151" s="86">
        <f t="shared" si="48"/>
        <v>0</v>
      </c>
      <c r="AY151" s="86">
        <f t="shared" si="48"/>
        <v>0</v>
      </c>
      <c r="AZ151" s="86">
        <f t="shared" si="48"/>
        <v>0</v>
      </c>
    </row>
    <row r="152" spans="1:52" s="25" customFormat="1" ht="15" customHeight="1" outlineLevel="2" x14ac:dyDescent="0.45">
      <c r="A152" s="12">
        <v>3503405152</v>
      </c>
      <c r="B152" s="13">
        <v>20</v>
      </c>
      <c r="C152" s="13" t="s">
        <v>500</v>
      </c>
      <c r="D152" s="14"/>
      <c r="E152" s="14"/>
      <c r="F152" s="15" t="s">
        <v>366</v>
      </c>
      <c r="G152" s="15">
        <v>1083</v>
      </c>
      <c r="H152" s="15" t="s">
        <v>105</v>
      </c>
      <c r="I152" s="15" t="s">
        <v>98</v>
      </c>
      <c r="J152" s="14"/>
      <c r="K152" s="14">
        <v>45213</v>
      </c>
      <c r="L152" s="16" t="s">
        <v>501</v>
      </c>
      <c r="M152" s="14">
        <v>45091</v>
      </c>
      <c r="N152" s="17" t="str">
        <f>+LEFT(L152,5)</f>
        <v>T3M15</v>
      </c>
      <c r="O152" s="18" t="s">
        <v>392</v>
      </c>
      <c r="P152" s="19" t="s">
        <v>393</v>
      </c>
      <c r="Q152" s="20" t="s">
        <v>102</v>
      </c>
      <c r="R152" s="21" t="s">
        <v>6</v>
      </c>
      <c r="S152" s="22">
        <f t="shared" si="24"/>
        <v>240</v>
      </c>
      <c r="T152" s="22"/>
      <c r="U152" s="22"/>
      <c r="V152" s="22"/>
      <c r="W152" s="23"/>
      <c r="X152" s="23">
        <v>6</v>
      </c>
      <c r="Y152" s="23">
        <v>36</v>
      </c>
      <c r="Z152" s="23">
        <v>54</v>
      </c>
      <c r="AA152" s="23">
        <v>60</v>
      </c>
      <c r="AB152" s="23">
        <v>54</v>
      </c>
      <c r="AC152" s="23">
        <v>30</v>
      </c>
      <c r="AD152" s="23"/>
      <c r="AE152" s="23"/>
      <c r="AF152" s="23"/>
      <c r="AG152" s="23"/>
      <c r="AH152" s="23"/>
      <c r="AI152" s="23"/>
      <c r="AJ152" s="23"/>
      <c r="AK152" s="23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</row>
    <row r="153" spans="1:52" s="26" customFormat="1" ht="15" customHeight="1" outlineLevel="1" x14ac:dyDescent="0.45">
      <c r="A153" s="38"/>
      <c r="B153" s="39"/>
      <c r="C153" s="39"/>
      <c r="D153" s="40"/>
      <c r="E153" s="40"/>
      <c r="F153" s="16"/>
      <c r="G153" s="16"/>
      <c r="H153" s="16"/>
      <c r="I153" s="16"/>
      <c r="J153" s="40"/>
      <c r="K153" s="40"/>
      <c r="L153" s="16"/>
      <c r="M153" s="40"/>
      <c r="N153" s="41" t="s">
        <v>502</v>
      </c>
      <c r="O153" s="42"/>
      <c r="P153" s="43"/>
      <c r="Q153" s="44"/>
      <c r="R153" s="45"/>
      <c r="S153" s="46">
        <f t="shared" ref="S153:AZ153" si="49">SUBTOTAL(9,S152:S152)</f>
        <v>240</v>
      </c>
      <c r="T153" s="46">
        <f t="shared" si="49"/>
        <v>0</v>
      </c>
      <c r="U153" s="46">
        <f t="shared" si="49"/>
        <v>0</v>
      </c>
      <c r="V153" s="46">
        <f t="shared" si="49"/>
        <v>0</v>
      </c>
      <c r="W153" s="85">
        <f t="shared" si="49"/>
        <v>0</v>
      </c>
      <c r="X153" s="85">
        <f t="shared" si="49"/>
        <v>6</v>
      </c>
      <c r="Y153" s="85">
        <f t="shared" si="49"/>
        <v>36</v>
      </c>
      <c r="Z153" s="85">
        <f t="shared" si="49"/>
        <v>54</v>
      </c>
      <c r="AA153" s="85">
        <f t="shared" si="49"/>
        <v>60</v>
      </c>
      <c r="AB153" s="85">
        <f t="shared" si="49"/>
        <v>54</v>
      </c>
      <c r="AC153" s="85">
        <f t="shared" si="49"/>
        <v>30</v>
      </c>
      <c r="AD153" s="85">
        <f t="shared" si="49"/>
        <v>0</v>
      </c>
      <c r="AE153" s="85">
        <f t="shared" si="49"/>
        <v>0</v>
      </c>
      <c r="AF153" s="85">
        <f t="shared" si="49"/>
        <v>0</v>
      </c>
      <c r="AG153" s="85">
        <f t="shared" si="49"/>
        <v>0</v>
      </c>
      <c r="AH153" s="85">
        <f t="shared" si="49"/>
        <v>0</v>
      </c>
      <c r="AI153" s="85">
        <f t="shared" si="49"/>
        <v>0</v>
      </c>
      <c r="AJ153" s="85">
        <f t="shared" si="49"/>
        <v>0</v>
      </c>
      <c r="AK153" s="85">
        <f t="shared" si="49"/>
        <v>0</v>
      </c>
      <c r="AL153" s="86">
        <f t="shared" si="49"/>
        <v>0</v>
      </c>
      <c r="AM153" s="86">
        <f t="shared" si="49"/>
        <v>0</v>
      </c>
      <c r="AN153" s="86">
        <f t="shared" si="49"/>
        <v>0</v>
      </c>
      <c r="AO153" s="86">
        <f t="shared" si="49"/>
        <v>0</v>
      </c>
      <c r="AP153" s="86">
        <f t="shared" si="49"/>
        <v>0</v>
      </c>
      <c r="AQ153" s="86">
        <f t="shared" si="49"/>
        <v>0</v>
      </c>
      <c r="AR153" s="86">
        <f t="shared" si="49"/>
        <v>0</v>
      </c>
      <c r="AS153" s="86">
        <f t="shared" si="49"/>
        <v>0</v>
      </c>
      <c r="AT153" s="86">
        <f t="shared" si="49"/>
        <v>0</v>
      </c>
      <c r="AU153" s="86">
        <f t="shared" si="49"/>
        <v>0</v>
      </c>
      <c r="AV153" s="86">
        <f t="shared" si="49"/>
        <v>0</v>
      </c>
      <c r="AW153" s="86">
        <f t="shared" si="49"/>
        <v>0</v>
      </c>
      <c r="AX153" s="86">
        <f t="shared" si="49"/>
        <v>0</v>
      </c>
      <c r="AY153" s="86">
        <f t="shared" si="49"/>
        <v>0</v>
      </c>
      <c r="AZ153" s="86">
        <f t="shared" si="49"/>
        <v>0</v>
      </c>
    </row>
    <row r="154" spans="1:52" s="25" customFormat="1" ht="15" customHeight="1" outlineLevel="2" x14ac:dyDescent="0.45">
      <c r="A154" s="12">
        <v>3503405472</v>
      </c>
      <c r="B154" s="13">
        <v>20</v>
      </c>
      <c r="C154" s="13" t="s">
        <v>503</v>
      </c>
      <c r="D154" s="14"/>
      <c r="E154" s="14"/>
      <c r="F154" s="15" t="s">
        <v>255</v>
      </c>
      <c r="G154" s="15">
        <v>1041</v>
      </c>
      <c r="H154" s="15" t="s">
        <v>221</v>
      </c>
      <c r="I154" s="15" t="s">
        <v>98</v>
      </c>
      <c r="J154" s="14"/>
      <c r="K154" s="14">
        <v>45213</v>
      </c>
      <c r="L154" s="16" t="s">
        <v>504</v>
      </c>
      <c r="M154" s="14">
        <v>45091</v>
      </c>
      <c r="N154" s="17" t="str">
        <f>+LEFT(L154,5)</f>
        <v>T3M16</v>
      </c>
      <c r="O154" s="18" t="s">
        <v>425</v>
      </c>
      <c r="P154" s="19" t="s">
        <v>258</v>
      </c>
      <c r="Q154" s="20" t="s">
        <v>102</v>
      </c>
      <c r="R154" s="21" t="s">
        <v>225</v>
      </c>
      <c r="S154" s="22">
        <f t="shared" si="24"/>
        <v>126</v>
      </c>
      <c r="T154" s="22"/>
      <c r="U154" s="22"/>
      <c r="V154" s="22"/>
      <c r="W154" s="23"/>
      <c r="X154" s="23"/>
      <c r="Y154" s="23"/>
      <c r="Z154" s="23"/>
      <c r="AA154" s="23"/>
      <c r="AB154" s="23"/>
      <c r="AC154" s="23">
        <v>12</v>
      </c>
      <c r="AD154" s="23">
        <v>12</v>
      </c>
      <c r="AE154" s="23">
        <v>24</v>
      </c>
      <c r="AF154" s="23">
        <v>18</v>
      </c>
      <c r="AG154" s="23">
        <v>24</v>
      </c>
      <c r="AH154" s="23">
        <v>18</v>
      </c>
      <c r="AI154" s="23">
        <v>12</v>
      </c>
      <c r="AJ154" s="23"/>
      <c r="AK154" s="23">
        <v>6</v>
      </c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</row>
    <row r="155" spans="1:52" s="25" customFormat="1" ht="15" customHeight="1" outlineLevel="2" x14ac:dyDescent="0.45">
      <c r="A155" s="12">
        <v>3503405032</v>
      </c>
      <c r="B155" s="13">
        <v>20</v>
      </c>
      <c r="C155" s="13" t="s">
        <v>505</v>
      </c>
      <c r="D155" s="14"/>
      <c r="E155" s="14"/>
      <c r="F155" s="15" t="s">
        <v>255</v>
      </c>
      <c r="G155" s="15">
        <v>1038</v>
      </c>
      <c r="H155" s="15" t="s">
        <v>234</v>
      </c>
      <c r="I155" s="15" t="s">
        <v>98</v>
      </c>
      <c r="J155" s="14"/>
      <c r="K155" s="14">
        <v>45220</v>
      </c>
      <c r="L155" s="16" t="s">
        <v>506</v>
      </c>
      <c r="M155" s="14">
        <v>45091</v>
      </c>
      <c r="N155" s="17" t="str">
        <f>+LEFT(L155,5)</f>
        <v>T3M16</v>
      </c>
      <c r="O155" s="18" t="s">
        <v>425</v>
      </c>
      <c r="P155" s="19" t="s">
        <v>258</v>
      </c>
      <c r="Q155" s="20" t="s">
        <v>102</v>
      </c>
      <c r="R155" s="21" t="s">
        <v>225</v>
      </c>
      <c r="S155" s="22">
        <f t="shared" si="24"/>
        <v>714</v>
      </c>
      <c r="T155" s="22"/>
      <c r="U155" s="22"/>
      <c r="V155" s="22"/>
      <c r="W155" s="23"/>
      <c r="X155" s="23"/>
      <c r="Y155" s="23"/>
      <c r="Z155" s="23"/>
      <c r="AA155" s="23"/>
      <c r="AB155" s="23">
        <v>48</v>
      </c>
      <c r="AC155" s="23">
        <v>48</v>
      </c>
      <c r="AD155" s="23">
        <v>66</v>
      </c>
      <c r="AE155" s="23">
        <v>144</v>
      </c>
      <c r="AF155" s="23">
        <v>144</v>
      </c>
      <c r="AG155" s="23">
        <v>96</v>
      </c>
      <c r="AH155" s="23">
        <v>72</v>
      </c>
      <c r="AI155" s="23">
        <v>48</v>
      </c>
      <c r="AJ155" s="23"/>
      <c r="AK155" s="23">
        <v>48</v>
      </c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</row>
    <row r="156" spans="1:52" s="26" customFormat="1" ht="15" customHeight="1" outlineLevel="1" x14ac:dyDescent="0.45">
      <c r="A156" s="38"/>
      <c r="B156" s="39"/>
      <c r="C156" s="39"/>
      <c r="D156" s="40"/>
      <c r="E156" s="40"/>
      <c r="F156" s="16"/>
      <c r="G156" s="16"/>
      <c r="H156" s="16"/>
      <c r="I156" s="16"/>
      <c r="J156" s="40"/>
      <c r="K156" s="40"/>
      <c r="L156" s="16"/>
      <c r="M156" s="40"/>
      <c r="N156" s="41" t="s">
        <v>507</v>
      </c>
      <c r="O156" s="42"/>
      <c r="P156" s="43"/>
      <c r="Q156" s="44"/>
      <c r="R156" s="45"/>
      <c r="S156" s="46">
        <f t="shared" ref="S156:AZ156" si="50">SUBTOTAL(9,S154:S155)</f>
        <v>840</v>
      </c>
      <c r="T156" s="46">
        <f t="shared" si="50"/>
        <v>0</v>
      </c>
      <c r="U156" s="46">
        <f t="shared" si="50"/>
        <v>0</v>
      </c>
      <c r="V156" s="46">
        <f t="shared" si="50"/>
        <v>0</v>
      </c>
      <c r="W156" s="85">
        <f t="shared" si="50"/>
        <v>0</v>
      </c>
      <c r="X156" s="85">
        <f t="shared" si="50"/>
        <v>0</v>
      </c>
      <c r="Y156" s="85">
        <f t="shared" si="50"/>
        <v>0</v>
      </c>
      <c r="Z156" s="85">
        <f t="shared" si="50"/>
        <v>0</v>
      </c>
      <c r="AA156" s="85">
        <f t="shared" si="50"/>
        <v>0</v>
      </c>
      <c r="AB156" s="85">
        <f t="shared" si="50"/>
        <v>48</v>
      </c>
      <c r="AC156" s="85">
        <f t="shared" si="50"/>
        <v>60</v>
      </c>
      <c r="AD156" s="85">
        <f t="shared" si="50"/>
        <v>78</v>
      </c>
      <c r="AE156" s="85">
        <f t="shared" si="50"/>
        <v>168</v>
      </c>
      <c r="AF156" s="85">
        <f t="shared" si="50"/>
        <v>162</v>
      </c>
      <c r="AG156" s="85">
        <f t="shared" si="50"/>
        <v>120</v>
      </c>
      <c r="AH156" s="85">
        <f t="shared" si="50"/>
        <v>90</v>
      </c>
      <c r="AI156" s="85">
        <f t="shared" si="50"/>
        <v>60</v>
      </c>
      <c r="AJ156" s="85">
        <f t="shared" si="50"/>
        <v>0</v>
      </c>
      <c r="AK156" s="85">
        <f t="shared" si="50"/>
        <v>54</v>
      </c>
      <c r="AL156" s="86">
        <f t="shared" si="50"/>
        <v>0</v>
      </c>
      <c r="AM156" s="86">
        <f t="shared" si="50"/>
        <v>0</v>
      </c>
      <c r="AN156" s="86">
        <f t="shared" si="50"/>
        <v>0</v>
      </c>
      <c r="AO156" s="86">
        <f t="shared" si="50"/>
        <v>0</v>
      </c>
      <c r="AP156" s="86">
        <f t="shared" si="50"/>
        <v>0</v>
      </c>
      <c r="AQ156" s="86">
        <f t="shared" si="50"/>
        <v>0</v>
      </c>
      <c r="AR156" s="86">
        <f t="shared" si="50"/>
        <v>0</v>
      </c>
      <c r="AS156" s="86">
        <f t="shared" si="50"/>
        <v>0</v>
      </c>
      <c r="AT156" s="86">
        <f t="shared" si="50"/>
        <v>0</v>
      </c>
      <c r="AU156" s="86">
        <f t="shared" si="50"/>
        <v>0</v>
      </c>
      <c r="AV156" s="86">
        <f t="shared" si="50"/>
        <v>0</v>
      </c>
      <c r="AW156" s="86">
        <f t="shared" si="50"/>
        <v>0</v>
      </c>
      <c r="AX156" s="86">
        <f t="shared" si="50"/>
        <v>0</v>
      </c>
      <c r="AY156" s="86">
        <f t="shared" si="50"/>
        <v>0</v>
      </c>
      <c r="AZ156" s="86">
        <f t="shared" si="50"/>
        <v>0</v>
      </c>
    </row>
    <row r="157" spans="1:52" s="25" customFormat="1" ht="15" customHeight="1" outlineLevel="2" x14ac:dyDescent="0.45">
      <c r="A157" s="12">
        <v>4509528951</v>
      </c>
      <c r="B157" s="13">
        <v>10</v>
      </c>
      <c r="C157" s="13" t="s">
        <v>508</v>
      </c>
      <c r="D157" s="14"/>
      <c r="E157" s="14"/>
      <c r="F157" s="15" t="s">
        <v>366</v>
      </c>
      <c r="G157" s="15">
        <v>1098</v>
      </c>
      <c r="H157" s="15" t="s">
        <v>381</v>
      </c>
      <c r="I157" s="15" t="s">
        <v>152</v>
      </c>
      <c r="J157" s="14"/>
      <c r="K157" s="14">
        <v>45213</v>
      </c>
      <c r="L157" s="16" t="s">
        <v>509</v>
      </c>
      <c r="M157" s="14">
        <v>45091</v>
      </c>
      <c r="N157" s="17" t="str">
        <f>+LEFT(L157,5)</f>
        <v>T3M18</v>
      </c>
      <c r="O157" s="18" t="s">
        <v>368</v>
      </c>
      <c r="P157" s="19" t="s">
        <v>369</v>
      </c>
      <c r="Q157" s="20" t="s">
        <v>102</v>
      </c>
      <c r="R157" s="21" t="s">
        <v>225</v>
      </c>
      <c r="S157" s="22">
        <f t="shared" si="24"/>
        <v>1110</v>
      </c>
      <c r="T157" s="22"/>
      <c r="U157" s="22"/>
      <c r="V157" s="22"/>
      <c r="W157" s="23"/>
      <c r="X157" s="23"/>
      <c r="Y157" s="23"/>
      <c r="Z157" s="23">
        <v>6</v>
      </c>
      <c r="AA157" s="23">
        <v>54</v>
      </c>
      <c r="AB157" s="23">
        <v>42</v>
      </c>
      <c r="AC157" s="23">
        <v>144</v>
      </c>
      <c r="AD157" s="23">
        <v>102</v>
      </c>
      <c r="AE157" s="23">
        <v>216</v>
      </c>
      <c r="AF157" s="23">
        <v>138</v>
      </c>
      <c r="AG157" s="23">
        <v>168</v>
      </c>
      <c r="AH157" s="23">
        <v>84</v>
      </c>
      <c r="AI157" s="23">
        <v>90</v>
      </c>
      <c r="AJ157" s="23">
        <v>18</v>
      </c>
      <c r="AK157" s="23">
        <v>42</v>
      </c>
      <c r="AL157" s="24"/>
      <c r="AM157" s="24">
        <v>6</v>
      </c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</row>
    <row r="158" spans="1:52" s="26" customFormat="1" ht="15" customHeight="1" outlineLevel="1" x14ac:dyDescent="0.45">
      <c r="A158" s="38"/>
      <c r="B158" s="39"/>
      <c r="C158" s="39"/>
      <c r="D158" s="40"/>
      <c r="E158" s="40"/>
      <c r="F158" s="16"/>
      <c r="G158" s="16"/>
      <c r="H158" s="16"/>
      <c r="I158" s="16"/>
      <c r="J158" s="40"/>
      <c r="K158" s="40"/>
      <c r="L158" s="16"/>
      <c r="M158" s="40"/>
      <c r="N158" s="41" t="s">
        <v>510</v>
      </c>
      <c r="O158" s="42"/>
      <c r="P158" s="43"/>
      <c r="Q158" s="44"/>
      <c r="R158" s="45"/>
      <c r="S158" s="46">
        <f t="shared" ref="S158:AZ158" si="51">SUBTOTAL(9,S157:S157)</f>
        <v>1110</v>
      </c>
      <c r="T158" s="46">
        <f t="shared" si="51"/>
        <v>0</v>
      </c>
      <c r="U158" s="46">
        <f t="shared" si="51"/>
        <v>0</v>
      </c>
      <c r="V158" s="46">
        <f t="shared" si="51"/>
        <v>0</v>
      </c>
      <c r="W158" s="85">
        <f t="shared" si="51"/>
        <v>0</v>
      </c>
      <c r="X158" s="85">
        <f t="shared" si="51"/>
        <v>0</v>
      </c>
      <c r="Y158" s="85">
        <f t="shared" si="51"/>
        <v>0</v>
      </c>
      <c r="Z158" s="85">
        <f t="shared" si="51"/>
        <v>6</v>
      </c>
      <c r="AA158" s="85">
        <f t="shared" si="51"/>
        <v>54</v>
      </c>
      <c r="AB158" s="85">
        <f t="shared" si="51"/>
        <v>42</v>
      </c>
      <c r="AC158" s="85">
        <f t="shared" si="51"/>
        <v>144</v>
      </c>
      <c r="AD158" s="85">
        <f t="shared" si="51"/>
        <v>102</v>
      </c>
      <c r="AE158" s="85">
        <f t="shared" si="51"/>
        <v>216</v>
      </c>
      <c r="AF158" s="85">
        <f t="shared" si="51"/>
        <v>138</v>
      </c>
      <c r="AG158" s="85">
        <f t="shared" si="51"/>
        <v>168</v>
      </c>
      <c r="AH158" s="85">
        <f t="shared" si="51"/>
        <v>84</v>
      </c>
      <c r="AI158" s="85">
        <f t="shared" si="51"/>
        <v>90</v>
      </c>
      <c r="AJ158" s="85">
        <f t="shared" si="51"/>
        <v>18</v>
      </c>
      <c r="AK158" s="85">
        <f t="shared" si="51"/>
        <v>42</v>
      </c>
      <c r="AL158" s="86">
        <f t="shared" si="51"/>
        <v>0</v>
      </c>
      <c r="AM158" s="86">
        <f t="shared" si="51"/>
        <v>6</v>
      </c>
      <c r="AN158" s="86">
        <f t="shared" si="51"/>
        <v>0</v>
      </c>
      <c r="AO158" s="86">
        <f t="shared" si="51"/>
        <v>0</v>
      </c>
      <c r="AP158" s="86">
        <f t="shared" si="51"/>
        <v>0</v>
      </c>
      <c r="AQ158" s="86">
        <f t="shared" si="51"/>
        <v>0</v>
      </c>
      <c r="AR158" s="86">
        <f t="shared" si="51"/>
        <v>0</v>
      </c>
      <c r="AS158" s="86">
        <f t="shared" si="51"/>
        <v>0</v>
      </c>
      <c r="AT158" s="86">
        <f t="shared" si="51"/>
        <v>0</v>
      </c>
      <c r="AU158" s="86">
        <f t="shared" si="51"/>
        <v>0</v>
      </c>
      <c r="AV158" s="86">
        <f t="shared" si="51"/>
        <v>0</v>
      </c>
      <c r="AW158" s="86">
        <f t="shared" si="51"/>
        <v>0</v>
      </c>
      <c r="AX158" s="86">
        <f t="shared" si="51"/>
        <v>0</v>
      </c>
      <c r="AY158" s="86">
        <f t="shared" si="51"/>
        <v>0</v>
      </c>
      <c r="AZ158" s="86">
        <f t="shared" si="51"/>
        <v>0</v>
      </c>
    </row>
    <row r="159" spans="1:52" s="25" customFormat="1" ht="15" customHeight="1" outlineLevel="2" x14ac:dyDescent="0.45">
      <c r="A159" s="12">
        <v>4509529443</v>
      </c>
      <c r="B159" s="13">
        <v>10</v>
      </c>
      <c r="C159" s="13" t="s">
        <v>511</v>
      </c>
      <c r="D159" s="14"/>
      <c r="E159" s="14"/>
      <c r="F159" s="15" t="s">
        <v>366</v>
      </c>
      <c r="G159" s="15">
        <v>1064</v>
      </c>
      <c r="H159" s="15" t="s">
        <v>5</v>
      </c>
      <c r="I159" s="15" t="s">
        <v>152</v>
      </c>
      <c r="J159" s="14"/>
      <c r="K159" s="14">
        <v>45213</v>
      </c>
      <c r="L159" s="16" t="s">
        <v>512</v>
      </c>
      <c r="M159" s="14">
        <v>45091</v>
      </c>
      <c r="N159" s="17" t="str">
        <f>+LEFT(L159,5)</f>
        <v>T3M19</v>
      </c>
      <c r="O159" s="18" t="s">
        <v>475</v>
      </c>
      <c r="P159" s="19" t="s">
        <v>393</v>
      </c>
      <c r="Q159" s="20" t="s">
        <v>653</v>
      </c>
      <c r="R159" s="21" t="s">
        <v>6</v>
      </c>
      <c r="S159" s="22">
        <f t="shared" si="24"/>
        <v>4056</v>
      </c>
      <c r="T159" s="22">
        <v>0</v>
      </c>
      <c r="U159" s="22">
        <v>0</v>
      </c>
      <c r="V159" s="22">
        <v>0</v>
      </c>
      <c r="W159" s="23">
        <v>14</v>
      </c>
      <c r="X159" s="23">
        <v>72</v>
      </c>
      <c r="Y159" s="23">
        <v>91</v>
      </c>
      <c r="Z159" s="23">
        <v>346</v>
      </c>
      <c r="AA159" s="23">
        <v>350</v>
      </c>
      <c r="AB159" s="23">
        <v>542</v>
      </c>
      <c r="AC159" s="23">
        <v>605</v>
      </c>
      <c r="AD159" s="23">
        <v>787</v>
      </c>
      <c r="AE159" s="23">
        <v>317</v>
      </c>
      <c r="AF159" s="23">
        <v>514</v>
      </c>
      <c r="AG159" s="23">
        <v>178</v>
      </c>
      <c r="AH159" s="23">
        <v>149</v>
      </c>
      <c r="AI159" s="23">
        <v>43</v>
      </c>
      <c r="AJ159" s="23">
        <v>38</v>
      </c>
      <c r="AK159" s="23">
        <v>10</v>
      </c>
      <c r="AL159" s="24">
        <v>0</v>
      </c>
      <c r="AM159" s="24">
        <v>0</v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0</v>
      </c>
      <c r="AV159" s="24">
        <v>0</v>
      </c>
      <c r="AW159" s="24">
        <v>0</v>
      </c>
      <c r="AX159" s="24">
        <v>0</v>
      </c>
      <c r="AY159" s="24"/>
      <c r="AZ159" s="24"/>
    </row>
    <row r="160" spans="1:52" s="25" customFormat="1" ht="15" customHeight="1" outlineLevel="2" x14ac:dyDescent="0.45">
      <c r="A160" s="12">
        <v>4509529443</v>
      </c>
      <c r="B160" s="13">
        <v>30</v>
      </c>
      <c r="C160" s="13" t="s">
        <v>650</v>
      </c>
      <c r="D160" s="14"/>
      <c r="E160" s="14"/>
      <c r="F160" s="15" t="s">
        <v>366</v>
      </c>
      <c r="G160" s="15">
        <v>1064</v>
      </c>
      <c r="H160" s="15" t="s">
        <v>5</v>
      </c>
      <c r="I160" s="15" t="s">
        <v>152</v>
      </c>
      <c r="J160" s="14"/>
      <c r="K160" s="14">
        <v>45213</v>
      </c>
      <c r="L160" s="16" t="s">
        <v>651</v>
      </c>
      <c r="M160" s="14">
        <v>45091</v>
      </c>
      <c r="N160" s="17" t="str">
        <f>+LEFT(L160,5)</f>
        <v>T3M19</v>
      </c>
      <c r="O160" s="18" t="s">
        <v>475</v>
      </c>
      <c r="P160" s="19" t="s">
        <v>393</v>
      </c>
      <c r="Q160" s="20" t="s">
        <v>652</v>
      </c>
      <c r="R160" s="21" t="s">
        <v>6</v>
      </c>
      <c r="S160" s="22">
        <f t="shared" ref="S160" si="52">SUM(T160:AZ160)</f>
        <v>1014</v>
      </c>
      <c r="T160" s="22"/>
      <c r="U160" s="22"/>
      <c r="V160" s="22"/>
      <c r="W160" s="23">
        <v>4</v>
      </c>
      <c r="X160" s="23">
        <v>18</v>
      </c>
      <c r="Y160" s="23">
        <v>23</v>
      </c>
      <c r="Z160" s="23">
        <v>86</v>
      </c>
      <c r="AA160" s="23">
        <v>88</v>
      </c>
      <c r="AB160" s="23">
        <v>136</v>
      </c>
      <c r="AC160" s="23">
        <v>151</v>
      </c>
      <c r="AD160" s="23">
        <v>197</v>
      </c>
      <c r="AE160" s="23">
        <v>79</v>
      </c>
      <c r="AF160" s="23">
        <v>128</v>
      </c>
      <c r="AG160" s="23">
        <v>44</v>
      </c>
      <c r="AH160" s="23">
        <v>37</v>
      </c>
      <c r="AI160" s="23">
        <v>11</v>
      </c>
      <c r="AJ160" s="23">
        <v>10</v>
      </c>
      <c r="AK160" s="23">
        <v>2</v>
      </c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</row>
    <row r="161" spans="1:52" s="26" customFormat="1" ht="15" customHeight="1" outlineLevel="1" x14ac:dyDescent="0.45">
      <c r="A161" s="38"/>
      <c r="B161" s="39"/>
      <c r="C161" s="39"/>
      <c r="D161" s="40"/>
      <c r="E161" s="40"/>
      <c r="F161" s="16"/>
      <c r="G161" s="16"/>
      <c r="H161" s="16"/>
      <c r="I161" s="16"/>
      <c r="J161" s="40"/>
      <c r="K161" s="40"/>
      <c r="L161" s="16"/>
      <c r="M161" s="40"/>
      <c r="N161" s="41" t="s">
        <v>513</v>
      </c>
      <c r="O161" s="42"/>
      <c r="P161" s="43"/>
      <c r="Q161" s="44"/>
      <c r="R161" s="45"/>
      <c r="S161" s="46">
        <f>SUBTOTAL(9,S159:S160)</f>
        <v>5070</v>
      </c>
      <c r="T161" s="46">
        <f t="shared" ref="T161:AZ161" si="53">SUBTOTAL(9,T159:T160)</f>
        <v>0</v>
      </c>
      <c r="U161" s="46">
        <f t="shared" si="53"/>
        <v>0</v>
      </c>
      <c r="V161" s="46">
        <f t="shared" si="53"/>
        <v>0</v>
      </c>
      <c r="W161" s="46">
        <f t="shared" si="53"/>
        <v>18</v>
      </c>
      <c r="X161" s="46">
        <f t="shared" si="53"/>
        <v>90</v>
      </c>
      <c r="Y161" s="46">
        <f t="shared" si="53"/>
        <v>114</v>
      </c>
      <c r="Z161" s="46">
        <f t="shared" si="53"/>
        <v>432</v>
      </c>
      <c r="AA161" s="46">
        <f t="shared" si="53"/>
        <v>438</v>
      </c>
      <c r="AB161" s="46">
        <f t="shared" si="53"/>
        <v>678</v>
      </c>
      <c r="AC161" s="46">
        <f t="shared" si="53"/>
        <v>756</v>
      </c>
      <c r="AD161" s="46">
        <f t="shared" si="53"/>
        <v>984</v>
      </c>
      <c r="AE161" s="46">
        <f t="shared" si="53"/>
        <v>396</v>
      </c>
      <c r="AF161" s="46">
        <f t="shared" si="53"/>
        <v>642</v>
      </c>
      <c r="AG161" s="46">
        <f t="shared" si="53"/>
        <v>222</v>
      </c>
      <c r="AH161" s="46">
        <f t="shared" si="53"/>
        <v>186</v>
      </c>
      <c r="AI161" s="46">
        <f t="shared" si="53"/>
        <v>54</v>
      </c>
      <c r="AJ161" s="46">
        <f t="shared" si="53"/>
        <v>48</v>
      </c>
      <c r="AK161" s="46">
        <f t="shared" si="53"/>
        <v>12</v>
      </c>
      <c r="AL161" s="46">
        <f t="shared" si="53"/>
        <v>0</v>
      </c>
      <c r="AM161" s="46">
        <f t="shared" si="53"/>
        <v>0</v>
      </c>
      <c r="AN161" s="46">
        <f t="shared" si="53"/>
        <v>0</v>
      </c>
      <c r="AO161" s="46">
        <f t="shared" si="53"/>
        <v>0</v>
      </c>
      <c r="AP161" s="46">
        <f t="shared" si="53"/>
        <v>0</v>
      </c>
      <c r="AQ161" s="46">
        <f t="shared" si="53"/>
        <v>0</v>
      </c>
      <c r="AR161" s="46">
        <f t="shared" si="53"/>
        <v>0</v>
      </c>
      <c r="AS161" s="46">
        <f t="shared" si="53"/>
        <v>0</v>
      </c>
      <c r="AT161" s="46">
        <f t="shared" si="53"/>
        <v>0</v>
      </c>
      <c r="AU161" s="46">
        <f t="shared" si="53"/>
        <v>0</v>
      </c>
      <c r="AV161" s="46">
        <f t="shared" si="53"/>
        <v>0</v>
      </c>
      <c r="AW161" s="46">
        <f t="shared" si="53"/>
        <v>0</v>
      </c>
      <c r="AX161" s="46">
        <f t="shared" si="53"/>
        <v>0</v>
      </c>
      <c r="AY161" s="46">
        <f t="shared" si="53"/>
        <v>0</v>
      </c>
      <c r="AZ161" s="46">
        <f t="shared" si="53"/>
        <v>0</v>
      </c>
    </row>
    <row r="162" spans="1:52" s="25" customFormat="1" ht="15" customHeight="1" outlineLevel="2" x14ac:dyDescent="0.45">
      <c r="A162" s="12">
        <v>4509529929</v>
      </c>
      <c r="B162" s="13">
        <v>20</v>
      </c>
      <c r="C162" s="13" t="s">
        <v>514</v>
      </c>
      <c r="D162" s="14"/>
      <c r="E162" s="14"/>
      <c r="F162" s="15" t="s">
        <v>366</v>
      </c>
      <c r="G162" s="15">
        <v>1014</v>
      </c>
      <c r="H162" s="15" t="s">
        <v>118</v>
      </c>
      <c r="I162" s="15" t="s">
        <v>152</v>
      </c>
      <c r="J162" s="14"/>
      <c r="K162" s="14">
        <v>45213</v>
      </c>
      <c r="L162" s="16" t="s">
        <v>515</v>
      </c>
      <c r="M162" s="14">
        <v>45091</v>
      </c>
      <c r="N162" s="17" t="str">
        <f t="shared" ref="N162:N167" si="54">+LEFT(L162,5)</f>
        <v>T3M20</v>
      </c>
      <c r="O162" s="18" t="s">
        <v>475</v>
      </c>
      <c r="P162" s="19" t="s">
        <v>393</v>
      </c>
      <c r="Q162" s="20" t="s">
        <v>102</v>
      </c>
      <c r="R162" s="21" t="s">
        <v>6</v>
      </c>
      <c r="S162" s="22">
        <f t="shared" si="24"/>
        <v>318</v>
      </c>
      <c r="T162" s="22"/>
      <c r="U162" s="22"/>
      <c r="V162" s="22"/>
      <c r="W162" s="23">
        <v>6</v>
      </c>
      <c r="X162" s="23">
        <v>6</v>
      </c>
      <c r="Y162" s="23">
        <v>18</v>
      </c>
      <c r="Z162" s="23">
        <v>24</v>
      </c>
      <c r="AA162" s="23">
        <v>36</v>
      </c>
      <c r="AB162" s="23">
        <v>42</v>
      </c>
      <c r="AC162" s="23">
        <v>48</v>
      </c>
      <c r="AD162" s="23">
        <v>42</v>
      </c>
      <c r="AE162" s="23">
        <v>36</v>
      </c>
      <c r="AF162" s="23">
        <v>24</v>
      </c>
      <c r="AG162" s="23">
        <v>24</v>
      </c>
      <c r="AH162" s="23">
        <v>6</v>
      </c>
      <c r="AI162" s="23">
        <v>6</v>
      </c>
      <c r="AJ162" s="23"/>
      <c r="AK162" s="23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</row>
    <row r="163" spans="1:52" s="25" customFormat="1" ht="15" customHeight="1" outlineLevel="2" x14ac:dyDescent="0.45">
      <c r="A163" s="12">
        <v>4509529443</v>
      </c>
      <c r="B163" s="13">
        <v>20</v>
      </c>
      <c r="C163" s="13" t="s">
        <v>516</v>
      </c>
      <c r="D163" s="14"/>
      <c r="E163" s="14"/>
      <c r="F163" s="15" t="s">
        <v>366</v>
      </c>
      <c r="G163" s="15">
        <v>1064</v>
      </c>
      <c r="H163" s="15" t="s">
        <v>5</v>
      </c>
      <c r="I163" s="15" t="s">
        <v>152</v>
      </c>
      <c r="J163" s="14"/>
      <c r="K163" s="14">
        <v>45213</v>
      </c>
      <c r="L163" s="16" t="s">
        <v>517</v>
      </c>
      <c r="M163" s="14">
        <v>45091</v>
      </c>
      <c r="N163" s="17" t="str">
        <f t="shared" si="54"/>
        <v>T3M20</v>
      </c>
      <c r="O163" s="18" t="s">
        <v>475</v>
      </c>
      <c r="P163" s="19" t="s">
        <v>393</v>
      </c>
      <c r="Q163" s="20" t="s">
        <v>1025</v>
      </c>
      <c r="R163" s="21" t="s">
        <v>6</v>
      </c>
      <c r="S163" s="22">
        <f t="shared" si="24"/>
        <v>2370</v>
      </c>
      <c r="T163" s="22">
        <v>0</v>
      </c>
      <c r="U163" s="22">
        <v>0</v>
      </c>
      <c r="V163" s="22">
        <v>0</v>
      </c>
      <c r="W163" s="23">
        <v>8</v>
      </c>
      <c r="X163" s="23">
        <v>12</v>
      </c>
      <c r="Y163" s="23">
        <v>1</v>
      </c>
      <c r="Z163" s="23">
        <v>184</v>
      </c>
      <c r="AA163" s="23">
        <v>146</v>
      </c>
      <c r="AB163" s="23">
        <v>314</v>
      </c>
      <c r="AC163" s="23">
        <v>365</v>
      </c>
      <c r="AD163" s="23">
        <v>595</v>
      </c>
      <c r="AE163" s="23">
        <v>191</v>
      </c>
      <c r="AF163" s="23">
        <v>352</v>
      </c>
      <c r="AG163" s="23">
        <v>58</v>
      </c>
      <c r="AH163" s="23">
        <v>107</v>
      </c>
      <c r="AI163" s="23">
        <v>7</v>
      </c>
      <c r="AJ163" s="23">
        <v>20</v>
      </c>
      <c r="AK163" s="23">
        <v>10</v>
      </c>
      <c r="AL163" s="24">
        <v>0</v>
      </c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4">
        <v>0</v>
      </c>
      <c r="AU163" s="24">
        <v>0</v>
      </c>
      <c r="AV163" s="24">
        <v>0</v>
      </c>
      <c r="AW163" s="24">
        <v>0</v>
      </c>
      <c r="AX163" s="24">
        <v>0</v>
      </c>
      <c r="AY163" s="24">
        <v>0</v>
      </c>
      <c r="AZ163" s="24">
        <v>0</v>
      </c>
    </row>
    <row r="164" spans="1:52" s="25" customFormat="1" ht="15" customHeight="1" outlineLevel="2" x14ac:dyDescent="0.45">
      <c r="A164" s="12">
        <v>4509531095</v>
      </c>
      <c r="B164" s="13">
        <v>10</v>
      </c>
      <c r="C164" s="13" t="s">
        <v>518</v>
      </c>
      <c r="D164" s="14"/>
      <c r="E164" s="14"/>
      <c r="F164" s="15" t="s">
        <v>366</v>
      </c>
      <c r="G164" s="15">
        <v>520592</v>
      </c>
      <c r="H164" s="15" t="s">
        <v>409</v>
      </c>
      <c r="I164" s="15" t="s">
        <v>152</v>
      </c>
      <c r="J164" s="14"/>
      <c r="K164" s="14">
        <v>45213</v>
      </c>
      <c r="L164" s="16" t="s">
        <v>519</v>
      </c>
      <c r="M164" s="14">
        <v>45091</v>
      </c>
      <c r="N164" s="17" t="str">
        <f t="shared" si="54"/>
        <v>T3M20</v>
      </c>
      <c r="O164" s="18" t="s">
        <v>475</v>
      </c>
      <c r="P164" s="19" t="s">
        <v>393</v>
      </c>
      <c r="Q164" s="20" t="s">
        <v>102</v>
      </c>
      <c r="R164" s="21" t="s">
        <v>6</v>
      </c>
      <c r="S164" s="22">
        <f t="shared" si="24"/>
        <v>246</v>
      </c>
      <c r="T164" s="22"/>
      <c r="U164" s="22"/>
      <c r="V164" s="22"/>
      <c r="W164" s="23"/>
      <c r="X164" s="23">
        <v>6</v>
      </c>
      <c r="Y164" s="23">
        <v>12</v>
      </c>
      <c r="Z164" s="23">
        <v>18</v>
      </c>
      <c r="AA164" s="23">
        <v>36</v>
      </c>
      <c r="AB164" s="23">
        <v>30</v>
      </c>
      <c r="AC164" s="23">
        <v>48</v>
      </c>
      <c r="AD164" s="23">
        <v>36</v>
      </c>
      <c r="AE164" s="23">
        <v>24</v>
      </c>
      <c r="AF164" s="23">
        <v>24</v>
      </c>
      <c r="AG164" s="23">
        <v>12</v>
      </c>
      <c r="AH164" s="23"/>
      <c r="AI164" s="23"/>
      <c r="AJ164" s="23"/>
      <c r="AK164" s="23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</row>
    <row r="165" spans="1:52" s="25" customFormat="1" ht="15" customHeight="1" outlineLevel="2" x14ac:dyDescent="0.45">
      <c r="A165" s="12">
        <v>4509530295</v>
      </c>
      <c r="B165" s="13">
        <v>40</v>
      </c>
      <c r="C165" s="13" t="s">
        <v>520</v>
      </c>
      <c r="D165" s="14"/>
      <c r="E165" s="14"/>
      <c r="F165" s="15" t="s">
        <v>366</v>
      </c>
      <c r="G165" s="15">
        <v>1042</v>
      </c>
      <c r="H165" s="15" t="s">
        <v>151</v>
      </c>
      <c r="I165" s="15" t="s">
        <v>152</v>
      </c>
      <c r="J165" s="14"/>
      <c r="K165" s="14">
        <v>45213</v>
      </c>
      <c r="L165" s="16" t="s">
        <v>521</v>
      </c>
      <c r="M165" s="14">
        <v>45091</v>
      </c>
      <c r="N165" s="17" t="str">
        <f t="shared" si="54"/>
        <v>T3M20</v>
      </c>
      <c r="O165" s="18" t="s">
        <v>475</v>
      </c>
      <c r="P165" s="19" t="s">
        <v>393</v>
      </c>
      <c r="Q165" s="20" t="s">
        <v>102</v>
      </c>
      <c r="R165" s="21" t="s">
        <v>6</v>
      </c>
      <c r="S165" s="22">
        <f t="shared" si="24"/>
        <v>288</v>
      </c>
      <c r="T165" s="22"/>
      <c r="U165" s="22"/>
      <c r="V165" s="22"/>
      <c r="W165" s="23"/>
      <c r="X165" s="23">
        <v>6</v>
      </c>
      <c r="Y165" s="23">
        <v>12</v>
      </c>
      <c r="Z165" s="23">
        <v>18</v>
      </c>
      <c r="AA165" s="23">
        <v>36</v>
      </c>
      <c r="AB165" s="23">
        <v>42</v>
      </c>
      <c r="AC165" s="23">
        <v>48</v>
      </c>
      <c r="AD165" s="23">
        <v>42</v>
      </c>
      <c r="AE165" s="23">
        <v>36</v>
      </c>
      <c r="AF165" s="23">
        <v>18</v>
      </c>
      <c r="AG165" s="23">
        <v>18</v>
      </c>
      <c r="AH165" s="23">
        <v>6</v>
      </c>
      <c r="AI165" s="23">
        <v>6</v>
      </c>
      <c r="AJ165" s="23"/>
      <c r="AK165" s="23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</row>
    <row r="166" spans="1:52" s="25" customFormat="1" ht="15" customHeight="1" outlineLevel="2" x14ac:dyDescent="0.45">
      <c r="A166" s="12">
        <v>4509530116</v>
      </c>
      <c r="B166" s="13">
        <v>10</v>
      </c>
      <c r="C166" s="13" t="s">
        <v>522</v>
      </c>
      <c r="D166" s="14"/>
      <c r="E166" s="14"/>
      <c r="F166" s="15" t="s">
        <v>366</v>
      </c>
      <c r="G166" s="15">
        <v>4991992</v>
      </c>
      <c r="H166" s="15" t="s">
        <v>348</v>
      </c>
      <c r="I166" s="15" t="s">
        <v>152</v>
      </c>
      <c r="J166" s="14"/>
      <c r="K166" s="14">
        <v>45213</v>
      </c>
      <c r="L166" s="16" t="s">
        <v>523</v>
      </c>
      <c r="M166" s="14">
        <v>45091</v>
      </c>
      <c r="N166" s="17" t="str">
        <f t="shared" si="54"/>
        <v>T3M20</v>
      </c>
      <c r="O166" s="18" t="s">
        <v>475</v>
      </c>
      <c r="P166" s="19" t="s">
        <v>393</v>
      </c>
      <c r="Q166" s="20" t="s">
        <v>102</v>
      </c>
      <c r="R166" s="21" t="s">
        <v>6</v>
      </c>
      <c r="S166" s="22">
        <f t="shared" si="24"/>
        <v>420</v>
      </c>
      <c r="T166" s="22"/>
      <c r="U166" s="22"/>
      <c r="V166" s="22"/>
      <c r="W166" s="23"/>
      <c r="X166" s="23">
        <v>18</v>
      </c>
      <c r="Y166" s="23">
        <v>30</v>
      </c>
      <c r="Z166" s="23">
        <v>66</v>
      </c>
      <c r="AA166" s="23">
        <v>72</v>
      </c>
      <c r="AB166" s="23">
        <v>60</v>
      </c>
      <c r="AC166" s="23">
        <v>72</v>
      </c>
      <c r="AD166" s="23">
        <v>48</v>
      </c>
      <c r="AE166" s="23">
        <v>30</v>
      </c>
      <c r="AF166" s="23">
        <v>18</v>
      </c>
      <c r="AG166" s="23">
        <v>6</v>
      </c>
      <c r="AH166" s="23"/>
      <c r="AI166" s="23"/>
      <c r="AJ166" s="23"/>
      <c r="AK166" s="23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</row>
    <row r="167" spans="1:52" s="25" customFormat="1" ht="15" customHeight="1" outlineLevel="2" x14ac:dyDescent="0.45">
      <c r="A167" s="12">
        <v>4509529443</v>
      </c>
      <c r="B167" s="13">
        <v>40</v>
      </c>
      <c r="C167" s="13" t="s">
        <v>654</v>
      </c>
      <c r="D167" s="14"/>
      <c r="E167" s="14"/>
      <c r="F167" s="15" t="s">
        <v>366</v>
      </c>
      <c r="G167" s="15">
        <v>1064</v>
      </c>
      <c r="H167" s="15" t="s">
        <v>5</v>
      </c>
      <c r="I167" s="15" t="s">
        <v>152</v>
      </c>
      <c r="J167" s="14"/>
      <c r="K167" s="14">
        <v>45213</v>
      </c>
      <c r="L167" s="16" t="s">
        <v>655</v>
      </c>
      <c r="M167" s="14">
        <v>45091</v>
      </c>
      <c r="N167" s="17" t="str">
        <f t="shared" si="54"/>
        <v>T3M20</v>
      </c>
      <c r="O167" s="18" t="s">
        <v>475</v>
      </c>
      <c r="P167" s="19" t="s">
        <v>393</v>
      </c>
      <c r="Q167" s="20" t="s">
        <v>656</v>
      </c>
      <c r="R167" s="21" t="s">
        <v>6</v>
      </c>
      <c r="S167" s="22">
        <f t="shared" ref="S167:S168" si="55">SUM(T167:AZ167)</f>
        <v>1014</v>
      </c>
      <c r="T167" s="22"/>
      <c r="U167" s="22"/>
      <c r="V167" s="22"/>
      <c r="W167" s="23">
        <v>4</v>
      </c>
      <c r="X167" s="23">
        <v>18</v>
      </c>
      <c r="Y167" s="23">
        <v>23</v>
      </c>
      <c r="Z167" s="23">
        <v>86</v>
      </c>
      <c r="AA167" s="23">
        <v>88</v>
      </c>
      <c r="AB167" s="23">
        <v>136</v>
      </c>
      <c r="AC167" s="23">
        <v>151</v>
      </c>
      <c r="AD167" s="23">
        <v>197</v>
      </c>
      <c r="AE167" s="23">
        <v>79</v>
      </c>
      <c r="AF167" s="23">
        <v>128</v>
      </c>
      <c r="AG167" s="23">
        <v>44</v>
      </c>
      <c r="AH167" s="23">
        <v>37</v>
      </c>
      <c r="AI167" s="23">
        <v>11</v>
      </c>
      <c r="AJ167" s="23">
        <v>10</v>
      </c>
      <c r="AK167" s="23">
        <v>2</v>
      </c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</row>
    <row r="168" spans="1:52" s="25" customFormat="1" ht="15" customHeight="1" outlineLevel="2" x14ac:dyDescent="0.45">
      <c r="A168" s="12">
        <v>4509529443</v>
      </c>
      <c r="B168" s="13">
        <v>50</v>
      </c>
      <c r="C168" s="13" t="s">
        <v>1017</v>
      </c>
      <c r="D168" s="14"/>
      <c r="E168" s="14"/>
      <c r="F168" s="15" t="s">
        <v>366</v>
      </c>
      <c r="G168" s="15">
        <v>267621</v>
      </c>
      <c r="H168" s="15" t="s">
        <v>805</v>
      </c>
      <c r="I168" s="15" t="s">
        <v>152</v>
      </c>
      <c r="J168" s="14"/>
      <c r="K168" s="14">
        <v>45213</v>
      </c>
      <c r="L168" s="16" t="s">
        <v>1018</v>
      </c>
      <c r="M168" s="14">
        <v>45091</v>
      </c>
      <c r="N168" s="17" t="str">
        <f t="shared" ref="N168" si="56">+LEFT(L168,5)</f>
        <v>T3M20</v>
      </c>
      <c r="O168" s="18" t="s">
        <v>475</v>
      </c>
      <c r="P168" s="19" t="s">
        <v>393</v>
      </c>
      <c r="Q168" s="20" t="s">
        <v>656</v>
      </c>
      <c r="R168" s="21" t="s">
        <v>6</v>
      </c>
      <c r="S168" s="22">
        <f t="shared" si="55"/>
        <v>720</v>
      </c>
      <c r="T168" s="22"/>
      <c r="U168" s="22"/>
      <c r="V168" s="22"/>
      <c r="W168" s="23"/>
      <c r="X168" s="23">
        <v>30</v>
      </c>
      <c r="Y168" s="23">
        <v>42</v>
      </c>
      <c r="Z168" s="23">
        <v>72</v>
      </c>
      <c r="AA168" s="23">
        <v>84</v>
      </c>
      <c r="AB168" s="23">
        <v>102</v>
      </c>
      <c r="AC168" s="23">
        <v>84</v>
      </c>
      <c r="AD168" s="23">
        <v>72</v>
      </c>
      <c r="AE168" s="23">
        <v>60</v>
      </c>
      <c r="AF168" s="23">
        <v>72</v>
      </c>
      <c r="AG168" s="23">
        <v>60</v>
      </c>
      <c r="AH168" s="23">
        <v>24</v>
      </c>
      <c r="AI168" s="23">
        <v>12</v>
      </c>
      <c r="AJ168" s="23">
        <v>6</v>
      </c>
      <c r="AK168" s="23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</row>
    <row r="169" spans="1:52" s="25" customFormat="1" ht="15" customHeight="1" outlineLevel="2" x14ac:dyDescent="0.45">
      <c r="A169" s="12">
        <v>4509529443</v>
      </c>
      <c r="B169" s="13">
        <v>60</v>
      </c>
      <c r="C169" s="13" t="s">
        <v>1019</v>
      </c>
      <c r="D169" s="14"/>
      <c r="E169" s="14"/>
      <c r="F169" s="15" t="s">
        <v>366</v>
      </c>
      <c r="G169" s="15">
        <v>522420</v>
      </c>
      <c r="H169" s="15" t="s">
        <v>674</v>
      </c>
      <c r="I169" s="15" t="s">
        <v>152</v>
      </c>
      <c r="J169" s="14"/>
      <c r="K169" s="14">
        <v>45213</v>
      </c>
      <c r="L169" s="16" t="s">
        <v>1020</v>
      </c>
      <c r="M169" s="14">
        <v>45091</v>
      </c>
      <c r="N169" s="17" t="str">
        <f t="shared" ref="N169" si="57">+LEFT(L169,5)</f>
        <v>T3M20</v>
      </c>
      <c r="O169" s="18" t="s">
        <v>475</v>
      </c>
      <c r="P169" s="19" t="s">
        <v>393</v>
      </c>
      <c r="Q169" s="20" t="s">
        <v>656</v>
      </c>
      <c r="R169" s="21" t="s">
        <v>6</v>
      </c>
      <c r="S169" s="22">
        <f t="shared" ref="S169" si="58">SUM(T169:AZ169)</f>
        <v>480</v>
      </c>
      <c r="T169" s="22"/>
      <c r="U169" s="22"/>
      <c r="V169" s="22"/>
      <c r="W169" s="23"/>
      <c r="X169" s="23">
        <v>18</v>
      </c>
      <c r="Y169" s="23">
        <v>30</v>
      </c>
      <c r="Z169" s="23">
        <v>48</v>
      </c>
      <c r="AA169" s="23">
        <v>60</v>
      </c>
      <c r="AB169" s="23">
        <v>66</v>
      </c>
      <c r="AC169" s="23">
        <v>60</v>
      </c>
      <c r="AD169" s="23">
        <v>48</v>
      </c>
      <c r="AE169" s="23">
        <v>36</v>
      </c>
      <c r="AF169" s="23">
        <v>48</v>
      </c>
      <c r="AG169" s="23">
        <v>36</v>
      </c>
      <c r="AH169" s="23">
        <v>12</v>
      </c>
      <c r="AI169" s="23">
        <v>12</v>
      </c>
      <c r="AJ169" s="23">
        <v>6</v>
      </c>
      <c r="AK169" s="23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</row>
    <row r="170" spans="1:52" s="25" customFormat="1" ht="15" customHeight="1" outlineLevel="2" x14ac:dyDescent="0.45">
      <c r="A170" s="12">
        <v>4509529443</v>
      </c>
      <c r="B170" s="13">
        <v>70</v>
      </c>
      <c r="C170" s="13" t="s">
        <v>1021</v>
      </c>
      <c r="D170" s="14"/>
      <c r="E170" s="14"/>
      <c r="F170" s="15" t="s">
        <v>366</v>
      </c>
      <c r="G170" s="15">
        <v>495269</v>
      </c>
      <c r="H170" s="15" t="s">
        <v>674</v>
      </c>
      <c r="I170" s="15" t="s">
        <v>152</v>
      </c>
      <c r="J170" s="14"/>
      <c r="K170" s="14">
        <v>45213</v>
      </c>
      <c r="L170" s="16" t="s">
        <v>1022</v>
      </c>
      <c r="M170" s="14">
        <v>45091</v>
      </c>
      <c r="N170" s="17" t="str">
        <f t="shared" ref="N170" si="59">+LEFT(L170,5)</f>
        <v>T3M20</v>
      </c>
      <c r="O170" s="18" t="s">
        <v>475</v>
      </c>
      <c r="P170" s="19" t="s">
        <v>393</v>
      </c>
      <c r="Q170" s="20" t="s">
        <v>656</v>
      </c>
      <c r="R170" s="21" t="s">
        <v>6</v>
      </c>
      <c r="S170" s="22">
        <f t="shared" ref="S170" si="60">SUM(T170:AZ170)</f>
        <v>240</v>
      </c>
      <c r="T170" s="22"/>
      <c r="U170" s="22"/>
      <c r="V170" s="22"/>
      <c r="W170" s="23">
        <v>6</v>
      </c>
      <c r="X170" s="23">
        <v>6</v>
      </c>
      <c r="Y170" s="23">
        <v>6</v>
      </c>
      <c r="Z170" s="23">
        <v>18</v>
      </c>
      <c r="AA170" s="23">
        <v>30</v>
      </c>
      <c r="AB170" s="23">
        <v>30</v>
      </c>
      <c r="AC170" s="23">
        <v>48</v>
      </c>
      <c r="AD170" s="23">
        <v>36</v>
      </c>
      <c r="AE170" s="23">
        <v>12</v>
      </c>
      <c r="AF170" s="23">
        <v>18</v>
      </c>
      <c r="AG170" s="23">
        <v>12</v>
      </c>
      <c r="AH170" s="23">
        <v>6</v>
      </c>
      <c r="AI170" s="23">
        <v>6</v>
      </c>
      <c r="AJ170" s="23">
        <v>6</v>
      </c>
      <c r="AK170" s="23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</row>
    <row r="171" spans="1:52" s="25" customFormat="1" ht="15" customHeight="1" outlineLevel="2" x14ac:dyDescent="0.45">
      <c r="A171" s="12">
        <v>4509529443</v>
      </c>
      <c r="B171" s="13">
        <v>80</v>
      </c>
      <c r="C171" s="13" t="s">
        <v>1023</v>
      </c>
      <c r="D171" s="14"/>
      <c r="E171" s="14"/>
      <c r="F171" s="15" t="s">
        <v>366</v>
      </c>
      <c r="G171" s="15">
        <v>517963</v>
      </c>
      <c r="H171" s="15" t="s">
        <v>409</v>
      </c>
      <c r="I171" s="15" t="s">
        <v>152</v>
      </c>
      <c r="J171" s="14"/>
      <c r="K171" s="14">
        <v>45213</v>
      </c>
      <c r="L171" s="16" t="s">
        <v>1024</v>
      </c>
      <c r="M171" s="14">
        <v>45091</v>
      </c>
      <c r="N171" s="17" t="str">
        <f t="shared" ref="N171" si="61">+LEFT(L171,5)</f>
        <v>T3M20</v>
      </c>
      <c r="O171" s="18" t="s">
        <v>475</v>
      </c>
      <c r="P171" s="19" t="s">
        <v>393</v>
      </c>
      <c r="Q171" s="20" t="s">
        <v>656</v>
      </c>
      <c r="R171" s="21" t="s">
        <v>6</v>
      </c>
      <c r="S171" s="22">
        <f t="shared" ref="S171" si="62">SUM(T171:AZ171)</f>
        <v>246</v>
      </c>
      <c r="T171" s="22"/>
      <c r="U171" s="22"/>
      <c r="V171" s="22"/>
      <c r="W171" s="23"/>
      <c r="X171" s="23">
        <v>6</v>
      </c>
      <c r="Y171" s="23">
        <v>12</v>
      </c>
      <c r="Z171" s="23">
        <v>24</v>
      </c>
      <c r="AA171" s="23">
        <v>30</v>
      </c>
      <c r="AB171" s="23">
        <v>30</v>
      </c>
      <c r="AC171" s="23">
        <v>48</v>
      </c>
      <c r="AD171" s="23">
        <v>36</v>
      </c>
      <c r="AE171" s="23">
        <v>18</v>
      </c>
      <c r="AF171" s="23">
        <v>24</v>
      </c>
      <c r="AG171" s="23">
        <v>12</v>
      </c>
      <c r="AH171" s="23"/>
      <c r="AI171" s="23">
        <v>6</v>
      </c>
      <c r="AJ171" s="23"/>
      <c r="AK171" s="23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</row>
    <row r="172" spans="1:52" s="26" customFormat="1" ht="15" customHeight="1" outlineLevel="1" x14ac:dyDescent="0.45">
      <c r="A172" s="38"/>
      <c r="B172" s="39"/>
      <c r="C172" s="39"/>
      <c r="D172" s="40"/>
      <c r="E172" s="40"/>
      <c r="F172" s="16"/>
      <c r="G172" s="16"/>
      <c r="H172" s="16"/>
      <c r="I172" s="16"/>
      <c r="J172" s="40"/>
      <c r="K172" s="40"/>
      <c r="L172" s="16"/>
      <c r="M172" s="40"/>
      <c r="N172" s="41" t="s">
        <v>524</v>
      </c>
      <c r="O172" s="42"/>
      <c r="P172" s="43"/>
      <c r="Q172" s="44"/>
      <c r="R172" s="45"/>
      <c r="S172" s="46">
        <f>SUBTOTAL(9,S162:S171)</f>
        <v>6342</v>
      </c>
      <c r="T172" s="46">
        <f t="shared" ref="T172:AZ172" si="63">SUBTOTAL(9,T162:T171)</f>
        <v>0</v>
      </c>
      <c r="U172" s="46">
        <f t="shared" si="63"/>
        <v>0</v>
      </c>
      <c r="V172" s="46">
        <f t="shared" si="63"/>
        <v>0</v>
      </c>
      <c r="W172" s="46">
        <f t="shared" si="63"/>
        <v>24</v>
      </c>
      <c r="X172" s="46">
        <f t="shared" si="63"/>
        <v>126</v>
      </c>
      <c r="Y172" s="46">
        <f t="shared" si="63"/>
        <v>186</v>
      </c>
      <c r="Z172" s="46">
        <f t="shared" si="63"/>
        <v>558</v>
      </c>
      <c r="AA172" s="46">
        <f t="shared" si="63"/>
        <v>618</v>
      </c>
      <c r="AB172" s="46">
        <f t="shared" si="63"/>
        <v>852</v>
      </c>
      <c r="AC172" s="46">
        <f t="shared" si="63"/>
        <v>972</v>
      </c>
      <c r="AD172" s="46">
        <f t="shared" si="63"/>
        <v>1152</v>
      </c>
      <c r="AE172" s="46">
        <f t="shared" si="63"/>
        <v>522</v>
      </c>
      <c r="AF172" s="46">
        <f t="shared" si="63"/>
        <v>726</v>
      </c>
      <c r="AG172" s="46">
        <f t="shared" si="63"/>
        <v>282</v>
      </c>
      <c r="AH172" s="46">
        <f t="shared" si="63"/>
        <v>198</v>
      </c>
      <c r="AI172" s="46">
        <f t="shared" si="63"/>
        <v>66</v>
      </c>
      <c r="AJ172" s="46">
        <f t="shared" si="63"/>
        <v>48</v>
      </c>
      <c r="AK172" s="46">
        <f t="shared" si="63"/>
        <v>12</v>
      </c>
      <c r="AL172" s="46">
        <f t="shared" si="63"/>
        <v>0</v>
      </c>
      <c r="AM172" s="46">
        <f t="shared" si="63"/>
        <v>0</v>
      </c>
      <c r="AN172" s="46">
        <f t="shared" si="63"/>
        <v>0</v>
      </c>
      <c r="AO172" s="46">
        <f t="shared" si="63"/>
        <v>0</v>
      </c>
      <c r="AP172" s="46">
        <f t="shared" si="63"/>
        <v>0</v>
      </c>
      <c r="AQ172" s="46">
        <f t="shared" si="63"/>
        <v>0</v>
      </c>
      <c r="AR172" s="46">
        <f t="shared" si="63"/>
        <v>0</v>
      </c>
      <c r="AS172" s="46">
        <f t="shared" si="63"/>
        <v>0</v>
      </c>
      <c r="AT172" s="46">
        <f t="shared" si="63"/>
        <v>0</v>
      </c>
      <c r="AU172" s="46">
        <f t="shared" si="63"/>
        <v>0</v>
      </c>
      <c r="AV172" s="46">
        <f t="shared" si="63"/>
        <v>0</v>
      </c>
      <c r="AW172" s="46">
        <f t="shared" si="63"/>
        <v>0</v>
      </c>
      <c r="AX172" s="46">
        <f t="shared" si="63"/>
        <v>0</v>
      </c>
      <c r="AY172" s="46">
        <f t="shared" si="63"/>
        <v>0</v>
      </c>
      <c r="AZ172" s="46">
        <f t="shared" si="63"/>
        <v>0</v>
      </c>
    </row>
    <row r="173" spans="1:52" s="25" customFormat="1" ht="15" customHeight="1" outlineLevel="2" x14ac:dyDescent="0.45">
      <c r="A173" s="12">
        <v>4509536631</v>
      </c>
      <c r="B173" s="13">
        <v>10</v>
      </c>
      <c r="C173" s="13" t="s">
        <v>576</v>
      </c>
      <c r="D173" s="14"/>
      <c r="E173" s="14"/>
      <c r="F173" s="15" t="s">
        <v>366</v>
      </c>
      <c r="G173" s="15">
        <v>48098</v>
      </c>
      <c r="H173" s="15" t="s">
        <v>118</v>
      </c>
      <c r="I173" s="15" t="s">
        <v>98</v>
      </c>
      <c r="J173" s="14"/>
      <c r="K173" s="14">
        <v>45178</v>
      </c>
      <c r="L173" s="16" t="s">
        <v>577</v>
      </c>
      <c r="M173" s="14">
        <v>45092</v>
      </c>
      <c r="N173" s="17" t="str">
        <f>+LEFT(L173,5)</f>
        <v>T3HAV</v>
      </c>
      <c r="O173" s="18" t="s">
        <v>392</v>
      </c>
      <c r="P173" s="19" t="s">
        <v>393</v>
      </c>
      <c r="Q173" s="20" t="s">
        <v>102</v>
      </c>
      <c r="R173" s="21" t="s">
        <v>6</v>
      </c>
      <c r="S173" s="22">
        <f>SUM(T173:AZ173)</f>
        <v>1152</v>
      </c>
      <c r="T173" s="22"/>
      <c r="U173" s="22"/>
      <c r="V173" s="22"/>
      <c r="W173" s="23"/>
      <c r="X173" s="23"/>
      <c r="Y173" s="23"/>
      <c r="Z173" s="23">
        <v>96</v>
      </c>
      <c r="AA173" s="23">
        <v>96</v>
      </c>
      <c r="AB173" s="23">
        <v>192</v>
      </c>
      <c r="AC173" s="23">
        <v>192</v>
      </c>
      <c r="AD173" s="23">
        <v>192</v>
      </c>
      <c r="AE173" s="23">
        <v>192</v>
      </c>
      <c r="AF173" s="23">
        <v>96</v>
      </c>
      <c r="AG173" s="23">
        <v>96</v>
      </c>
      <c r="AH173" s="23"/>
      <c r="AI173" s="23"/>
      <c r="AJ173" s="23"/>
      <c r="AK173" s="23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</row>
    <row r="174" spans="1:52" s="26" customFormat="1" ht="15" customHeight="1" outlineLevel="1" x14ac:dyDescent="0.45">
      <c r="A174" s="38"/>
      <c r="B174" s="39"/>
      <c r="C174" s="39"/>
      <c r="D174" s="40"/>
      <c r="E174" s="40"/>
      <c r="F174" s="16"/>
      <c r="G174" s="16"/>
      <c r="H174" s="16"/>
      <c r="I174" s="16"/>
      <c r="J174" s="40"/>
      <c r="K174" s="40"/>
      <c r="L174" s="16"/>
      <c r="M174" s="40"/>
      <c r="N174" s="126" t="s">
        <v>578</v>
      </c>
      <c r="O174" s="42"/>
      <c r="P174" s="43"/>
      <c r="Q174" s="44"/>
      <c r="R174" s="45"/>
      <c r="S174" s="46">
        <f t="shared" ref="S174:AZ174" si="64">SUBTOTAL(9,S173:S173)</f>
        <v>1152</v>
      </c>
      <c r="T174" s="46">
        <f t="shared" si="64"/>
        <v>0</v>
      </c>
      <c r="U174" s="46">
        <f t="shared" si="64"/>
        <v>0</v>
      </c>
      <c r="V174" s="46">
        <f t="shared" si="64"/>
        <v>0</v>
      </c>
      <c r="W174" s="85">
        <f t="shared" si="64"/>
        <v>0</v>
      </c>
      <c r="X174" s="85">
        <f t="shared" si="64"/>
        <v>0</v>
      </c>
      <c r="Y174" s="85">
        <f t="shared" si="64"/>
        <v>0</v>
      </c>
      <c r="Z174" s="85">
        <f t="shared" si="64"/>
        <v>96</v>
      </c>
      <c r="AA174" s="85">
        <f t="shared" si="64"/>
        <v>96</v>
      </c>
      <c r="AB174" s="85">
        <f t="shared" si="64"/>
        <v>192</v>
      </c>
      <c r="AC174" s="85">
        <f t="shared" si="64"/>
        <v>192</v>
      </c>
      <c r="AD174" s="85">
        <f t="shared" si="64"/>
        <v>192</v>
      </c>
      <c r="AE174" s="85">
        <f t="shared" si="64"/>
        <v>192</v>
      </c>
      <c r="AF174" s="85">
        <f t="shared" si="64"/>
        <v>96</v>
      </c>
      <c r="AG174" s="85">
        <f t="shared" si="64"/>
        <v>96</v>
      </c>
      <c r="AH174" s="85">
        <f t="shared" si="64"/>
        <v>0</v>
      </c>
      <c r="AI174" s="85">
        <f t="shared" si="64"/>
        <v>0</v>
      </c>
      <c r="AJ174" s="85">
        <f t="shared" si="64"/>
        <v>0</v>
      </c>
      <c r="AK174" s="85">
        <f t="shared" si="64"/>
        <v>0</v>
      </c>
      <c r="AL174" s="86">
        <f t="shared" si="64"/>
        <v>0</v>
      </c>
      <c r="AM174" s="86">
        <f t="shared" si="64"/>
        <v>0</v>
      </c>
      <c r="AN174" s="86">
        <f t="shared" si="64"/>
        <v>0</v>
      </c>
      <c r="AO174" s="86">
        <f t="shared" si="64"/>
        <v>0</v>
      </c>
      <c r="AP174" s="86">
        <f t="shared" si="64"/>
        <v>0</v>
      </c>
      <c r="AQ174" s="86">
        <f t="shared" si="64"/>
        <v>0</v>
      </c>
      <c r="AR174" s="86">
        <f t="shared" si="64"/>
        <v>0</v>
      </c>
      <c r="AS174" s="86">
        <f t="shared" si="64"/>
        <v>0</v>
      </c>
      <c r="AT174" s="86">
        <f t="shared" si="64"/>
        <v>0</v>
      </c>
      <c r="AU174" s="86">
        <f t="shared" si="64"/>
        <v>0</v>
      </c>
      <c r="AV174" s="86">
        <f t="shared" si="64"/>
        <v>0</v>
      </c>
      <c r="AW174" s="86">
        <f t="shared" si="64"/>
        <v>0</v>
      </c>
      <c r="AX174" s="86">
        <f t="shared" si="64"/>
        <v>0</v>
      </c>
      <c r="AY174" s="86">
        <f t="shared" si="64"/>
        <v>0</v>
      </c>
      <c r="AZ174" s="86">
        <f t="shared" si="64"/>
        <v>0</v>
      </c>
    </row>
    <row r="175" spans="1:52" s="25" customFormat="1" ht="15" customHeight="1" outlineLevel="2" x14ac:dyDescent="0.45">
      <c r="A175" s="12">
        <v>4509536631</v>
      </c>
      <c r="B175" s="13">
        <v>20</v>
      </c>
      <c r="C175" s="13" t="s">
        <v>579</v>
      </c>
      <c r="D175" s="14"/>
      <c r="E175" s="14"/>
      <c r="F175" s="15" t="s">
        <v>366</v>
      </c>
      <c r="G175" s="15">
        <v>526029</v>
      </c>
      <c r="H175" s="15" t="s">
        <v>118</v>
      </c>
      <c r="I175" s="15" t="s">
        <v>98</v>
      </c>
      <c r="J175" s="14"/>
      <c r="K175" s="14">
        <v>45178</v>
      </c>
      <c r="L175" s="16" t="s">
        <v>580</v>
      </c>
      <c r="M175" s="14">
        <v>45092</v>
      </c>
      <c r="N175" s="17" t="str">
        <f>+LEFT(L175,5)</f>
        <v>T3HAW</v>
      </c>
      <c r="O175" s="18" t="s">
        <v>581</v>
      </c>
      <c r="P175" s="19" t="s">
        <v>393</v>
      </c>
      <c r="Q175" s="20" t="s">
        <v>102</v>
      </c>
      <c r="R175" s="21" t="s">
        <v>6</v>
      </c>
      <c r="S175" s="22">
        <f t="shared" ref="S175:S181" si="65">SUM(T175:AZ175)</f>
        <v>198</v>
      </c>
      <c r="T175" s="22"/>
      <c r="U175" s="22"/>
      <c r="V175" s="22"/>
      <c r="W175" s="23"/>
      <c r="X175" s="23"/>
      <c r="Y175" s="23">
        <v>6</v>
      </c>
      <c r="Z175" s="23">
        <v>12</v>
      </c>
      <c r="AA175" s="23">
        <v>18</v>
      </c>
      <c r="AB175" s="23">
        <v>24</v>
      </c>
      <c r="AC175" s="23">
        <v>36</v>
      </c>
      <c r="AD175" s="23">
        <v>30</v>
      </c>
      <c r="AE175" s="23">
        <v>24</v>
      </c>
      <c r="AF175" s="23">
        <v>18</v>
      </c>
      <c r="AG175" s="23">
        <v>18</v>
      </c>
      <c r="AH175" s="23"/>
      <c r="AI175" s="23">
        <v>12</v>
      </c>
      <c r="AJ175" s="23"/>
      <c r="AK175" s="23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</row>
    <row r="176" spans="1:52" s="26" customFormat="1" ht="15" customHeight="1" outlineLevel="1" x14ac:dyDescent="0.45">
      <c r="A176" s="38"/>
      <c r="B176" s="39"/>
      <c r="C176" s="39"/>
      <c r="D176" s="40"/>
      <c r="E176" s="40"/>
      <c r="F176" s="16"/>
      <c r="G176" s="16"/>
      <c r="H176" s="16"/>
      <c r="I176" s="16"/>
      <c r="J176" s="40"/>
      <c r="K176" s="40"/>
      <c r="L176" s="16"/>
      <c r="M176" s="40"/>
      <c r="N176" s="41" t="s">
        <v>582</v>
      </c>
      <c r="O176" s="42"/>
      <c r="P176" s="43"/>
      <c r="Q176" s="44"/>
      <c r="R176" s="45"/>
      <c r="S176" s="46">
        <f t="shared" ref="S176:AZ176" si="66">SUBTOTAL(9,S175:S175)</f>
        <v>198</v>
      </c>
      <c r="T176" s="46">
        <f t="shared" si="66"/>
        <v>0</v>
      </c>
      <c r="U176" s="46">
        <f t="shared" si="66"/>
        <v>0</v>
      </c>
      <c r="V176" s="46">
        <f t="shared" si="66"/>
        <v>0</v>
      </c>
      <c r="W176" s="85">
        <f t="shared" si="66"/>
        <v>0</v>
      </c>
      <c r="X176" s="85">
        <f t="shared" si="66"/>
        <v>0</v>
      </c>
      <c r="Y176" s="85">
        <f t="shared" si="66"/>
        <v>6</v>
      </c>
      <c r="Z176" s="85">
        <f t="shared" si="66"/>
        <v>12</v>
      </c>
      <c r="AA176" s="85">
        <f t="shared" si="66"/>
        <v>18</v>
      </c>
      <c r="AB176" s="85">
        <f t="shared" si="66"/>
        <v>24</v>
      </c>
      <c r="AC176" s="85">
        <f t="shared" si="66"/>
        <v>36</v>
      </c>
      <c r="AD176" s="85">
        <f t="shared" si="66"/>
        <v>30</v>
      </c>
      <c r="AE176" s="85">
        <f t="shared" si="66"/>
        <v>24</v>
      </c>
      <c r="AF176" s="85">
        <f t="shared" si="66"/>
        <v>18</v>
      </c>
      <c r="AG176" s="85">
        <f t="shared" si="66"/>
        <v>18</v>
      </c>
      <c r="AH176" s="85">
        <f t="shared" si="66"/>
        <v>0</v>
      </c>
      <c r="AI176" s="85">
        <f t="shared" si="66"/>
        <v>12</v>
      </c>
      <c r="AJ176" s="85">
        <f t="shared" si="66"/>
        <v>0</v>
      </c>
      <c r="AK176" s="85">
        <f t="shared" si="66"/>
        <v>0</v>
      </c>
      <c r="AL176" s="86">
        <f t="shared" si="66"/>
        <v>0</v>
      </c>
      <c r="AM176" s="86">
        <f t="shared" si="66"/>
        <v>0</v>
      </c>
      <c r="AN176" s="86">
        <f t="shared" si="66"/>
        <v>0</v>
      </c>
      <c r="AO176" s="86">
        <f t="shared" si="66"/>
        <v>0</v>
      </c>
      <c r="AP176" s="86">
        <f t="shared" si="66"/>
        <v>0</v>
      </c>
      <c r="AQ176" s="86">
        <f t="shared" si="66"/>
        <v>0</v>
      </c>
      <c r="AR176" s="86">
        <f t="shared" si="66"/>
        <v>0</v>
      </c>
      <c r="AS176" s="86">
        <f t="shared" si="66"/>
        <v>0</v>
      </c>
      <c r="AT176" s="86">
        <f t="shared" si="66"/>
        <v>0</v>
      </c>
      <c r="AU176" s="86">
        <f t="shared" si="66"/>
        <v>0</v>
      </c>
      <c r="AV176" s="86">
        <f t="shared" si="66"/>
        <v>0</v>
      </c>
      <c r="AW176" s="86">
        <f t="shared" si="66"/>
        <v>0</v>
      </c>
      <c r="AX176" s="86">
        <f t="shared" si="66"/>
        <v>0</v>
      </c>
      <c r="AY176" s="86">
        <f t="shared" si="66"/>
        <v>0</v>
      </c>
      <c r="AZ176" s="86">
        <f t="shared" si="66"/>
        <v>0</v>
      </c>
    </row>
    <row r="177" spans="1:52" s="25" customFormat="1" ht="15" customHeight="1" outlineLevel="2" x14ac:dyDescent="0.45">
      <c r="A177" s="12">
        <v>3503408333</v>
      </c>
      <c r="B177" s="13">
        <v>10</v>
      </c>
      <c r="C177" s="13" t="s">
        <v>583</v>
      </c>
      <c r="D177" s="14"/>
      <c r="E177" s="14"/>
      <c r="F177" s="15" t="s">
        <v>255</v>
      </c>
      <c r="G177" s="15">
        <v>1089</v>
      </c>
      <c r="H177" s="15" t="s">
        <v>239</v>
      </c>
      <c r="I177" s="15" t="s">
        <v>152</v>
      </c>
      <c r="J177" s="14"/>
      <c r="K177" s="14">
        <v>45213</v>
      </c>
      <c r="L177" s="16" t="s">
        <v>584</v>
      </c>
      <c r="M177" s="14">
        <v>45092</v>
      </c>
      <c r="N177" s="17" t="str">
        <f>+LEFT(L177,5)</f>
        <v>T3M26</v>
      </c>
      <c r="O177" s="18" t="s">
        <v>544</v>
      </c>
      <c r="P177" s="19" t="s">
        <v>258</v>
      </c>
      <c r="Q177" s="20" t="s">
        <v>102</v>
      </c>
      <c r="R177" s="21" t="s">
        <v>225</v>
      </c>
      <c r="S177" s="22">
        <f t="shared" si="65"/>
        <v>239</v>
      </c>
      <c r="T177" s="22"/>
      <c r="U177" s="22"/>
      <c r="V177" s="22"/>
      <c r="W177" s="23"/>
      <c r="X177" s="23"/>
      <c r="Y177" s="23"/>
      <c r="Z177" s="23"/>
      <c r="AA177" s="23">
        <v>16</v>
      </c>
      <c r="AB177" s="23"/>
      <c r="AC177" s="23">
        <v>27</v>
      </c>
      <c r="AD177" s="23"/>
      <c r="AE177" s="23">
        <v>77</v>
      </c>
      <c r="AF177" s="23"/>
      <c r="AG177" s="23">
        <v>56</v>
      </c>
      <c r="AH177" s="23"/>
      <c r="AI177" s="23">
        <v>45</v>
      </c>
      <c r="AJ177" s="23"/>
      <c r="AK177" s="23">
        <v>14</v>
      </c>
      <c r="AL177" s="24"/>
      <c r="AM177" s="24">
        <v>4</v>
      </c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</row>
    <row r="178" spans="1:52" s="26" customFormat="1" ht="15" customHeight="1" outlineLevel="1" x14ac:dyDescent="0.45">
      <c r="A178" s="38"/>
      <c r="B178" s="39"/>
      <c r="C178" s="39"/>
      <c r="D178" s="40"/>
      <c r="E178" s="40"/>
      <c r="F178" s="16"/>
      <c r="G178" s="16"/>
      <c r="H178" s="16"/>
      <c r="I178" s="16"/>
      <c r="J178" s="40"/>
      <c r="K178" s="40"/>
      <c r="L178" s="16"/>
      <c r="M178" s="40"/>
      <c r="N178" s="41" t="s">
        <v>585</v>
      </c>
      <c r="O178" s="42"/>
      <c r="P178" s="43"/>
      <c r="Q178" s="44"/>
      <c r="R178" s="45"/>
      <c r="S178" s="46">
        <f t="shared" ref="S178:AZ178" si="67">SUBTOTAL(9,S177:S177)</f>
        <v>239</v>
      </c>
      <c r="T178" s="46">
        <f t="shared" si="67"/>
        <v>0</v>
      </c>
      <c r="U178" s="46">
        <f t="shared" si="67"/>
        <v>0</v>
      </c>
      <c r="V178" s="46">
        <f t="shared" si="67"/>
        <v>0</v>
      </c>
      <c r="W178" s="85">
        <f t="shared" si="67"/>
        <v>0</v>
      </c>
      <c r="X178" s="85">
        <f t="shared" si="67"/>
        <v>0</v>
      </c>
      <c r="Y178" s="85">
        <f t="shared" si="67"/>
        <v>0</v>
      </c>
      <c r="Z178" s="85">
        <f t="shared" si="67"/>
        <v>0</v>
      </c>
      <c r="AA178" s="85">
        <f t="shared" si="67"/>
        <v>16</v>
      </c>
      <c r="AB178" s="85">
        <f t="shared" si="67"/>
        <v>0</v>
      </c>
      <c r="AC178" s="85">
        <f t="shared" si="67"/>
        <v>27</v>
      </c>
      <c r="AD178" s="85">
        <f t="shared" si="67"/>
        <v>0</v>
      </c>
      <c r="AE178" s="85">
        <f t="shared" si="67"/>
        <v>77</v>
      </c>
      <c r="AF178" s="85">
        <f t="shared" si="67"/>
        <v>0</v>
      </c>
      <c r="AG178" s="85">
        <f t="shared" si="67"/>
        <v>56</v>
      </c>
      <c r="AH178" s="85">
        <f t="shared" si="67"/>
        <v>0</v>
      </c>
      <c r="AI178" s="85">
        <f t="shared" si="67"/>
        <v>45</v>
      </c>
      <c r="AJ178" s="85">
        <f t="shared" si="67"/>
        <v>0</v>
      </c>
      <c r="AK178" s="85">
        <f t="shared" si="67"/>
        <v>14</v>
      </c>
      <c r="AL178" s="86">
        <f t="shared" si="67"/>
        <v>0</v>
      </c>
      <c r="AM178" s="86">
        <f t="shared" si="67"/>
        <v>4</v>
      </c>
      <c r="AN178" s="86">
        <f t="shared" si="67"/>
        <v>0</v>
      </c>
      <c r="AO178" s="86">
        <f t="shared" si="67"/>
        <v>0</v>
      </c>
      <c r="AP178" s="86">
        <f t="shared" si="67"/>
        <v>0</v>
      </c>
      <c r="AQ178" s="86">
        <f t="shared" si="67"/>
        <v>0</v>
      </c>
      <c r="AR178" s="86">
        <f t="shared" si="67"/>
        <v>0</v>
      </c>
      <c r="AS178" s="86">
        <f t="shared" si="67"/>
        <v>0</v>
      </c>
      <c r="AT178" s="86">
        <f t="shared" si="67"/>
        <v>0</v>
      </c>
      <c r="AU178" s="86">
        <f t="shared" si="67"/>
        <v>0</v>
      </c>
      <c r="AV178" s="86">
        <f t="shared" si="67"/>
        <v>0</v>
      </c>
      <c r="AW178" s="86">
        <f t="shared" si="67"/>
        <v>0</v>
      </c>
      <c r="AX178" s="86">
        <f t="shared" si="67"/>
        <v>0</v>
      </c>
      <c r="AY178" s="86">
        <f t="shared" si="67"/>
        <v>0</v>
      </c>
      <c r="AZ178" s="86">
        <f t="shared" si="67"/>
        <v>0</v>
      </c>
    </row>
    <row r="179" spans="1:52" s="25" customFormat="1" ht="15" customHeight="1" outlineLevel="2" x14ac:dyDescent="0.45">
      <c r="A179" s="12">
        <v>3503408333</v>
      </c>
      <c r="B179" s="13">
        <v>20</v>
      </c>
      <c r="C179" s="13" t="s">
        <v>586</v>
      </c>
      <c r="D179" s="14"/>
      <c r="E179" s="14"/>
      <c r="F179" s="15" t="s">
        <v>255</v>
      </c>
      <c r="G179" s="15">
        <v>1089</v>
      </c>
      <c r="H179" s="15" t="s">
        <v>239</v>
      </c>
      <c r="I179" s="15" t="s">
        <v>152</v>
      </c>
      <c r="J179" s="14"/>
      <c r="K179" s="14">
        <v>45213</v>
      </c>
      <c r="L179" s="16" t="s">
        <v>587</v>
      </c>
      <c r="M179" s="14">
        <v>45092</v>
      </c>
      <c r="N179" s="17" t="str">
        <f>+LEFT(L179,5)</f>
        <v>T3M27</v>
      </c>
      <c r="O179" s="18" t="s">
        <v>588</v>
      </c>
      <c r="P179" s="19" t="s">
        <v>258</v>
      </c>
      <c r="Q179" s="20" t="s">
        <v>102</v>
      </c>
      <c r="R179" s="21" t="s">
        <v>225</v>
      </c>
      <c r="S179" s="22">
        <f t="shared" si="65"/>
        <v>238</v>
      </c>
      <c r="T179" s="22"/>
      <c r="U179" s="22"/>
      <c r="V179" s="22"/>
      <c r="W179" s="23"/>
      <c r="X179" s="23"/>
      <c r="Y179" s="23">
        <v>1</v>
      </c>
      <c r="Z179" s="23"/>
      <c r="AA179" s="23">
        <v>12</v>
      </c>
      <c r="AB179" s="23"/>
      <c r="AC179" s="23">
        <v>40</v>
      </c>
      <c r="AD179" s="23">
        <v>2</v>
      </c>
      <c r="AE179" s="23">
        <v>61</v>
      </c>
      <c r="AF179" s="23">
        <v>4</v>
      </c>
      <c r="AG179" s="23">
        <v>59</v>
      </c>
      <c r="AH179" s="23">
        <v>1</v>
      </c>
      <c r="AI179" s="23">
        <v>42</v>
      </c>
      <c r="AJ179" s="23"/>
      <c r="AK179" s="23">
        <v>15</v>
      </c>
      <c r="AL179" s="24"/>
      <c r="AM179" s="24">
        <v>1</v>
      </c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</row>
    <row r="180" spans="1:52" s="26" customFormat="1" ht="15" customHeight="1" outlineLevel="1" x14ac:dyDescent="0.45">
      <c r="A180" s="38"/>
      <c r="B180" s="39"/>
      <c r="C180" s="39"/>
      <c r="D180" s="40"/>
      <c r="E180" s="40"/>
      <c r="F180" s="16"/>
      <c r="G180" s="16"/>
      <c r="H180" s="16"/>
      <c r="I180" s="16"/>
      <c r="J180" s="40"/>
      <c r="K180" s="40"/>
      <c r="L180" s="16"/>
      <c r="M180" s="40"/>
      <c r="N180" s="41" t="s">
        <v>589</v>
      </c>
      <c r="O180" s="42"/>
      <c r="P180" s="43"/>
      <c r="Q180" s="44"/>
      <c r="R180" s="45"/>
      <c r="S180" s="46">
        <f t="shared" ref="S180:AZ180" si="68">SUBTOTAL(9,S179:S179)</f>
        <v>238</v>
      </c>
      <c r="T180" s="46">
        <f t="shared" si="68"/>
        <v>0</v>
      </c>
      <c r="U180" s="46">
        <f t="shared" si="68"/>
        <v>0</v>
      </c>
      <c r="V180" s="46">
        <f t="shared" si="68"/>
        <v>0</v>
      </c>
      <c r="W180" s="85">
        <f t="shared" si="68"/>
        <v>0</v>
      </c>
      <c r="X180" s="85">
        <f t="shared" si="68"/>
        <v>0</v>
      </c>
      <c r="Y180" s="85">
        <f t="shared" si="68"/>
        <v>1</v>
      </c>
      <c r="Z180" s="85">
        <f t="shared" si="68"/>
        <v>0</v>
      </c>
      <c r="AA180" s="85">
        <f t="shared" si="68"/>
        <v>12</v>
      </c>
      <c r="AB180" s="85">
        <f t="shared" si="68"/>
        <v>0</v>
      </c>
      <c r="AC180" s="85">
        <f t="shared" si="68"/>
        <v>40</v>
      </c>
      <c r="AD180" s="85">
        <f t="shared" si="68"/>
        <v>2</v>
      </c>
      <c r="AE180" s="85">
        <f t="shared" si="68"/>
        <v>61</v>
      </c>
      <c r="AF180" s="85">
        <f t="shared" si="68"/>
        <v>4</v>
      </c>
      <c r="AG180" s="85">
        <f t="shared" si="68"/>
        <v>59</v>
      </c>
      <c r="AH180" s="85">
        <f t="shared" si="68"/>
        <v>1</v>
      </c>
      <c r="AI180" s="85">
        <f t="shared" si="68"/>
        <v>42</v>
      </c>
      <c r="AJ180" s="85">
        <f t="shared" si="68"/>
        <v>0</v>
      </c>
      <c r="AK180" s="85">
        <f t="shared" si="68"/>
        <v>15</v>
      </c>
      <c r="AL180" s="86">
        <f t="shared" si="68"/>
        <v>0</v>
      </c>
      <c r="AM180" s="86">
        <f t="shared" si="68"/>
        <v>1</v>
      </c>
      <c r="AN180" s="86">
        <f t="shared" si="68"/>
        <v>0</v>
      </c>
      <c r="AO180" s="86">
        <f t="shared" si="68"/>
        <v>0</v>
      </c>
      <c r="AP180" s="86">
        <f t="shared" si="68"/>
        <v>0</v>
      </c>
      <c r="AQ180" s="86">
        <f t="shared" si="68"/>
        <v>0</v>
      </c>
      <c r="AR180" s="86">
        <f t="shared" si="68"/>
        <v>0</v>
      </c>
      <c r="AS180" s="86">
        <f t="shared" si="68"/>
        <v>0</v>
      </c>
      <c r="AT180" s="86">
        <f t="shared" si="68"/>
        <v>0</v>
      </c>
      <c r="AU180" s="86">
        <f t="shared" si="68"/>
        <v>0</v>
      </c>
      <c r="AV180" s="86">
        <f t="shared" si="68"/>
        <v>0</v>
      </c>
      <c r="AW180" s="86">
        <f t="shared" si="68"/>
        <v>0</v>
      </c>
      <c r="AX180" s="86">
        <f t="shared" si="68"/>
        <v>0</v>
      </c>
      <c r="AY180" s="86">
        <f t="shared" si="68"/>
        <v>0</v>
      </c>
      <c r="AZ180" s="86">
        <f t="shared" si="68"/>
        <v>0</v>
      </c>
    </row>
    <row r="181" spans="1:52" s="25" customFormat="1" ht="15" customHeight="1" outlineLevel="2" x14ac:dyDescent="0.45">
      <c r="A181" s="12">
        <v>3503408333</v>
      </c>
      <c r="B181" s="13">
        <v>30</v>
      </c>
      <c r="C181" s="13" t="s">
        <v>590</v>
      </c>
      <c r="D181" s="14"/>
      <c r="E181" s="14"/>
      <c r="F181" s="15" t="s">
        <v>366</v>
      </c>
      <c r="G181" s="15">
        <v>1089</v>
      </c>
      <c r="H181" s="15" t="s">
        <v>239</v>
      </c>
      <c r="I181" s="15" t="s">
        <v>152</v>
      </c>
      <c r="J181" s="14"/>
      <c r="K181" s="14">
        <v>45213</v>
      </c>
      <c r="L181" s="16" t="s">
        <v>591</v>
      </c>
      <c r="M181" s="14">
        <v>45092</v>
      </c>
      <c r="N181" s="17" t="str">
        <f>+LEFT(L181,5)</f>
        <v>T3M28</v>
      </c>
      <c r="O181" s="18" t="s">
        <v>551</v>
      </c>
      <c r="P181" s="19" t="s">
        <v>369</v>
      </c>
      <c r="Q181" s="20" t="s">
        <v>102</v>
      </c>
      <c r="R181" s="21" t="s">
        <v>225</v>
      </c>
      <c r="S181" s="22">
        <f t="shared" si="65"/>
        <v>664</v>
      </c>
      <c r="T181" s="22"/>
      <c r="U181" s="22"/>
      <c r="V181" s="22"/>
      <c r="W181" s="23"/>
      <c r="X181" s="23"/>
      <c r="Y181" s="23">
        <v>1</v>
      </c>
      <c r="Z181" s="23">
        <v>1</v>
      </c>
      <c r="AA181" s="23">
        <v>33</v>
      </c>
      <c r="AB181" s="23">
        <v>2</v>
      </c>
      <c r="AC181" s="23">
        <v>102</v>
      </c>
      <c r="AD181" s="23">
        <v>7</v>
      </c>
      <c r="AE181" s="23">
        <v>172</v>
      </c>
      <c r="AF181" s="23">
        <v>8</v>
      </c>
      <c r="AG181" s="23">
        <v>161</v>
      </c>
      <c r="AH181" s="23">
        <v>5</v>
      </c>
      <c r="AI181" s="23">
        <v>117</v>
      </c>
      <c r="AJ181" s="23">
        <v>1</v>
      </c>
      <c r="AK181" s="23">
        <v>49</v>
      </c>
      <c r="AL181" s="24">
        <v>1</v>
      </c>
      <c r="AM181" s="24">
        <v>4</v>
      </c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</row>
    <row r="182" spans="1:52" s="26" customFormat="1" ht="15" customHeight="1" outlineLevel="1" x14ac:dyDescent="0.45">
      <c r="A182" s="38"/>
      <c r="B182" s="39"/>
      <c r="C182" s="39"/>
      <c r="D182" s="40"/>
      <c r="E182" s="40"/>
      <c r="F182" s="16"/>
      <c r="G182" s="16"/>
      <c r="H182" s="16"/>
      <c r="I182" s="16"/>
      <c r="J182" s="40"/>
      <c r="K182" s="40"/>
      <c r="L182" s="16"/>
      <c r="M182" s="40"/>
      <c r="N182" s="41" t="s">
        <v>592</v>
      </c>
      <c r="O182" s="42"/>
      <c r="P182" s="43"/>
      <c r="Q182" s="44"/>
      <c r="R182" s="45"/>
      <c r="S182" s="46">
        <f t="shared" ref="S182:AZ182" si="69">SUBTOTAL(9,S181:S181)</f>
        <v>664</v>
      </c>
      <c r="T182" s="46">
        <f t="shared" si="69"/>
        <v>0</v>
      </c>
      <c r="U182" s="46">
        <f t="shared" si="69"/>
        <v>0</v>
      </c>
      <c r="V182" s="46">
        <f t="shared" si="69"/>
        <v>0</v>
      </c>
      <c r="W182" s="85">
        <f t="shared" si="69"/>
        <v>0</v>
      </c>
      <c r="X182" s="85">
        <f t="shared" si="69"/>
        <v>0</v>
      </c>
      <c r="Y182" s="85">
        <f t="shared" si="69"/>
        <v>1</v>
      </c>
      <c r="Z182" s="85">
        <f t="shared" si="69"/>
        <v>1</v>
      </c>
      <c r="AA182" s="85">
        <f t="shared" si="69"/>
        <v>33</v>
      </c>
      <c r="AB182" s="85">
        <f t="shared" si="69"/>
        <v>2</v>
      </c>
      <c r="AC182" s="85">
        <f t="shared" si="69"/>
        <v>102</v>
      </c>
      <c r="AD182" s="85">
        <f t="shared" si="69"/>
        <v>7</v>
      </c>
      <c r="AE182" s="85">
        <f t="shared" si="69"/>
        <v>172</v>
      </c>
      <c r="AF182" s="85">
        <f t="shared" si="69"/>
        <v>8</v>
      </c>
      <c r="AG182" s="85">
        <f t="shared" si="69"/>
        <v>161</v>
      </c>
      <c r="AH182" s="85">
        <f t="shared" si="69"/>
        <v>5</v>
      </c>
      <c r="AI182" s="85">
        <f t="shared" si="69"/>
        <v>117</v>
      </c>
      <c r="AJ182" s="85">
        <f t="shared" si="69"/>
        <v>1</v>
      </c>
      <c r="AK182" s="85">
        <f t="shared" si="69"/>
        <v>49</v>
      </c>
      <c r="AL182" s="86">
        <f t="shared" si="69"/>
        <v>1</v>
      </c>
      <c r="AM182" s="86">
        <f t="shared" si="69"/>
        <v>4</v>
      </c>
      <c r="AN182" s="86">
        <f t="shared" si="69"/>
        <v>0</v>
      </c>
      <c r="AO182" s="86">
        <f t="shared" si="69"/>
        <v>0</v>
      </c>
      <c r="AP182" s="86">
        <f t="shared" si="69"/>
        <v>0</v>
      </c>
      <c r="AQ182" s="86">
        <f t="shared" si="69"/>
        <v>0</v>
      </c>
      <c r="AR182" s="86">
        <f t="shared" si="69"/>
        <v>0</v>
      </c>
      <c r="AS182" s="86">
        <f t="shared" si="69"/>
        <v>0</v>
      </c>
      <c r="AT182" s="86">
        <f t="shared" si="69"/>
        <v>0</v>
      </c>
      <c r="AU182" s="86">
        <f t="shared" si="69"/>
        <v>0</v>
      </c>
      <c r="AV182" s="86">
        <f t="shared" si="69"/>
        <v>0</v>
      </c>
      <c r="AW182" s="86">
        <f t="shared" si="69"/>
        <v>0</v>
      </c>
      <c r="AX182" s="86">
        <f t="shared" si="69"/>
        <v>0</v>
      </c>
      <c r="AY182" s="86">
        <f t="shared" si="69"/>
        <v>0</v>
      </c>
      <c r="AZ182" s="86">
        <f t="shared" si="69"/>
        <v>0</v>
      </c>
    </row>
    <row r="183" spans="1:52" s="25" customFormat="1" ht="15" customHeight="1" outlineLevel="2" x14ac:dyDescent="0.45">
      <c r="A183" s="12">
        <v>4509542228</v>
      </c>
      <c r="B183" s="13">
        <v>10</v>
      </c>
      <c r="C183" s="13" t="s">
        <v>597</v>
      </c>
      <c r="D183" s="14"/>
      <c r="E183" s="14" t="s">
        <v>165</v>
      </c>
      <c r="F183" s="15" t="s">
        <v>243</v>
      </c>
      <c r="G183" s="15">
        <v>526080</v>
      </c>
      <c r="H183" s="15" t="s">
        <v>118</v>
      </c>
      <c r="I183" s="15" t="s">
        <v>152</v>
      </c>
      <c r="J183" s="14"/>
      <c r="K183" s="14">
        <v>45178</v>
      </c>
      <c r="L183" s="16" t="s">
        <v>598</v>
      </c>
      <c r="M183" s="14">
        <v>45097</v>
      </c>
      <c r="N183" s="17" t="str">
        <f>+LEFT(L183,5)</f>
        <v>T3HAY</v>
      </c>
      <c r="O183" s="18" t="s">
        <v>252</v>
      </c>
      <c r="P183" s="19" t="s">
        <v>246</v>
      </c>
      <c r="Q183" s="20" t="s">
        <v>595</v>
      </c>
      <c r="R183" s="21" t="s">
        <v>225</v>
      </c>
      <c r="S183" s="22">
        <f>SUM(T183:AZ183)</f>
        <v>1</v>
      </c>
      <c r="T183" s="22"/>
      <c r="U183" s="22"/>
      <c r="V183" s="22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>
        <v>1</v>
      </c>
      <c r="AJ183" s="23"/>
      <c r="AK183" s="23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</row>
    <row r="184" spans="1:52" s="26" customFormat="1" ht="15" customHeight="1" outlineLevel="1" x14ac:dyDescent="0.45">
      <c r="A184" s="38"/>
      <c r="B184" s="39"/>
      <c r="C184" s="39"/>
      <c r="D184" s="40"/>
      <c r="E184" s="40"/>
      <c r="F184" s="16"/>
      <c r="G184" s="16"/>
      <c r="H184" s="16"/>
      <c r="I184" s="16"/>
      <c r="J184" s="40"/>
      <c r="K184" s="40"/>
      <c r="L184" s="16"/>
      <c r="M184" s="40"/>
      <c r="N184" s="84" t="s">
        <v>599</v>
      </c>
      <c r="O184" s="42"/>
      <c r="P184" s="43"/>
      <c r="Q184" s="44"/>
      <c r="R184" s="45"/>
      <c r="S184" s="46">
        <f t="shared" ref="S184:AZ184" si="70">SUBTOTAL(9,S183:S183)</f>
        <v>1</v>
      </c>
      <c r="T184" s="46">
        <f t="shared" si="70"/>
        <v>0</v>
      </c>
      <c r="U184" s="46">
        <f t="shared" si="70"/>
        <v>0</v>
      </c>
      <c r="V184" s="46">
        <f t="shared" si="70"/>
        <v>0</v>
      </c>
      <c r="W184" s="85">
        <f t="shared" si="70"/>
        <v>0</v>
      </c>
      <c r="X184" s="85">
        <f t="shared" si="70"/>
        <v>0</v>
      </c>
      <c r="Y184" s="85">
        <f t="shared" si="70"/>
        <v>0</v>
      </c>
      <c r="Z184" s="85">
        <f t="shared" si="70"/>
        <v>0</v>
      </c>
      <c r="AA184" s="85">
        <f t="shared" si="70"/>
        <v>0</v>
      </c>
      <c r="AB184" s="85">
        <f t="shared" si="70"/>
        <v>0</v>
      </c>
      <c r="AC184" s="85">
        <f t="shared" si="70"/>
        <v>0</v>
      </c>
      <c r="AD184" s="85">
        <f t="shared" si="70"/>
        <v>0</v>
      </c>
      <c r="AE184" s="85">
        <f t="shared" si="70"/>
        <v>0</v>
      </c>
      <c r="AF184" s="85">
        <f t="shared" si="70"/>
        <v>0</v>
      </c>
      <c r="AG184" s="85">
        <f t="shared" si="70"/>
        <v>0</v>
      </c>
      <c r="AH184" s="85">
        <f t="shared" si="70"/>
        <v>0</v>
      </c>
      <c r="AI184" s="85">
        <f t="shared" si="70"/>
        <v>1</v>
      </c>
      <c r="AJ184" s="85">
        <f t="shared" si="70"/>
        <v>0</v>
      </c>
      <c r="AK184" s="85">
        <f t="shared" si="70"/>
        <v>0</v>
      </c>
      <c r="AL184" s="86">
        <f t="shared" si="70"/>
        <v>0</v>
      </c>
      <c r="AM184" s="86">
        <f t="shared" si="70"/>
        <v>0</v>
      </c>
      <c r="AN184" s="86">
        <f t="shared" si="70"/>
        <v>0</v>
      </c>
      <c r="AO184" s="86">
        <f t="shared" si="70"/>
        <v>0</v>
      </c>
      <c r="AP184" s="86">
        <f t="shared" si="70"/>
        <v>0</v>
      </c>
      <c r="AQ184" s="86">
        <f t="shared" si="70"/>
        <v>0</v>
      </c>
      <c r="AR184" s="86">
        <f t="shared" si="70"/>
        <v>0</v>
      </c>
      <c r="AS184" s="86">
        <f t="shared" si="70"/>
        <v>0</v>
      </c>
      <c r="AT184" s="86">
        <f t="shared" si="70"/>
        <v>0</v>
      </c>
      <c r="AU184" s="86">
        <f t="shared" si="70"/>
        <v>0</v>
      </c>
      <c r="AV184" s="86">
        <f t="shared" si="70"/>
        <v>0</v>
      </c>
      <c r="AW184" s="86">
        <f t="shared" si="70"/>
        <v>0</v>
      </c>
      <c r="AX184" s="86">
        <f t="shared" si="70"/>
        <v>0</v>
      </c>
      <c r="AY184" s="86">
        <f t="shared" si="70"/>
        <v>0</v>
      </c>
      <c r="AZ184" s="86">
        <f t="shared" si="70"/>
        <v>0</v>
      </c>
    </row>
    <row r="185" spans="1:52" s="25" customFormat="1" ht="15" customHeight="1" outlineLevel="2" x14ac:dyDescent="0.45">
      <c r="A185" s="12">
        <v>4509541916</v>
      </c>
      <c r="B185" s="13">
        <v>20</v>
      </c>
      <c r="C185" s="13" t="s">
        <v>600</v>
      </c>
      <c r="D185" s="14"/>
      <c r="E185" s="14"/>
      <c r="F185" s="15" t="s">
        <v>4</v>
      </c>
      <c r="G185" s="15">
        <v>526079</v>
      </c>
      <c r="H185" s="15" t="s">
        <v>118</v>
      </c>
      <c r="I185" s="15" t="s">
        <v>152</v>
      </c>
      <c r="J185" s="14"/>
      <c r="K185" s="14">
        <v>45185</v>
      </c>
      <c r="L185" s="16" t="s">
        <v>601</v>
      </c>
      <c r="M185" s="14">
        <v>45097</v>
      </c>
      <c r="N185" s="17" t="str">
        <f>+LEFT(L185,5)</f>
        <v>T3K85</v>
      </c>
      <c r="O185" s="18" t="s">
        <v>446</v>
      </c>
      <c r="P185" s="19" t="s">
        <v>3</v>
      </c>
      <c r="Q185" s="20" t="s">
        <v>595</v>
      </c>
      <c r="R185" s="21" t="s">
        <v>6</v>
      </c>
      <c r="S185" s="22">
        <f t="shared" ref="S185:S187" si="71">SUM(T185:AZ185)</f>
        <v>1</v>
      </c>
      <c r="T185" s="22"/>
      <c r="U185" s="22"/>
      <c r="V185" s="22"/>
      <c r="W185" s="23"/>
      <c r="X185" s="23"/>
      <c r="Y185" s="23"/>
      <c r="Z185" s="23"/>
      <c r="AA185" s="23"/>
      <c r="AB185" s="23"/>
      <c r="AC185" s="23"/>
      <c r="AD185" s="23"/>
      <c r="AE185" s="23">
        <v>1</v>
      </c>
      <c r="AF185" s="23"/>
      <c r="AG185" s="23"/>
      <c r="AH185" s="23"/>
      <c r="AI185" s="23"/>
      <c r="AJ185" s="23"/>
      <c r="AK185" s="23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</row>
    <row r="186" spans="1:52" s="26" customFormat="1" ht="15" customHeight="1" outlineLevel="1" x14ac:dyDescent="0.45">
      <c r="A186" s="38"/>
      <c r="B186" s="39"/>
      <c r="C186" s="39"/>
      <c r="D186" s="40"/>
      <c r="E186" s="40"/>
      <c r="F186" s="16"/>
      <c r="G186" s="16"/>
      <c r="H186" s="16"/>
      <c r="I186" s="16"/>
      <c r="J186" s="40"/>
      <c r="K186" s="40"/>
      <c r="L186" s="16"/>
      <c r="M186" s="40"/>
      <c r="N186" s="41" t="s">
        <v>602</v>
      </c>
      <c r="O186" s="42"/>
      <c r="P186" s="43"/>
      <c r="Q186" s="44"/>
      <c r="R186" s="45"/>
      <c r="S186" s="46">
        <f t="shared" ref="S186:AZ186" si="72">SUBTOTAL(9,S185:S185)</f>
        <v>1</v>
      </c>
      <c r="T186" s="46">
        <f t="shared" si="72"/>
        <v>0</v>
      </c>
      <c r="U186" s="46">
        <f t="shared" si="72"/>
        <v>0</v>
      </c>
      <c r="V186" s="46">
        <f t="shared" si="72"/>
        <v>0</v>
      </c>
      <c r="W186" s="85">
        <f t="shared" si="72"/>
        <v>0</v>
      </c>
      <c r="X186" s="85">
        <f t="shared" si="72"/>
        <v>0</v>
      </c>
      <c r="Y186" s="85">
        <f t="shared" si="72"/>
        <v>0</v>
      </c>
      <c r="Z186" s="85">
        <f t="shared" si="72"/>
        <v>0</v>
      </c>
      <c r="AA186" s="85">
        <f t="shared" si="72"/>
        <v>0</v>
      </c>
      <c r="AB186" s="85">
        <f t="shared" si="72"/>
        <v>0</v>
      </c>
      <c r="AC186" s="85">
        <f t="shared" si="72"/>
        <v>0</v>
      </c>
      <c r="AD186" s="85">
        <f t="shared" si="72"/>
        <v>0</v>
      </c>
      <c r="AE186" s="85">
        <f t="shared" si="72"/>
        <v>1</v>
      </c>
      <c r="AF186" s="85">
        <f t="shared" si="72"/>
        <v>0</v>
      </c>
      <c r="AG186" s="85">
        <f t="shared" si="72"/>
        <v>0</v>
      </c>
      <c r="AH186" s="85">
        <f t="shared" si="72"/>
        <v>0</v>
      </c>
      <c r="AI186" s="85">
        <f t="shared" si="72"/>
        <v>0</v>
      </c>
      <c r="AJ186" s="85">
        <f t="shared" si="72"/>
        <v>0</v>
      </c>
      <c r="AK186" s="85">
        <f t="shared" si="72"/>
        <v>0</v>
      </c>
      <c r="AL186" s="86">
        <f t="shared" si="72"/>
        <v>0</v>
      </c>
      <c r="AM186" s="86">
        <f t="shared" si="72"/>
        <v>0</v>
      </c>
      <c r="AN186" s="86">
        <f t="shared" si="72"/>
        <v>0</v>
      </c>
      <c r="AO186" s="86">
        <f t="shared" si="72"/>
        <v>0</v>
      </c>
      <c r="AP186" s="86">
        <f t="shared" si="72"/>
        <v>0</v>
      </c>
      <c r="AQ186" s="86">
        <f t="shared" si="72"/>
        <v>0</v>
      </c>
      <c r="AR186" s="86">
        <f t="shared" si="72"/>
        <v>0</v>
      </c>
      <c r="AS186" s="86">
        <f t="shared" si="72"/>
        <v>0</v>
      </c>
      <c r="AT186" s="86">
        <f t="shared" si="72"/>
        <v>0</v>
      </c>
      <c r="AU186" s="86">
        <f t="shared" si="72"/>
        <v>0</v>
      </c>
      <c r="AV186" s="86">
        <f t="shared" si="72"/>
        <v>0</v>
      </c>
      <c r="AW186" s="86">
        <f t="shared" si="72"/>
        <v>0</v>
      </c>
      <c r="AX186" s="86">
        <f t="shared" si="72"/>
        <v>0</v>
      </c>
      <c r="AY186" s="86">
        <f t="shared" si="72"/>
        <v>0</v>
      </c>
      <c r="AZ186" s="86">
        <f t="shared" si="72"/>
        <v>0</v>
      </c>
    </row>
    <row r="187" spans="1:52" s="25" customFormat="1" ht="15" customHeight="1" outlineLevel="2" x14ac:dyDescent="0.45">
      <c r="A187" s="12">
        <v>4509541916</v>
      </c>
      <c r="B187" s="13">
        <v>30</v>
      </c>
      <c r="C187" s="13" t="s">
        <v>603</v>
      </c>
      <c r="D187" s="14"/>
      <c r="E187" s="14"/>
      <c r="F187" s="15" t="s">
        <v>366</v>
      </c>
      <c r="G187" s="15">
        <v>526079</v>
      </c>
      <c r="H187" s="15" t="s">
        <v>118</v>
      </c>
      <c r="I187" s="15" t="s">
        <v>152</v>
      </c>
      <c r="J187" s="14"/>
      <c r="K187" s="14">
        <v>45192</v>
      </c>
      <c r="L187" s="16" t="s">
        <v>604</v>
      </c>
      <c r="M187" s="14">
        <v>45097</v>
      </c>
      <c r="N187" s="17" t="str">
        <f>+LEFT(L187,5)</f>
        <v>T3K86</v>
      </c>
      <c r="O187" s="18" t="s">
        <v>485</v>
      </c>
      <c r="P187" s="19" t="s">
        <v>393</v>
      </c>
      <c r="Q187" s="20" t="s">
        <v>595</v>
      </c>
      <c r="R187" s="21" t="s">
        <v>6</v>
      </c>
      <c r="S187" s="22">
        <f t="shared" si="71"/>
        <v>1</v>
      </c>
      <c r="T187" s="22"/>
      <c r="U187" s="22"/>
      <c r="V187" s="22"/>
      <c r="W187" s="23"/>
      <c r="X187" s="23"/>
      <c r="Y187" s="23"/>
      <c r="Z187" s="23"/>
      <c r="AA187" s="23"/>
      <c r="AB187" s="23"/>
      <c r="AC187" s="23"/>
      <c r="AD187" s="23"/>
      <c r="AE187" s="23">
        <v>1</v>
      </c>
      <c r="AF187" s="23"/>
      <c r="AG187" s="23"/>
      <c r="AH187" s="23"/>
      <c r="AI187" s="23"/>
      <c r="AJ187" s="23"/>
      <c r="AK187" s="23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</row>
    <row r="188" spans="1:52" s="26" customFormat="1" ht="15" customHeight="1" outlineLevel="1" x14ac:dyDescent="0.45">
      <c r="A188" s="38"/>
      <c r="B188" s="39"/>
      <c r="C188" s="39"/>
      <c r="D188" s="40"/>
      <c r="E188" s="40"/>
      <c r="F188" s="16"/>
      <c r="G188" s="16"/>
      <c r="H188" s="16"/>
      <c r="I188" s="16"/>
      <c r="J188" s="40"/>
      <c r="K188" s="40"/>
      <c r="L188" s="16"/>
      <c r="M188" s="40"/>
      <c r="N188" s="41" t="s">
        <v>605</v>
      </c>
      <c r="O188" s="42"/>
      <c r="P188" s="43"/>
      <c r="Q188" s="44"/>
      <c r="R188" s="45"/>
      <c r="S188" s="46">
        <f t="shared" ref="S188:AZ188" si="73">SUBTOTAL(9,S187:S187)</f>
        <v>1</v>
      </c>
      <c r="T188" s="46">
        <f t="shared" si="73"/>
        <v>0</v>
      </c>
      <c r="U188" s="46">
        <f t="shared" si="73"/>
        <v>0</v>
      </c>
      <c r="V188" s="46">
        <f t="shared" si="73"/>
        <v>0</v>
      </c>
      <c r="W188" s="85">
        <f t="shared" si="73"/>
        <v>0</v>
      </c>
      <c r="X188" s="85">
        <f t="shared" si="73"/>
        <v>0</v>
      </c>
      <c r="Y188" s="85">
        <f t="shared" si="73"/>
        <v>0</v>
      </c>
      <c r="Z188" s="85">
        <f t="shared" si="73"/>
        <v>0</v>
      </c>
      <c r="AA188" s="85">
        <f t="shared" si="73"/>
        <v>0</v>
      </c>
      <c r="AB188" s="85">
        <f t="shared" si="73"/>
        <v>0</v>
      </c>
      <c r="AC188" s="85">
        <f t="shared" si="73"/>
        <v>0</v>
      </c>
      <c r="AD188" s="85">
        <f t="shared" si="73"/>
        <v>0</v>
      </c>
      <c r="AE188" s="85">
        <f t="shared" si="73"/>
        <v>1</v>
      </c>
      <c r="AF188" s="85">
        <f t="shared" si="73"/>
        <v>0</v>
      </c>
      <c r="AG188" s="85">
        <f t="shared" si="73"/>
        <v>0</v>
      </c>
      <c r="AH188" s="85">
        <f t="shared" si="73"/>
        <v>0</v>
      </c>
      <c r="AI188" s="85">
        <f t="shared" si="73"/>
        <v>0</v>
      </c>
      <c r="AJ188" s="85">
        <f t="shared" si="73"/>
        <v>0</v>
      </c>
      <c r="AK188" s="85">
        <f t="shared" si="73"/>
        <v>0</v>
      </c>
      <c r="AL188" s="86">
        <f t="shared" si="73"/>
        <v>0</v>
      </c>
      <c r="AM188" s="86">
        <f t="shared" si="73"/>
        <v>0</v>
      </c>
      <c r="AN188" s="86">
        <f t="shared" si="73"/>
        <v>0</v>
      </c>
      <c r="AO188" s="86">
        <f t="shared" si="73"/>
        <v>0</v>
      </c>
      <c r="AP188" s="86">
        <f t="shared" si="73"/>
        <v>0</v>
      </c>
      <c r="AQ188" s="86">
        <f t="shared" si="73"/>
        <v>0</v>
      </c>
      <c r="AR188" s="86">
        <f t="shared" si="73"/>
        <v>0</v>
      </c>
      <c r="AS188" s="86">
        <f t="shared" si="73"/>
        <v>0</v>
      </c>
      <c r="AT188" s="86">
        <f t="shared" si="73"/>
        <v>0</v>
      </c>
      <c r="AU188" s="86">
        <f t="shared" si="73"/>
        <v>0</v>
      </c>
      <c r="AV188" s="86">
        <f t="shared" si="73"/>
        <v>0</v>
      </c>
      <c r="AW188" s="86">
        <f t="shared" si="73"/>
        <v>0</v>
      </c>
      <c r="AX188" s="86">
        <f t="shared" si="73"/>
        <v>0</v>
      </c>
      <c r="AY188" s="86">
        <f t="shared" si="73"/>
        <v>0</v>
      </c>
      <c r="AZ188" s="86">
        <f t="shared" si="73"/>
        <v>0</v>
      </c>
    </row>
    <row r="189" spans="1:52" s="25" customFormat="1" ht="15" customHeight="1" outlineLevel="2" x14ac:dyDescent="0.45">
      <c r="A189" s="12">
        <v>4509580793</v>
      </c>
      <c r="B189" s="13">
        <v>10</v>
      </c>
      <c r="C189" s="13" t="s">
        <v>716</v>
      </c>
      <c r="D189" s="14"/>
      <c r="E189" s="14"/>
      <c r="F189" s="15" t="s">
        <v>4</v>
      </c>
      <c r="G189" s="15">
        <v>1014</v>
      </c>
      <c r="H189" s="15" t="s">
        <v>118</v>
      </c>
      <c r="I189" s="15" t="s">
        <v>98</v>
      </c>
      <c r="J189" s="14"/>
      <c r="K189" s="14">
        <v>45185</v>
      </c>
      <c r="L189" s="16" t="s">
        <v>717</v>
      </c>
      <c r="M189" s="14">
        <v>45092</v>
      </c>
      <c r="N189" s="17" t="str">
        <f>+LEFT(L189,5)</f>
        <v>T3KAB</v>
      </c>
      <c r="O189" s="18" t="s">
        <v>353</v>
      </c>
      <c r="P189" s="19" t="s">
        <v>3</v>
      </c>
      <c r="Q189" s="20" t="s">
        <v>595</v>
      </c>
      <c r="R189" s="21" t="s">
        <v>6</v>
      </c>
      <c r="S189" s="22">
        <f>SUM(T189:AZ189)</f>
        <v>5406</v>
      </c>
      <c r="T189" s="22"/>
      <c r="U189" s="22"/>
      <c r="V189" s="22"/>
      <c r="W189" s="23"/>
      <c r="X189" s="23"/>
      <c r="Y189" s="23">
        <v>378</v>
      </c>
      <c r="Z189" s="23">
        <v>475</v>
      </c>
      <c r="AA189" s="23">
        <v>716</v>
      </c>
      <c r="AB189" s="23">
        <v>804</v>
      </c>
      <c r="AC189" s="23">
        <v>874</v>
      </c>
      <c r="AD189" s="23">
        <v>773</v>
      </c>
      <c r="AE189" s="23">
        <v>621</v>
      </c>
      <c r="AF189" s="23">
        <v>327</v>
      </c>
      <c r="AG189" s="23">
        <v>289</v>
      </c>
      <c r="AH189" s="23">
        <v>3</v>
      </c>
      <c r="AI189" s="23">
        <v>145</v>
      </c>
      <c r="AJ189" s="23">
        <v>1</v>
      </c>
      <c r="AK189" s="23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</row>
    <row r="190" spans="1:52" s="26" customFormat="1" ht="15" customHeight="1" outlineLevel="1" x14ac:dyDescent="0.45">
      <c r="A190" s="38"/>
      <c r="B190" s="39"/>
      <c r="C190" s="39"/>
      <c r="D190" s="40"/>
      <c r="E190" s="40"/>
      <c r="F190" s="16"/>
      <c r="G190" s="16"/>
      <c r="H190" s="16"/>
      <c r="I190" s="16"/>
      <c r="J190" s="40"/>
      <c r="K190" s="40"/>
      <c r="L190" s="16"/>
      <c r="M190" s="40"/>
      <c r="N190" s="126" t="s">
        <v>718</v>
      </c>
      <c r="O190" s="42"/>
      <c r="P190" s="43"/>
      <c r="Q190" s="44"/>
      <c r="R190" s="45"/>
      <c r="S190" s="46">
        <f t="shared" ref="S190:AZ190" si="74">SUBTOTAL(9,S189:S189)</f>
        <v>5406</v>
      </c>
      <c r="T190" s="46">
        <f t="shared" si="74"/>
        <v>0</v>
      </c>
      <c r="U190" s="46">
        <f t="shared" si="74"/>
        <v>0</v>
      </c>
      <c r="V190" s="46">
        <f t="shared" si="74"/>
        <v>0</v>
      </c>
      <c r="W190" s="85">
        <f t="shared" si="74"/>
        <v>0</v>
      </c>
      <c r="X190" s="85">
        <f t="shared" si="74"/>
        <v>0</v>
      </c>
      <c r="Y190" s="85">
        <f t="shared" si="74"/>
        <v>378</v>
      </c>
      <c r="Z190" s="85">
        <f t="shared" si="74"/>
        <v>475</v>
      </c>
      <c r="AA190" s="85">
        <f t="shared" si="74"/>
        <v>716</v>
      </c>
      <c r="AB190" s="85">
        <f t="shared" si="74"/>
        <v>804</v>
      </c>
      <c r="AC190" s="85">
        <f t="shared" si="74"/>
        <v>874</v>
      </c>
      <c r="AD190" s="85">
        <f t="shared" si="74"/>
        <v>773</v>
      </c>
      <c r="AE190" s="85">
        <f t="shared" si="74"/>
        <v>621</v>
      </c>
      <c r="AF190" s="85">
        <f t="shared" si="74"/>
        <v>327</v>
      </c>
      <c r="AG190" s="85">
        <f t="shared" si="74"/>
        <v>289</v>
      </c>
      <c r="AH190" s="85">
        <f t="shared" si="74"/>
        <v>3</v>
      </c>
      <c r="AI190" s="85">
        <f t="shared" si="74"/>
        <v>145</v>
      </c>
      <c r="AJ190" s="85">
        <f t="shared" si="74"/>
        <v>1</v>
      </c>
      <c r="AK190" s="85">
        <f t="shared" si="74"/>
        <v>0</v>
      </c>
      <c r="AL190" s="86">
        <f t="shared" si="74"/>
        <v>0</v>
      </c>
      <c r="AM190" s="86">
        <f t="shared" si="74"/>
        <v>0</v>
      </c>
      <c r="AN190" s="86">
        <f t="shared" si="74"/>
        <v>0</v>
      </c>
      <c r="AO190" s="86">
        <f t="shared" si="74"/>
        <v>0</v>
      </c>
      <c r="AP190" s="86">
        <f t="shared" si="74"/>
        <v>0</v>
      </c>
      <c r="AQ190" s="86">
        <f t="shared" si="74"/>
        <v>0</v>
      </c>
      <c r="AR190" s="86">
        <f t="shared" si="74"/>
        <v>0</v>
      </c>
      <c r="AS190" s="86">
        <f t="shared" si="74"/>
        <v>0</v>
      </c>
      <c r="AT190" s="86">
        <f t="shared" si="74"/>
        <v>0</v>
      </c>
      <c r="AU190" s="86">
        <f t="shared" si="74"/>
        <v>0</v>
      </c>
      <c r="AV190" s="86">
        <f t="shared" si="74"/>
        <v>0</v>
      </c>
      <c r="AW190" s="86">
        <f t="shared" si="74"/>
        <v>0</v>
      </c>
      <c r="AX190" s="86">
        <f t="shared" si="74"/>
        <v>0</v>
      </c>
      <c r="AY190" s="86">
        <f t="shared" si="74"/>
        <v>0</v>
      </c>
      <c r="AZ190" s="86">
        <f t="shared" si="74"/>
        <v>0</v>
      </c>
    </row>
    <row r="191" spans="1:52" s="25" customFormat="1" ht="15" customHeight="1" outlineLevel="2" x14ac:dyDescent="0.45">
      <c r="A191" s="12">
        <v>4509554316</v>
      </c>
      <c r="B191" s="13">
        <v>10</v>
      </c>
      <c r="C191" s="13" t="s">
        <v>719</v>
      </c>
      <c r="D191" s="14"/>
      <c r="E191" s="14"/>
      <c r="F191" s="15" t="s">
        <v>220</v>
      </c>
      <c r="G191" s="15">
        <v>4992062</v>
      </c>
      <c r="H191" s="15" t="s">
        <v>144</v>
      </c>
      <c r="I191" s="15" t="s">
        <v>98</v>
      </c>
      <c r="J191" s="14"/>
      <c r="K191" s="14">
        <v>45199</v>
      </c>
      <c r="L191" s="16" t="s">
        <v>720</v>
      </c>
      <c r="M191" s="14">
        <v>45105</v>
      </c>
      <c r="N191" s="17" t="str">
        <f>+LEFT(L191,5)</f>
        <v>T3KA9</v>
      </c>
      <c r="O191" s="18" t="s">
        <v>223</v>
      </c>
      <c r="P191" s="19" t="s">
        <v>224</v>
      </c>
      <c r="Q191" s="20" t="s">
        <v>677</v>
      </c>
      <c r="R191" s="21" t="s">
        <v>225</v>
      </c>
      <c r="S191" s="22">
        <f t="shared" ref="S191:S197" si="75">SUM(T191:AZ191)</f>
        <v>3096</v>
      </c>
      <c r="T191" s="22"/>
      <c r="U191" s="22"/>
      <c r="V191" s="22"/>
      <c r="W191" s="23"/>
      <c r="X191" s="23"/>
      <c r="Y191" s="23"/>
      <c r="Z191" s="23"/>
      <c r="AA191" s="23">
        <v>240</v>
      </c>
      <c r="AB191" s="23">
        <v>312</v>
      </c>
      <c r="AC191" s="23">
        <v>534</v>
      </c>
      <c r="AD191" s="23">
        <v>666</v>
      </c>
      <c r="AE191" s="23">
        <v>498</v>
      </c>
      <c r="AF191" s="23">
        <v>468</v>
      </c>
      <c r="AG191" s="23">
        <v>270</v>
      </c>
      <c r="AH191" s="23">
        <v>36</v>
      </c>
      <c r="AI191" s="23">
        <v>36</v>
      </c>
      <c r="AJ191" s="23">
        <v>12</v>
      </c>
      <c r="AK191" s="23">
        <v>24</v>
      </c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</row>
    <row r="192" spans="1:52" s="26" customFormat="1" ht="15" customHeight="1" outlineLevel="1" x14ac:dyDescent="0.45">
      <c r="A192" s="38"/>
      <c r="B192" s="39"/>
      <c r="C192" s="39"/>
      <c r="D192" s="40"/>
      <c r="E192" s="40"/>
      <c r="F192" s="16"/>
      <c r="G192" s="16"/>
      <c r="H192" s="16"/>
      <c r="I192" s="16"/>
      <c r="J192" s="40"/>
      <c r="K192" s="40"/>
      <c r="L192" s="16"/>
      <c r="M192" s="40"/>
      <c r="N192" s="41" t="s">
        <v>721</v>
      </c>
      <c r="O192" s="42"/>
      <c r="P192" s="43"/>
      <c r="Q192" s="44"/>
      <c r="R192" s="45"/>
      <c r="S192" s="46">
        <f t="shared" ref="S192:AZ192" si="76">SUBTOTAL(9,S191:S191)</f>
        <v>3096</v>
      </c>
      <c r="T192" s="46">
        <f t="shared" si="76"/>
        <v>0</v>
      </c>
      <c r="U192" s="46">
        <f t="shared" si="76"/>
        <v>0</v>
      </c>
      <c r="V192" s="46">
        <f t="shared" si="76"/>
        <v>0</v>
      </c>
      <c r="W192" s="85">
        <f t="shared" si="76"/>
        <v>0</v>
      </c>
      <c r="X192" s="85">
        <f t="shared" si="76"/>
        <v>0</v>
      </c>
      <c r="Y192" s="85">
        <f t="shared" si="76"/>
        <v>0</v>
      </c>
      <c r="Z192" s="85">
        <f t="shared" si="76"/>
        <v>0</v>
      </c>
      <c r="AA192" s="85">
        <f t="shared" si="76"/>
        <v>240</v>
      </c>
      <c r="AB192" s="85">
        <f t="shared" si="76"/>
        <v>312</v>
      </c>
      <c r="AC192" s="85">
        <f t="shared" si="76"/>
        <v>534</v>
      </c>
      <c r="AD192" s="85">
        <f t="shared" si="76"/>
        <v>666</v>
      </c>
      <c r="AE192" s="85">
        <f t="shared" si="76"/>
        <v>498</v>
      </c>
      <c r="AF192" s="85">
        <f t="shared" si="76"/>
        <v>468</v>
      </c>
      <c r="AG192" s="85">
        <f t="shared" si="76"/>
        <v>270</v>
      </c>
      <c r="AH192" s="85">
        <f t="shared" si="76"/>
        <v>36</v>
      </c>
      <c r="AI192" s="85">
        <f t="shared" si="76"/>
        <v>36</v>
      </c>
      <c r="AJ192" s="85">
        <f t="shared" si="76"/>
        <v>12</v>
      </c>
      <c r="AK192" s="85">
        <f t="shared" si="76"/>
        <v>24</v>
      </c>
      <c r="AL192" s="86">
        <f t="shared" si="76"/>
        <v>0</v>
      </c>
      <c r="AM192" s="86">
        <f t="shared" si="76"/>
        <v>0</v>
      </c>
      <c r="AN192" s="86">
        <f t="shared" si="76"/>
        <v>0</v>
      </c>
      <c r="AO192" s="86">
        <f t="shared" si="76"/>
        <v>0</v>
      </c>
      <c r="AP192" s="86">
        <f t="shared" si="76"/>
        <v>0</v>
      </c>
      <c r="AQ192" s="86">
        <f t="shared" si="76"/>
        <v>0</v>
      </c>
      <c r="AR192" s="86">
        <f t="shared" si="76"/>
        <v>0</v>
      </c>
      <c r="AS192" s="86">
        <f t="shared" si="76"/>
        <v>0</v>
      </c>
      <c r="AT192" s="86">
        <f t="shared" si="76"/>
        <v>0</v>
      </c>
      <c r="AU192" s="86">
        <f t="shared" si="76"/>
        <v>0</v>
      </c>
      <c r="AV192" s="86">
        <f t="shared" si="76"/>
        <v>0</v>
      </c>
      <c r="AW192" s="86">
        <f t="shared" si="76"/>
        <v>0</v>
      </c>
      <c r="AX192" s="86">
        <f t="shared" si="76"/>
        <v>0</v>
      </c>
      <c r="AY192" s="86">
        <f t="shared" si="76"/>
        <v>0</v>
      </c>
      <c r="AZ192" s="86">
        <f t="shared" si="76"/>
        <v>0</v>
      </c>
    </row>
    <row r="193" spans="1:52" s="25" customFormat="1" ht="15" customHeight="1" outlineLevel="2" x14ac:dyDescent="0.45">
      <c r="A193" s="12">
        <v>4509581966</v>
      </c>
      <c r="B193" s="13">
        <v>10</v>
      </c>
      <c r="C193" s="13" t="s">
        <v>722</v>
      </c>
      <c r="D193" s="14"/>
      <c r="E193" s="14"/>
      <c r="F193" s="15" t="s">
        <v>243</v>
      </c>
      <c r="G193" s="15">
        <v>4992098</v>
      </c>
      <c r="H193" s="15" t="s">
        <v>271</v>
      </c>
      <c r="I193" s="15" t="s">
        <v>98</v>
      </c>
      <c r="J193" s="14"/>
      <c r="K193" s="14">
        <v>45192</v>
      </c>
      <c r="L193" s="16" t="s">
        <v>723</v>
      </c>
      <c r="M193" s="14">
        <v>45105</v>
      </c>
      <c r="N193" s="17" t="str">
        <f>+LEFT(L193,5)</f>
        <v>T3KAA</v>
      </c>
      <c r="O193" s="18" t="s">
        <v>245</v>
      </c>
      <c r="P193" s="19" t="s">
        <v>246</v>
      </c>
      <c r="Q193" s="20" t="s">
        <v>677</v>
      </c>
      <c r="R193" s="21" t="s">
        <v>225</v>
      </c>
      <c r="S193" s="22">
        <f t="shared" si="75"/>
        <v>847</v>
      </c>
      <c r="T193" s="22"/>
      <c r="U193" s="22"/>
      <c r="V193" s="22"/>
      <c r="W193" s="23"/>
      <c r="X193" s="23"/>
      <c r="Y193" s="23">
        <v>4</v>
      </c>
      <c r="Z193" s="23"/>
      <c r="AA193" s="23">
        <v>54</v>
      </c>
      <c r="AB193" s="23">
        <v>106</v>
      </c>
      <c r="AC193" s="23"/>
      <c r="AD193" s="23">
        <v>167</v>
      </c>
      <c r="AE193" s="23"/>
      <c r="AF193" s="23">
        <v>179</v>
      </c>
      <c r="AG193" s="23">
        <v>138</v>
      </c>
      <c r="AH193" s="23">
        <v>2</v>
      </c>
      <c r="AI193" s="23">
        <v>99</v>
      </c>
      <c r="AJ193" s="23"/>
      <c r="AK193" s="23">
        <v>65</v>
      </c>
      <c r="AL193" s="24">
        <v>19</v>
      </c>
      <c r="AM193" s="24">
        <v>14</v>
      </c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</row>
    <row r="194" spans="1:52" s="26" customFormat="1" ht="15" customHeight="1" outlineLevel="1" x14ac:dyDescent="0.45">
      <c r="A194" s="38"/>
      <c r="B194" s="39"/>
      <c r="C194" s="39"/>
      <c r="D194" s="40"/>
      <c r="E194" s="40"/>
      <c r="F194" s="16"/>
      <c r="G194" s="16"/>
      <c r="H194" s="16"/>
      <c r="I194" s="16"/>
      <c r="J194" s="40"/>
      <c r="K194" s="40"/>
      <c r="L194" s="16"/>
      <c r="M194" s="40"/>
      <c r="N194" s="41" t="s">
        <v>724</v>
      </c>
      <c r="O194" s="42"/>
      <c r="P194" s="43"/>
      <c r="Q194" s="44"/>
      <c r="R194" s="45"/>
      <c r="S194" s="46">
        <f t="shared" ref="S194:AZ194" si="77">SUBTOTAL(9,S193:S193)</f>
        <v>847</v>
      </c>
      <c r="T194" s="46">
        <f t="shared" si="77"/>
        <v>0</v>
      </c>
      <c r="U194" s="46">
        <f t="shared" si="77"/>
        <v>0</v>
      </c>
      <c r="V194" s="46">
        <f t="shared" si="77"/>
        <v>0</v>
      </c>
      <c r="W194" s="85">
        <f t="shared" si="77"/>
        <v>0</v>
      </c>
      <c r="X194" s="85">
        <f t="shared" si="77"/>
        <v>0</v>
      </c>
      <c r="Y194" s="85">
        <f t="shared" si="77"/>
        <v>4</v>
      </c>
      <c r="Z194" s="85">
        <f t="shared" si="77"/>
        <v>0</v>
      </c>
      <c r="AA194" s="85">
        <f t="shared" si="77"/>
        <v>54</v>
      </c>
      <c r="AB194" s="85">
        <f t="shared" si="77"/>
        <v>106</v>
      </c>
      <c r="AC194" s="85">
        <f t="shared" si="77"/>
        <v>0</v>
      </c>
      <c r="AD194" s="85">
        <f t="shared" si="77"/>
        <v>167</v>
      </c>
      <c r="AE194" s="85">
        <f t="shared" si="77"/>
        <v>0</v>
      </c>
      <c r="AF194" s="85">
        <f t="shared" si="77"/>
        <v>179</v>
      </c>
      <c r="AG194" s="85">
        <f t="shared" si="77"/>
        <v>138</v>
      </c>
      <c r="AH194" s="85">
        <f t="shared" si="77"/>
        <v>2</v>
      </c>
      <c r="AI194" s="85">
        <f t="shared" si="77"/>
        <v>99</v>
      </c>
      <c r="AJ194" s="85">
        <f t="shared" si="77"/>
        <v>0</v>
      </c>
      <c r="AK194" s="85">
        <f t="shared" si="77"/>
        <v>65</v>
      </c>
      <c r="AL194" s="86">
        <f t="shared" si="77"/>
        <v>19</v>
      </c>
      <c r="AM194" s="86">
        <f t="shared" si="77"/>
        <v>14</v>
      </c>
      <c r="AN194" s="86">
        <f t="shared" si="77"/>
        <v>0</v>
      </c>
      <c r="AO194" s="86">
        <f t="shared" si="77"/>
        <v>0</v>
      </c>
      <c r="AP194" s="86">
        <f t="shared" si="77"/>
        <v>0</v>
      </c>
      <c r="AQ194" s="86">
        <f t="shared" si="77"/>
        <v>0</v>
      </c>
      <c r="AR194" s="86">
        <f t="shared" si="77"/>
        <v>0</v>
      </c>
      <c r="AS194" s="86">
        <f t="shared" si="77"/>
        <v>0</v>
      </c>
      <c r="AT194" s="86">
        <f t="shared" si="77"/>
        <v>0</v>
      </c>
      <c r="AU194" s="86">
        <f t="shared" si="77"/>
        <v>0</v>
      </c>
      <c r="AV194" s="86">
        <f t="shared" si="77"/>
        <v>0</v>
      </c>
      <c r="AW194" s="86">
        <f t="shared" si="77"/>
        <v>0</v>
      </c>
      <c r="AX194" s="86">
        <f t="shared" si="77"/>
        <v>0</v>
      </c>
      <c r="AY194" s="86">
        <f t="shared" si="77"/>
        <v>0</v>
      </c>
      <c r="AZ194" s="86">
        <f t="shared" si="77"/>
        <v>0</v>
      </c>
    </row>
    <row r="195" spans="1:52" s="25" customFormat="1" ht="15" customHeight="1" outlineLevel="2" x14ac:dyDescent="0.45">
      <c r="A195" s="12">
        <v>4509555191</v>
      </c>
      <c r="B195" s="13">
        <v>10</v>
      </c>
      <c r="C195" s="13" t="s">
        <v>725</v>
      </c>
      <c r="D195" s="14"/>
      <c r="E195" s="14"/>
      <c r="F195" s="15" t="s">
        <v>366</v>
      </c>
      <c r="G195" s="15">
        <v>4992062</v>
      </c>
      <c r="H195" s="15" t="s">
        <v>144</v>
      </c>
      <c r="I195" s="15" t="s">
        <v>98</v>
      </c>
      <c r="J195" s="14"/>
      <c r="K195" s="14">
        <v>45199</v>
      </c>
      <c r="L195" s="16" t="s">
        <v>726</v>
      </c>
      <c r="M195" s="14">
        <v>45105</v>
      </c>
      <c r="N195" s="17" t="str">
        <f>+LEFT(L195,5)</f>
        <v>T3KAC</v>
      </c>
      <c r="O195" s="18" t="s">
        <v>368</v>
      </c>
      <c r="P195" s="19" t="s">
        <v>369</v>
      </c>
      <c r="Q195" s="20" t="s">
        <v>677</v>
      </c>
      <c r="R195" s="21" t="s">
        <v>225</v>
      </c>
      <c r="S195" s="22">
        <f t="shared" si="75"/>
        <v>3204</v>
      </c>
      <c r="T195" s="22"/>
      <c r="U195" s="22"/>
      <c r="V195" s="22"/>
      <c r="W195" s="23"/>
      <c r="X195" s="23"/>
      <c r="Y195" s="23"/>
      <c r="Z195" s="23"/>
      <c r="AA195" s="23">
        <v>270</v>
      </c>
      <c r="AB195" s="23">
        <v>360</v>
      </c>
      <c r="AC195" s="23">
        <v>552</v>
      </c>
      <c r="AD195" s="23">
        <v>648</v>
      </c>
      <c r="AE195" s="23">
        <v>498</v>
      </c>
      <c r="AF195" s="23">
        <v>456</v>
      </c>
      <c r="AG195" s="23">
        <v>258</v>
      </c>
      <c r="AH195" s="23">
        <v>36</v>
      </c>
      <c r="AI195" s="23">
        <v>60</v>
      </c>
      <c r="AJ195" s="23">
        <v>6</v>
      </c>
      <c r="AK195" s="23">
        <v>48</v>
      </c>
      <c r="AL195" s="24"/>
      <c r="AM195" s="24">
        <v>12</v>
      </c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</row>
    <row r="196" spans="1:52" s="26" customFormat="1" ht="15" customHeight="1" outlineLevel="1" x14ac:dyDescent="0.45">
      <c r="A196" s="38"/>
      <c r="B196" s="39"/>
      <c r="C196" s="39"/>
      <c r="D196" s="40"/>
      <c r="E196" s="40"/>
      <c r="F196" s="16"/>
      <c r="G196" s="16"/>
      <c r="H196" s="16"/>
      <c r="I196" s="16"/>
      <c r="J196" s="40"/>
      <c r="K196" s="40"/>
      <c r="L196" s="16"/>
      <c r="M196" s="40"/>
      <c r="N196" s="41" t="s">
        <v>727</v>
      </c>
      <c r="O196" s="42"/>
      <c r="P196" s="43"/>
      <c r="Q196" s="44"/>
      <c r="R196" s="45"/>
      <c r="S196" s="46">
        <f t="shared" ref="S196:AZ196" si="78">SUBTOTAL(9,S195:S195)</f>
        <v>3204</v>
      </c>
      <c r="T196" s="46">
        <f t="shared" si="78"/>
        <v>0</v>
      </c>
      <c r="U196" s="46">
        <f t="shared" si="78"/>
        <v>0</v>
      </c>
      <c r="V196" s="46">
        <f t="shared" si="78"/>
        <v>0</v>
      </c>
      <c r="W196" s="85">
        <f t="shared" si="78"/>
        <v>0</v>
      </c>
      <c r="X196" s="85">
        <f t="shared" si="78"/>
        <v>0</v>
      </c>
      <c r="Y196" s="85">
        <f t="shared" si="78"/>
        <v>0</v>
      </c>
      <c r="Z196" s="85">
        <f t="shared" si="78"/>
        <v>0</v>
      </c>
      <c r="AA196" s="85">
        <f t="shared" si="78"/>
        <v>270</v>
      </c>
      <c r="AB196" s="85">
        <f t="shared" si="78"/>
        <v>360</v>
      </c>
      <c r="AC196" s="85">
        <f t="shared" si="78"/>
        <v>552</v>
      </c>
      <c r="AD196" s="85">
        <f t="shared" si="78"/>
        <v>648</v>
      </c>
      <c r="AE196" s="85">
        <f t="shared" si="78"/>
        <v>498</v>
      </c>
      <c r="AF196" s="85">
        <f t="shared" si="78"/>
        <v>456</v>
      </c>
      <c r="AG196" s="85">
        <f t="shared" si="78"/>
        <v>258</v>
      </c>
      <c r="AH196" s="85">
        <f t="shared" si="78"/>
        <v>36</v>
      </c>
      <c r="AI196" s="85">
        <f t="shared" si="78"/>
        <v>60</v>
      </c>
      <c r="AJ196" s="85">
        <f t="shared" si="78"/>
        <v>6</v>
      </c>
      <c r="AK196" s="85">
        <f t="shared" si="78"/>
        <v>48</v>
      </c>
      <c r="AL196" s="86">
        <f t="shared" si="78"/>
        <v>0</v>
      </c>
      <c r="AM196" s="86">
        <f t="shared" si="78"/>
        <v>12</v>
      </c>
      <c r="AN196" s="86">
        <f t="shared" si="78"/>
        <v>0</v>
      </c>
      <c r="AO196" s="86">
        <f t="shared" si="78"/>
        <v>0</v>
      </c>
      <c r="AP196" s="86">
        <f t="shared" si="78"/>
        <v>0</v>
      </c>
      <c r="AQ196" s="86">
        <f t="shared" si="78"/>
        <v>0</v>
      </c>
      <c r="AR196" s="86">
        <f t="shared" si="78"/>
        <v>0</v>
      </c>
      <c r="AS196" s="86">
        <f t="shared" si="78"/>
        <v>0</v>
      </c>
      <c r="AT196" s="86">
        <f t="shared" si="78"/>
        <v>0</v>
      </c>
      <c r="AU196" s="86">
        <f t="shared" si="78"/>
        <v>0</v>
      </c>
      <c r="AV196" s="86">
        <f t="shared" si="78"/>
        <v>0</v>
      </c>
      <c r="AW196" s="86">
        <f t="shared" si="78"/>
        <v>0</v>
      </c>
      <c r="AX196" s="86">
        <f t="shared" si="78"/>
        <v>0</v>
      </c>
      <c r="AY196" s="86">
        <f t="shared" si="78"/>
        <v>0</v>
      </c>
      <c r="AZ196" s="86">
        <f t="shared" si="78"/>
        <v>0</v>
      </c>
    </row>
    <row r="197" spans="1:52" s="25" customFormat="1" ht="15" customHeight="1" outlineLevel="2" x14ac:dyDescent="0.45">
      <c r="A197" s="12">
        <v>4509554320</v>
      </c>
      <c r="B197" s="13">
        <v>10</v>
      </c>
      <c r="C197" s="13" t="s">
        <v>728</v>
      </c>
      <c r="D197" s="14"/>
      <c r="E197" s="14"/>
      <c r="F197" s="15" t="s">
        <v>4</v>
      </c>
      <c r="G197" s="15">
        <v>4991992</v>
      </c>
      <c r="H197" s="15" t="s">
        <v>348</v>
      </c>
      <c r="I197" s="15" t="s">
        <v>152</v>
      </c>
      <c r="J197" s="14"/>
      <c r="K197" s="14">
        <v>45213</v>
      </c>
      <c r="L197" s="16" t="s">
        <v>729</v>
      </c>
      <c r="M197" s="14">
        <v>45105</v>
      </c>
      <c r="N197" s="17" t="str">
        <f>+LEFT(L197,5)</f>
        <v>T3M40</v>
      </c>
      <c r="O197" s="18" t="s">
        <v>446</v>
      </c>
      <c r="P197" s="19" t="s">
        <v>3</v>
      </c>
      <c r="Q197" s="20" t="s">
        <v>677</v>
      </c>
      <c r="R197" s="21" t="s">
        <v>6</v>
      </c>
      <c r="S197" s="22">
        <f t="shared" si="75"/>
        <v>750</v>
      </c>
      <c r="T197" s="22"/>
      <c r="U197" s="22"/>
      <c r="V197" s="22"/>
      <c r="W197" s="23">
        <v>12</v>
      </c>
      <c r="X197" s="23">
        <v>18</v>
      </c>
      <c r="Y197" s="23">
        <v>60</v>
      </c>
      <c r="Z197" s="23">
        <v>90</v>
      </c>
      <c r="AA197" s="23">
        <v>138</v>
      </c>
      <c r="AB197" s="23">
        <v>108</v>
      </c>
      <c r="AC197" s="23">
        <v>108</v>
      </c>
      <c r="AD197" s="23">
        <v>78</v>
      </c>
      <c r="AE197" s="23">
        <v>66</v>
      </c>
      <c r="AF197" s="23">
        <v>42</v>
      </c>
      <c r="AG197" s="23">
        <v>18</v>
      </c>
      <c r="AH197" s="23">
        <v>6</v>
      </c>
      <c r="AI197" s="23">
        <v>6</v>
      </c>
      <c r="AJ197" s="23"/>
      <c r="AK197" s="23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</row>
    <row r="198" spans="1:52" s="26" customFormat="1" ht="15" customHeight="1" outlineLevel="1" x14ac:dyDescent="0.45">
      <c r="A198" s="38"/>
      <c r="B198" s="39"/>
      <c r="C198" s="39"/>
      <c r="D198" s="40"/>
      <c r="E198" s="40"/>
      <c r="F198" s="16"/>
      <c r="G198" s="16"/>
      <c r="H198" s="16"/>
      <c r="I198" s="16"/>
      <c r="J198" s="40"/>
      <c r="K198" s="40"/>
      <c r="L198" s="16"/>
      <c r="M198" s="40"/>
      <c r="N198" s="41" t="s">
        <v>730</v>
      </c>
      <c r="O198" s="42"/>
      <c r="P198" s="43"/>
      <c r="Q198" s="44"/>
      <c r="R198" s="45"/>
      <c r="S198" s="46">
        <f t="shared" ref="S198:AZ198" si="79">SUBTOTAL(9,S197:S197)</f>
        <v>750</v>
      </c>
      <c r="T198" s="46">
        <f t="shared" si="79"/>
        <v>0</v>
      </c>
      <c r="U198" s="46">
        <f t="shared" si="79"/>
        <v>0</v>
      </c>
      <c r="V198" s="46">
        <f t="shared" si="79"/>
        <v>0</v>
      </c>
      <c r="W198" s="85">
        <f t="shared" si="79"/>
        <v>12</v>
      </c>
      <c r="X198" s="85">
        <f t="shared" si="79"/>
        <v>18</v>
      </c>
      <c r="Y198" s="85">
        <f t="shared" si="79"/>
        <v>60</v>
      </c>
      <c r="Z198" s="85">
        <f t="shared" si="79"/>
        <v>90</v>
      </c>
      <c r="AA198" s="85">
        <f t="shared" si="79"/>
        <v>138</v>
      </c>
      <c r="AB198" s="85">
        <f t="shared" si="79"/>
        <v>108</v>
      </c>
      <c r="AC198" s="85">
        <f t="shared" si="79"/>
        <v>108</v>
      </c>
      <c r="AD198" s="85">
        <f t="shared" si="79"/>
        <v>78</v>
      </c>
      <c r="AE198" s="85">
        <f t="shared" si="79"/>
        <v>66</v>
      </c>
      <c r="AF198" s="85">
        <f t="shared" si="79"/>
        <v>42</v>
      </c>
      <c r="AG198" s="85">
        <f t="shared" si="79"/>
        <v>18</v>
      </c>
      <c r="AH198" s="85">
        <f t="shared" si="79"/>
        <v>6</v>
      </c>
      <c r="AI198" s="85">
        <f t="shared" si="79"/>
        <v>6</v>
      </c>
      <c r="AJ198" s="85">
        <f t="shared" si="79"/>
        <v>0</v>
      </c>
      <c r="AK198" s="85">
        <f t="shared" si="79"/>
        <v>0</v>
      </c>
      <c r="AL198" s="86">
        <f t="shared" si="79"/>
        <v>0</v>
      </c>
      <c r="AM198" s="86">
        <f t="shared" si="79"/>
        <v>0</v>
      </c>
      <c r="AN198" s="86">
        <f t="shared" si="79"/>
        <v>0</v>
      </c>
      <c r="AO198" s="86">
        <f t="shared" si="79"/>
        <v>0</v>
      </c>
      <c r="AP198" s="86">
        <f t="shared" si="79"/>
        <v>0</v>
      </c>
      <c r="AQ198" s="86">
        <f t="shared" si="79"/>
        <v>0</v>
      </c>
      <c r="AR198" s="86">
        <f t="shared" si="79"/>
        <v>0</v>
      </c>
      <c r="AS198" s="86">
        <f t="shared" si="79"/>
        <v>0</v>
      </c>
      <c r="AT198" s="86">
        <f t="shared" si="79"/>
        <v>0</v>
      </c>
      <c r="AU198" s="86">
        <f t="shared" si="79"/>
        <v>0</v>
      </c>
      <c r="AV198" s="86">
        <f t="shared" si="79"/>
        <v>0</v>
      </c>
      <c r="AW198" s="86">
        <f t="shared" si="79"/>
        <v>0</v>
      </c>
      <c r="AX198" s="86">
        <f t="shared" si="79"/>
        <v>0</v>
      </c>
      <c r="AY198" s="86">
        <f t="shared" si="79"/>
        <v>0</v>
      </c>
      <c r="AZ198" s="86">
        <f t="shared" si="79"/>
        <v>0</v>
      </c>
    </row>
    <row r="199" spans="1:52" s="25" customFormat="1" ht="15" customHeight="1" outlineLevel="2" x14ac:dyDescent="0.45">
      <c r="A199" s="12">
        <v>4509555100</v>
      </c>
      <c r="B199" s="13">
        <v>10</v>
      </c>
      <c r="C199" s="13" t="s">
        <v>731</v>
      </c>
      <c r="D199" s="14"/>
      <c r="E199" s="14"/>
      <c r="F199" s="15" t="s">
        <v>255</v>
      </c>
      <c r="G199" s="15">
        <v>1014</v>
      </c>
      <c r="H199" s="15" t="s">
        <v>118</v>
      </c>
      <c r="I199" s="15" t="s">
        <v>152</v>
      </c>
      <c r="J199" s="14"/>
      <c r="K199" s="14">
        <v>45199</v>
      </c>
      <c r="L199" s="16" t="s">
        <v>732</v>
      </c>
      <c r="M199" s="14">
        <v>45105</v>
      </c>
      <c r="N199" s="17" t="str">
        <f>+LEFT(L199,5)</f>
        <v>T3K88</v>
      </c>
      <c r="O199" s="18" t="s">
        <v>276</v>
      </c>
      <c r="P199" s="19" t="s">
        <v>258</v>
      </c>
      <c r="Q199" s="20" t="s">
        <v>1016</v>
      </c>
      <c r="R199" s="21" t="s">
        <v>225</v>
      </c>
      <c r="S199" s="22">
        <f>SUM(T199:AZ199)</f>
        <v>678</v>
      </c>
      <c r="T199" s="22">
        <v>0</v>
      </c>
      <c r="U199" s="22">
        <v>0</v>
      </c>
      <c r="V199" s="22">
        <v>0</v>
      </c>
      <c r="W199" s="23">
        <v>0</v>
      </c>
      <c r="X199" s="23">
        <v>0</v>
      </c>
      <c r="Y199" s="23">
        <v>0</v>
      </c>
      <c r="Z199" s="23">
        <v>0</v>
      </c>
      <c r="AA199" s="23">
        <v>6</v>
      </c>
      <c r="AB199" s="23">
        <v>12</v>
      </c>
      <c r="AC199" s="23">
        <v>30</v>
      </c>
      <c r="AD199" s="23">
        <v>60</v>
      </c>
      <c r="AE199" s="23">
        <v>72</v>
      </c>
      <c r="AF199" s="23">
        <v>72</v>
      </c>
      <c r="AG199" s="23">
        <v>78</v>
      </c>
      <c r="AH199" s="23">
        <v>84</v>
      </c>
      <c r="AI199" s="23">
        <v>84</v>
      </c>
      <c r="AJ199" s="23">
        <v>48</v>
      </c>
      <c r="AK199" s="23">
        <v>48</v>
      </c>
      <c r="AL199" s="24">
        <v>6</v>
      </c>
      <c r="AM199" s="24">
        <v>48</v>
      </c>
      <c r="AN199" s="24">
        <v>0</v>
      </c>
      <c r="AO199" s="24">
        <v>18</v>
      </c>
      <c r="AP199" s="24">
        <v>0</v>
      </c>
      <c r="AQ199" s="24">
        <v>12</v>
      </c>
      <c r="AR199" s="24">
        <v>0</v>
      </c>
      <c r="AS199" s="24">
        <v>0</v>
      </c>
      <c r="AT199" s="24">
        <v>0</v>
      </c>
      <c r="AU199" s="24">
        <v>0</v>
      </c>
      <c r="AV199" s="24">
        <v>0</v>
      </c>
      <c r="AW199" s="24">
        <v>0</v>
      </c>
      <c r="AX199" s="24">
        <v>0</v>
      </c>
      <c r="AY199" s="24">
        <v>0</v>
      </c>
      <c r="AZ199" s="24">
        <v>0</v>
      </c>
    </row>
    <row r="200" spans="1:52" s="25" customFormat="1" ht="15" customHeight="1" outlineLevel="2" x14ac:dyDescent="0.45">
      <c r="A200" s="12">
        <v>4509554209</v>
      </c>
      <c r="B200" s="13">
        <v>10</v>
      </c>
      <c r="C200" s="13" t="s">
        <v>733</v>
      </c>
      <c r="D200" s="14"/>
      <c r="E200" s="14"/>
      <c r="F200" s="15" t="s">
        <v>255</v>
      </c>
      <c r="G200" s="15">
        <v>1098</v>
      </c>
      <c r="H200" s="15" t="s">
        <v>381</v>
      </c>
      <c r="I200" s="15" t="s">
        <v>152</v>
      </c>
      <c r="J200" s="14"/>
      <c r="K200" s="14">
        <v>45206</v>
      </c>
      <c r="L200" s="16" t="s">
        <v>734</v>
      </c>
      <c r="M200" s="14">
        <v>45105</v>
      </c>
      <c r="N200" s="17" t="str">
        <f>+LEFT(L200,5)</f>
        <v>T3K88</v>
      </c>
      <c r="O200" s="18" t="s">
        <v>276</v>
      </c>
      <c r="P200" s="19" t="s">
        <v>258</v>
      </c>
      <c r="Q200" s="20" t="s">
        <v>677</v>
      </c>
      <c r="R200" s="21" t="s">
        <v>225</v>
      </c>
      <c r="S200" s="22">
        <f t="shared" ref="S200:S282" si="80">SUM(T200:AZ200)</f>
        <v>546</v>
      </c>
      <c r="T200" s="22"/>
      <c r="U200" s="22"/>
      <c r="V200" s="22"/>
      <c r="W200" s="23"/>
      <c r="X200" s="23"/>
      <c r="Y200" s="23"/>
      <c r="Z200" s="23"/>
      <c r="AA200" s="23">
        <v>42</v>
      </c>
      <c r="AB200" s="23">
        <v>18</v>
      </c>
      <c r="AC200" s="23">
        <v>60</v>
      </c>
      <c r="AD200" s="23">
        <v>60</v>
      </c>
      <c r="AE200" s="23">
        <v>96</v>
      </c>
      <c r="AF200" s="23">
        <v>84</v>
      </c>
      <c r="AG200" s="23">
        <v>84</v>
      </c>
      <c r="AH200" s="23">
        <v>48</v>
      </c>
      <c r="AI200" s="23">
        <v>54</v>
      </c>
      <c r="AJ200" s="23"/>
      <c r="AK200" s="23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</row>
    <row r="201" spans="1:52" s="25" customFormat="1" ht="15" customHeight="1" outlineLevel="2" x14ac:dyDescent="0.45">
      <c r="A201" s="12">
        <v>4509555100</v>
      </c>
      <c r="B201" s="13">
        <v>20</v>
      </c>
      <c r="C201" s="13" t="s">
        <v>1013</v>
      </c>
      <c r="D201" s="14"/>
      <c r="E201" s="14"/>
      <c r="F201" s="15" t="s">
        <v>255</v>
      </c>
      <c r="G201" s="15">
        <v>433959</v>
      </c>
      <c r="H201" s="15" t="s">
        <v>118</v>
      </c>
      <c r="I201" s="15" t="s">
        <v>152</v>
      </c>
      <c r="J201" s="14"/>
      <c r="K201" s="14">
        <v>45199</v>
      </c>
      <c r="L201" s="16" t="s">
        <v>1014</v>
      </c>
      <c r="M201" s="14">
        <v>45105</v>
      </c>
      <c r="N201" s="17" t="str">
        <f>+LEFT(L201,5)</f>
        <v>T3K88</v>
      </c>
      <c r="O201" s="18" t="s">
        <v>276</v>
      </c>
      <c r="P201" s="19" t="s">
        <v>258</v>
      </c>
      <c r="Q201" s="20" t="s">
        <v>1015</v>
      </c>
      <c r="R201" s="21" t="s">
        <v>225</v>
      </c>
      <c r="S201" s="22">
        <f>SUM(T201:AZ201)</f>
        <v>216</v>
      </c>
      <c r="T201" s="22"/>
      <c r="U201" s="22"/>
      <c r="V201" s="22"/>
      <c r="W201" s="23"/>
      <c r="X201" s="23"/>
      <c r="Y201" s="23"/>
      <c r="Z201" s="23"/>
      <c r="AA201" s="23">
        <v>6</v>
      </c>
      <c r="AB201" s="23">
        <v>6</v>
      </c>
      <c r="AC201" s="23">
        <v>12</v>
      </c>
      <c r="AD201" s="23">
        <v>18</v>
      </c>
      <c r="AE201" s="23">
        <v>18</v>
      </c>
      <c r="AF201" s="23">
        <v>24</v>
      </c>
      <c r="AG201" s="23">
        <v>24</v>
      </c>
      <c r="AH201" s="23">
        <v>24</v>
      </c>
      <c r="AI201" s="23">
        <v>24</v>
      </c>
      <c r="AJ201" s="23">
        <v>12</v>
      </c>
      <c r="AK201" s="23">
        <v>18</v>
      </c>
      <c r="AL201" s="24">
        <v>6</v>
      </c>
      <c r="AM201" s="24">
        <v>12</v>
      </c>
      <c r="AN201" s="24"/>
      <c r="AO201" s="24">
        <v>6</v>
      </c>
      <c r="AP201" s="24"/>
      <c r="AQ201" s="24">
        <v>6</v>
      </c>
      <c r="AR201" s="24"/>
      <c r="AS201" s="24"/>
      <c r="AT201" s="24"/>
      <c r="AU201" s="24"/>
      <c r="AV201" s="24"/>
      <c r="AW201" s="24"/>
      <c r="AX201" s="24"/>
      <c r="AY201" s="24"/>
      <c r="AZ201" s="24"/>
    </row>
    <row r="202" spans="1:52" s="26" customFormat="1" ht="15" customHeight="1" outlineLevel="1" x14ac:dyDescent="0.45">
      <c r="A202" s="38"/>
      <c r="B202" s="39"/>
      <c r="C202" s="39"/>
      <c r="D202" s="40"/>
      <c r="E202" s="40"/>
      <c r="F202" s="16"/>
      <c r="G202" s="16"/>
      <c r="H202" s="16"/>
      <c r="I202" s="16"/>
      <c r="J202" s="40"/>
      <c r="K202" s="40"/>
      <c r="L202" s="16"/>
      <c r="M202" s="40"/>
      <c r="N202" s="84" t="s">
        <v>735</v>
      </c>
      <c r="O202" s="42"/>
      <c r="P202" s="43"/>
      <c r="Q202" s="44"/>
      <c r="R202" s="45"/>
      <c r="S202" s="46">
        <f>SUBTOTAL(9,S199:S201)</f>
        <v>1440</v>
      </c>
      <c r="T202" s="46">
        <f t="shared" ref="T202:AZ202" si="81">SUBTOTAL(9,T199:T201)</f>
        <v>0</v>
      </c>
      <c r="U202" s="46">
        <f t="shared" si="81"/>
        <v>0</v>
      </c>
      <c r="V202" s="46">
        <f t="shared" si="81"/>
        <v>0</v>
      </c>
      <c r="W202" s="46">
        <f t="shared" si="81"/>
        <v>0</v>
      </c>
      <c r="X202" s="46">
        <f t="shared" si="81"/>
        <v>0</v>
      </c>
      <c r="Y202" s="46">
        <f t="shared" si="81"/>
        <v>0</v>
      </c>
      <c r="Z202" s="46">
        <f t="shared" si="81"/>
        <v>0</v>
      </c>
      <c r="AA202" s="46">
        <f t="shared" si="81"/>
        <v>54</v>
      </c>
      <c r="AB202" s="46">
        <f t="shared" si="81"/>
        <v>36</v>
      </c>
      <c r="AC202" s="46">
        <f t="shared" si="81"/>
        <v>102</v>
      </c>
      <c r="AD202" s="46">
        <f t="shared" si="81"/>
        <v>138</v>
      </c>
      <c r="AE202" s="46">
        <f t="shared" si="81"/>
        <v>186</v>
      </c>
      <c r="AF202" s="46">
        <f t="shared" si="81"/>
        <v>180</v>
      </c>
      <c r="AG202" s="46">
        <f t="shared" si="81"/>
        <v>186</v>
      </c>
      <c r="AH202" s="46">
        <f t="shared" si="81"/>
        <v>156</v>
      </c>
      <c r="AI202" s="46">
        <f t="shared" si="81"/>
        <v>162</v>
      </c>
      <c r="AJ202" s="46">
        <f t="shared" si="81"/>
        <v>60</v>
      </c>
      <c r="AK202" s="46">
        <f t="shared" si="81"/>
        <v>66</v>
      </c>
      <c r="AL202" s="46">
        <f t="shared" si="81"/>
        <v>12</v>
      </c>
      <c r="AM202" s="46">
        <f t="shared" si="81"/>
        <v>60</v>
      </c>
      <c r="AN202" s="46">
        <f t="shared" si="81"/>
        <v>0</v>
      </c>
      <c r="AO202" s="46">
        <f t="shared" si="81"/>
        <v>24</v>
      </c>
      <c r="AP202" s="46">
        <f t="shared" si="81"/>
        <v>0</v>
      </c>
      <c r="AQ202" s="46">
        <f t="shared" si="81"/>
        <v>18</v>
      </c>
      <c r="AR202" s="46">
        <f t="shared" si="81"/>
        <v>0</v>
      </c>
      <c r="AS202" s="46">
        <f t="shared" si="81"/>
        <v>0</v>
      </c>
      <c r="AT202" s="46">
        <f t="shared" si="81"/>
        <v>0</v>
      </c>
      <c r="AU202" s="46">
        <f t="shared" si="81"/>
        <v>0</v>
      </c>
      <c r="AV202" s="46">
        <f t="shared" si="81"/>
        <v>0</v>
      </c>
      <c r="AW202" s="46">
        <f t="shared" si="81"/>
        <v>0</v>
      </c>
      <c r="AX202" s="46">
        <f t="shared" si="81"/>
        <v>0</v>
      </c>
      <c r="AY202" s="46">
        <f t="shared" si="81"/>
        <v>0</v>
      </c>
      <c r="AZ202" s="46">
        <f t="shared" si="81"/>
        <v>0</v>
      </c>
    </row>
    <row r="203" spans="1:52" s="25" customFormat="1" ht="15" customHeight="1" outlineLevel="2" x14ac:dyDescent="0.45">
      <c r="A203" s="12">
        <v>4509568634</v>
      </c>
      <c r="B203" s="13">
        <v>10</v>
      </c>
      <c r="C203" s="13" t="s">
        <v>736</v>
      </c>
      <c r="D203" s="14"/>
      <c r="E203" s="14"/>
      <c r="F203" s="15" t="s">
        <v>220</v>
      </c>
      <c r="G203" s="15">
        <v>1014</v>
      </c>
      <c r="H203" s="15" t="s">
        <v>118</v>
      </c>
      <c r="I203" s="15" t="s">
        <v>152</v>
      </c>
      <c r="J203" s="14"/>
      <c r="K203" s="14">
        <v>45185</v>
      </c>
      <c r="L203" s="16" t="s">
        <v>737</v>
      </c>
      <c r="M203" s="14">
        <v>45105</v>
      </c>
      <c r="N203" s="17" t="str">
        <f>+LEFT(L203,5)</f>
        <v>T3K89</v>
      </c>
      <c r="O203" s="18" t="s">
        <v>223</v>
      </c>
      <c r="P203" s="19" t="s">
        <v>224</v>
      </c>
      <c r="Q203" s="20" t="s">
        <v>677</v>
      </c>
      <c r="R203" s="21" t="s">
        <v>225</v>
      </c>
      <c r="S203" s="22">
        <f t="shared" si="80"/>
        <v>473</v>
      </c>
      <c r="T203" s="22"/>
      <c r="U203" s="22"/>
      <c r="V203" s="22"/>
      <c r="W203" s="23"/>
      <c r="X203" s="23"/>
      <c r="Y203" s="23">
        <v>1</v>
      </c>
      <c r="Z203" s="23">
        <v>2</v>
      </c>
      <c r="AA203" s="23">
        <v>9</v>
      </c>
      <c r="AB203" s="23">
        <v>12</v>
      </c>
      <c r="AC203" s="23">
        <v>29</v>
      </c>
      <c r="AD203" s="23">
        <v>35</v>
      </c>
      <c r="AE203" s="23">
        <v>46</v>
      </c>
      <c r="AF203" s="23">
        <v>51</v>
      </c>
      <c r="AG203" s="23">
        <v>55</v>
      </c>
      <c r="AH203" s="23">
        <v>58</v>
      </c>
      <c r="AI203" s="23">
        <v>54</v>
      </c>
      <c r="AJ203" s="23">
        <v>31</v>
      </c>
      <c r="AK203" s="23">
        <v>42</v>
      </c>
      <c r="AL203" s="24">
        <v>5</v>
      </c>
      <c r="AM203" s="24">
        <v>30</v>
      </c>
      <c r="AN203" s="24"/>
      <c r="AO203" s="24">
        <v>10</v>
      </c>
      <c r="AP203" s="24"/>
      <c r="AQ203" s="24">
        <v>3</v>
      </c>
      <c r="AR203" s="24"/>
      <c r="AS203" s="24"/>
      <c r="AT203" s="24"/>
      <c r="AU203" s="24"/>
      <c r="AV203" s="24"/>
      <c r="AW203" s="24"/>
      <c r="AX203" s="24"/>
      <c r="AY203" s="24"/>
      <c r="AZ203" s="24"/>
    </row>
    <row r="204" spans="1:52" s="26" customFormat="1" ht="15" customHeight="1" outlineLevel="1" x14ac:dyDescent="0.45">
      <c r="A204" s="38"/>
      <c r="B204" s="39"/>
      <c r="C204" s="39"/>
      <c r="D204" s="40"/>
      <c r="E204" s="40"/>
      <c r="F204" s="16"/>
      <c r="G204" s="16"/>
      <c r="H204" s="16"/>
      <c r="I204" s="16"/>
      <c r="J204" s="40"/>
      <c r="K204" s="40"/>
      <c r="L204" s="16"/>
      <c r="M204" s="40"/>
      <c r="N204" s="41" t="s">
        <v>738</v>
      </c>
      <c r="O204" s="42"/>
      <c r="P204" s="43"/>
      <c r="Q204" s="44"/>
      <c r="R204" s="45"/>
      <c r="S204" s="46">
        <f t="shared" ref="S204:AZ204" si="82">SUBTOTAL(9,S203:S203)</f>
        <v>473</v>
      </c>
      <c r="T204" s="46">
        <f t="shared" si="82"/>
        <v>0</v>
      </c>
      <c r="U204" s="46">
        <f t="shared" si="82"/>
        <v>0</v>
      </c>
      <c r="V204" s="46">
        <f t="shared" si="82"/>
        <v>0</v>
      </c>
      <c r="W204" s="85">
        <f t="shared" si="82"/>
        <v>0</v>
      </c>
      <c r="X204" s="85">
        <f t="shared" si="82"/>
        <v>0</v>
      </c>
      <c r="Y204" s="85">
        <f t="shared" si="82"/>
        <v>1</v>
      </c>
      <c r="Z204" s="85">
        <f t="shared" si="82"/>
        <v>2</v>
      </c>
      <c r="AA204" s="85">
        <f t="shared" si="82"/>
        <v>9</v>
      </c>
      <c r="AB204" s="85">
        <f t="shared" si="82"/>
        <v>12</v>
      </c>
      <c r="AC204" s="85">
        <f t="shared" si="82"/>
        <v>29</v>
      </c>
      <c r="AD204" s="85">
        <f t="shared" si="82"/>
        <v>35</v>
      </c>
      <c r="AE204" s="85">
        <f t="shared" si="82"/>
        <v>46</v>
      </c>
      <c r="AF204" s="85">
        <f t="shared" si="82"/>
        <v>51</v>
      </c>
      <c r="AG204" s="85">
        <f t="shared" si="82"/>
        <v>55</v>
      </c>
      <c r="AH204" s="85">
        <f t="shared" si="82"/>
        <v>58</v>
      </c>
      <c r="AI204" s="85">
        <f t="shared" si="82"/>
        <v>54</v>
      </c>
      <c r="AJ204" s="85">
        <f t="shared" si="82"/>
        <v>31</v>
      </c>
      <c r="AK204" s="85">
        <f t="shared" si="82"/>
        <v>42</v>
      </c>
      <c r="AL204" s="86">
        <f t="shared" si="82"/>
        <v>5</v>
      </c>
      <c r="AM204" s="86">
        <f t="shared" si="82"/>
        <v>30</v>
      </c>
      <c r="AN204" s="86">
        <f t="shared" si="82"/>
        <v>0</v>
      </c>
      <c r="AO204" s="86">
        <f t="shared" si="82"/>
        <v>10</v>
      </c>
      <c r="AP204" s="86">
        <f t="shared" si="82"/>
        <v>0</v>
      </c>
      <c r="AQ204" s="86">
        <f t="shared" si="82"/>
        <v>3</v>
      </c>
      <c r="AR204" s="86">
        <f t="shared" si="82"/>
        <v>0</v>
      </c>
      <c r="AS204" s="86">
        <f t="shared" si="82"/>
        <v>0</v>
      </c>
      <c r="AT204" s="86">
        <f t="shared" si="82"/>
        <v>0</v>
      </c>
      <c r="AU204" s="86">
        <f t="shared" si="82"/>
        <v>0</v>
      </c>
      <c r="AV204" s="86">
        <f t="shared" si="82"/>
        <v>0</v>
      </c>
      <c r="AW204" s="86">
        <f t="shared" si="82"/>
        <v>0</v>
      </c>
      <c r="AX204" s="86">
        <f t="shared" si="82"/>
        <v>0</v>
      </c>
      <c r="AY204" s="86">
        <f t="shared" si="82"/>
        <v>0</v>
      </c>
      <c r="AZ204" s="86">
        <f t="shared" si="82"/>
        <v>0</v>
      </c>
    </row>
    <row r="205" spans="1:52" s="25" customFormat="1" ht="15" customHeight="1" outlineLevel="2" x14ac:dyDescent="0.45">
      <c r="A205" s="12">
        <v>4509568682</v>
      </c>
      <c r="B205" s="13">
        <v>10</v>
      </c>
      <c r="C205" s="13" t="s">
        <v>739</v>
      </c>
      <c r="D205" s="14"/>
      <c r="E205" s="14"/>
      <c r="F205" s="15" t="s">
        <v>243</v>
      </c>
      <c r="G205" s="15">
        <v>1014</v>
      </c>
      <c r="H205" s="15" t="s">
        <v>118</v>
      </c>
      <c r="I205" s="15" t="s">
        <v>152</v>
      </c>
      <c r="J205" s="14"/>
      <c r="K205" s="14">
        <v>45185</v>
      </c>
      <c r="L205" s="16" t="s">
        <v>740</v>
      </c>
      <c r="M205" s="14">
        <v>45105</v>
      </c>
      <c r="N205" s="17" t="str">
        <f>+LEFT(L205,5)</f>
        <v>T3K90</v>
      </c>
      <c r="O205" s="18" t="s">
        <v>741</v>
      </c>
      <c r="P205" s="19" t="s">
        <v>246</v>
      </c>
      <c r="Q205" s="20" t="s">
        <v>677</v>
      </c>
      <c r="R205" s="21" t="s">
        <v>225</v>
      </c>
      <c r="S205" s="22">
        <f t="shared" si="80"/>
        <v>358</v>
      </c>
      <c r="T205" s="22">
        <v>1</v>
      </c>
      <c r="U205" s="22">
        <v>2</v>
      </c>
      <c r="V205" s="22">
        <v>1</v>
      </c>
      <c r="W205" s="23">
        <v>1</v>
      </c>
      <c r="X205" s="23">
        <v>1</v>
      </c>
      <c r="Y205" s="23">
        <v>2</v>
      </c>
      <c r="Z205" s="23">
        <v>2</v>
      </c>
      <c r="AA205" s="23">
        <v>11</v>
      </c>
      <c r="AB205" s="23">
        <v>16</v>
      </c>
      <c r="AC205" s="23">
        <v>31</v>
      </c>
      <c r="AD205" s="23">
        <v>33</v>
      </c>
      <c r="AE205" s="23">
        <v>39</v>
      </c>
      <c r="AF205" s="23">
        <v>44</v>
      </c>
      <c r="AG205" s="23">
        <v>52</v>
      </c>
      <c r="AH205" s="23">
        <v>8</v>
      </c>
      <c r="AI205" s="23">
        <v>9</v>
      </c>
      <c r="AJ205" s="23">
        <v>31</v>
      </c>
      <c r="AK205" s="23">
        <v>9</v>
      </c>
      <c r="AL205" s="24">
        <v>2</v>
      </c>
      <c r="AM205" s="24">
        <v>35</v>
      </c>
      <c r="AN205" s="24"/>
      <c r="AO205" s="24">
        <v>15</v>
      </c>
      <c r="AP205" s="24"/>
      <c r="AQ205" s="24">
        <v>5</v>
      </c>
      <c r="AR205" s="24"/>
      <c r="AS205" s="24">
        <v>1</v>
      </c>
      <c r="AT205" s="24"/>
      <c r="AU205" s="24">
        <v>4</v>
      </c>
      <c r="AV205" s="24"/>
      <c r="AW205" s="24">
        <v>3</v>
      </c>
      <c r="AX205" s="24"/>
      <c r="AY205" s="24"/>
      <c r="AZ205" s="24"/>
    </row>
    <row r="206" spans="1:52" s="25" customFormat="1" ht="15" customHeight="1" outlineLevel="2" x14ac:dyDescent="0.45">
      <c r="A206" s="12">
        <v>4509568685</v>
      </c>
      <c r="B206" s="13">
        <v>10</v>
      </c>
      <c r="C206" s="13" t="s">
        <v>742</v>
      </c>
      <c r="D206" s="14"/>
      <c r="E206" s="14"/>
      <c r="F206" s="15" t="s">
        <v>243</v>
      </c>
      <c r="G206" s="15">
        <v>1042</v>
      </c>
      <c r="H206" s="15" t="s">
        <v>151</v>
      </c>
      <c r="I206" s="15" t="s">
        <v>152</v>
      </c>
      <c r="J206" s="14"/>
      <c r="K206" s="14">
        <v>45185</v>
      </c>
      <c r="L206" s="16" t="s">
        <v>743</v>
      </c>
      <c r="M206" s="14">
        <v>45105</v>
      </c>
      <c r="N206" s="17" t="str">
        <f>+LEFT(L206,5)</f>
        <v>T3K90</v>
      </c>
      <c r="O206" s="18" t="s">
        <v>741</v>
      </c>
      <c r="P206" s="19" t="s">
        <v>246</v>
      </c>
      <c r="Q206" s="20" t="s">
        <v>677</v>
      </c>
      <c r="R206" s="21" t="s">
        <v>225</v>
      </c>
      <c r="S206" s="22">
        <f t="shared" si="80"/>
        <v>93</v>
      </c>
      <c r="T206" s="22"/>
      <c r="U206" s="22"/>
      <c r="V206" s="22"/>
      <c r="W206" s="23"/>
      <c r="X206" s="23"/>
      <c r="Y206" s="23">
        <v>1</v>
      </c>
      <c r="Z206" s="23">
        <v>1</v>
      </c>
      <c r="AA206" s="23">
        <v>3</v>
      </c>
      <c r="AB206" s="23">
        <v>3</v>
      </c>
      <c r="AC206" s="23">
        <v>9</v>
      </c>
      <c r="AD206" s="23">
        <v>9</v>
      </c>
      <c r="AE206" s="23">
        <v>13</v>
      </c>
      <c r="AF206" s="23">
        <v>2</v>
      </c>
      <c r="AG206" s="23">
        <v>13</v>
      </c>
      <c r="AH206" s="23">
        <v>2</v>
      </c>
      <c r="AI206" s="23">
        <v>13</v>
      </c>
      <c r="AJ206" s="23">
        <v>7</v>
      </c>
      <c r="AK206" s="23">
        <v>8</v>
      </c>
      <c r="AL206" s="24">
        <v>1</v>
      </c>
      <c r="AM206" s="24">
        <v>6</v>
      </c>
      <c r="AN206" s="24"/>
      <c r="AO206" s="24">
        <v>1</v>
      </c>
      <c r="AP206" s="24"/>
      <c r="AQ206" s="24">
        <v>1</v>
      </c>
      <c r="AR206" s="24"/>
      <c r="AS206" s="24"/>
      <c r="AT206" s="24"/>
      <c r="AU206" s="24"/>
      <c r="AV206" s="24"/>
      <c r="AW206" s="24"/>
      <c r="AX206" s="24"/>
      <c r="AY206" s="24"/>
      <c r="AZ206" s="24"/>
    </row>
    <row r="207" spans="1:52" s="25" customFormat="1" ht="15" customHeight="1" outlineLevel="2" x14ac:dyDescent="0.45">
      <c r="A207" s="12">
        <v>4509568685</v>
      </c>
      <c r="B207" s="13">
        <v>20</v>
      </c>
      <c r="C207" s="13" t="s">
        <v>744</v>
      </c>
      <c r="D207" s="14"/>
      <c r="E207" s="14"/>
      <c r="F207" s="15" t="s">
        <v>243</v>
      </c>
      <c r="G207" s="15">
        <v>1042</v>
      </c>
      <c r="H207" s="15" t="s">
        <v>151</v>
      </c>
      <c r="I207" s="15" t="s">
        <v>152</v>
      </c>
      <c r="J207" s="14"/>
      <c r="K207" s="14">
        <v>45192</v>
      </c>
      <c r="L207" s="16" t="s">
        <v>745</v>
      </c>
      <c r="M207" s="14">
        <v>45105</v>
      </c>
      <c r="N207" s="17" t="str">
        <f>+LEFT(L207,5)</f>
        <v>T3K90</v>
      </c>
      <c r="O207" s="18" t="s">
        <v>741</v>
      </c>
      <c r="P207" s="19" t="s">
        <v>246</v>
      </c>
      <c r="Q207" s="20" t="s">
        <v>677</v>
      </c>
      <c r="R207" s="21" t="s">
        <v>225</v>
      </c>
      <c r="S207" s="22">
        <f t="shared" si="80"/>
        <v>93</v>
      </c>
      <c r="T207" s="22"/>
      <c r="U207" s="22"/>
      <c r="V207" s="22"/>
      <c r="W207" s="23"/>
      <c r="X207" s="23"/>
      <c r="Y207" s="23">
        <v>1</v>
      </c>
      <c r="Z207" s="23">
        <v>1</v>
      </c>
      <c r="AA207" s="23">
        <v>3</v>
      </c>
      <c r="AB207" s="23">
        <v>3</v>
      </c>
      <c r="AC207" s="23">
        <v>9</v>
      </c>
      <c r="AD207" s="23">
        <v>9</v>
      </c>
      <c r="AE207" s="23">
        <v>13</v>
      </c>
      <c r="AF207" s="23">
        <v>2</v>
      </c>
      <c r="AG207" s="23">
        <v>13</v>
      </c>
      <c r="AH207" s="23">
        <v>2</v>
      </c>
      <c r="AI207" s="23">
        <v>13</v>
      </c>
      <c r="AJ207" s="23">
        <v>7</v>
      </c>
      <c r="AK207" s="23">
        <v>8</v>
      </c>
      <c r="AL207" s="24">
        <v>1</v>
      </c>
      <c r="AM207" s="24">
        <v>6</v>
      </c>
      <c r="AN207" s="24"/>
      <c r="AO207" s="24">
        <v>1</v>
      </c>
      <c r="AP207" s="24"/>
      <c r="AQ207" s="24">
        <v>1</v>
      </c>
      <c r="AR207" s="24"/>
      <c r="AS207" s="24"/>
      <c r="AT207" s="24"/>
      <c r="AU207" s="24"/>
      <c r="AV207" s="24"/>
      <c r="AW207" s="24"/>
      <c r="AX207" s="24"/>
      <c r="AY207" s="24"/>
      <c r="AZ207" s="24"/>
    </row>
    <row r="208" spans="1:52" s="26" customFormat="1" ht="15" customHeight="1" outlineLevel="1" x14ac:dyDescent="0.45">
      <c r="A208" s="38"/>
      <c r="B208" s="39"/>
      <c r="C208" s="39"/>
      <c r="D208" s="40"/>
      <c r="E208" s="40"/>
      <c r="F208" s="16"/>
      <c r="G208" s="16"/>
      <c r="H208" s="16"/>
      <c r="I208" s="16"/>
      <c r="J208" s="40"/>
      <c r="K208" s="40"/>
      <c r="L208" s="16"/>
      <c r="M208" s="40"/>
      <c r="N208" s="41" t="s">
        <v>746</v>
      </c>
      <c r="O208" s="42"/>
      <c r="P208" s="43"/>
      <c r="Q208" s="44"/>
      <c r="R208" s="45"/>
      <c r="S208" s="46">
        <f t="shared" ref="S208:AZ208" si="83">SUBTOTAL(9,S205:S207)</f>
        <v>544</v>
      </c>
      <c r="T208" s="46">
        <f t="shared" si="83"/>
        <v>1</v>
      </c>
      <c r="U208" s="46">
        <f t="shared" si="83"/>
        <v>2</v>
      </c>
      <c r="V208" s="46">
        <f t="shared" si="83"/>
        <v>1</v>
      </c>
      <c r="W208" s="85">
        <f t="shared" si="83"/>
        <v>1</v>
      </c>
      <c r="X208" s="85">
        <f t="shared" si="83"/>
        <v>1</v>
      </c>
      <c r="Y208" s="85">
        <f t="shared" si="83"/>
        <v>4</v>
      </c>
      <c r="Z208" s="85">
        <f t="shared" si="83"/>
        <v>4</v>
      </c>
      <c r="AA208" s="85">
        <f t="shared" si="83"/>
        <v>17</v>
      </c>
      <c r="AB208" s="85">
        <f t="shared" si="83"/>
        <v>22</v>
      </c>
      <c r="AC208" s="85">
        <f t="shared" si="83"/>
        <v>49</v>
      </c>
      <c r="AD208" s="85">
        <f t="shared" si="83"/>
        <v>51</v>
      </c>
      <c r="AE208" s="85">
        <f t="shared" si="83"/>
        <v>65</v>
      </c>
      <c r="AF208" s="85">
        <f t="shared" si="83"/>
        <v>48</v>
      </c>
      <c r="AG208" s="85">
        <f t="shared" si="83"/>
        <v>78</v>
      </c>
      <c r="AH208" s="85">
        <f t="shared" si="83"/>
        <v>12</v>
      </c>
      <c r="AI208" s="85">
        <f t="shared" si="83"/>
        <v>35</v>
      </c>
      <c r="AJ208" s="85">
        <f t="shared" si="83"/>
        <v>45</v>
      </c>
      <c r="AK208" s="85">
        <f t="shared" si="83"/>
        <v>25</v>
      </c>
      <c r="AL208" s="86">
        <f t="shared" si="83"/>
        <v>4</v>
      </c>
      <c r="AM208" s="86">
        <f t="shared" si="83"/>
        <v>47</v>
      </c>
      <c r="AN208" s="86">
        <f t="shared" si="83"/>
        <v>0</v>
      </c>
      <c r="AO208" s="86">
        <f t="shared" si="83"/>
        <v>17</v>
      </c>
      <c r="AP208" s="86">
        <f t="shared" si="83"/>
        <v>0</v>
      </c>
      <c r="AQ208" s="86">
        <f t="shared" si="83"/>
        <v>7</v>
      </c>
      <c r="AR208" s="86">
        <f t="shared" si="83"/>
        <v>0</v>
      </c>
      <c r="AS208" s="86">
        <f t="shared" si="83"/>
        <v>1</v>
      </c>
      <c r="AT208" s="86">
        <f t="shared" si="83"/>
        <v>0</v>
      </c>
      <c r="AU208" s="86">
        <f t="shared" si="83"/>
        <v>4</v>
      </c>
      <c r="AV208" s="86">
        <f t="shared" si="83"/>
        <v>0</v>
      </c>
      <c r="AW208" s="86">
        <f t="shared" si="83"/>
        <v>3</v>
      </c>
      <c r="AX208" s="86">
        <f t="shared" si="83"/>
        <v>0</v>
      </c>
      <c r="AY208" s="86">
        <f t="shared" si="83"/>
        <v>0</v>
      </c>
      <c r="AZ208" s="86">
        <f t="shared" si="83"/>
        <v>0</v>
      </c>
    </row>
    <row r="209" spans="1:52" s="25" customFormat="1" ht="15" customHeight="1" outlineLevel="2" x14ac:dyDescent="0.45">
      <c r="A209" s="12">
        <v>3503414605</v>
      </c>
      <c r="B209" s="13">
        <v>10</v>
      </c>
      <c r="C209" s="13" t="s">
        <v>747</v>
      </c>
      <c r="D209" s="14"/>
      <c r="E209" s="14"/>
      <c r="F209" s="15" t="s">
        <v>243</v>
      </c>
      <c r="G209" s="15">
        <v>1024</v>
      </c>
      <c r="H209" s="15" t="s">
        <v>355</v>
      </c>
      <c r="I209" s="15" t="s">
        <v>98</v>
      </c>
      <c r="J209" s="14"/>
      <c r="K209" s="14">
        <v>45192</v>
      </c>
      <c r="L209" s="16" t="s">
        <v>748</v>
      </c>
      <c r="M209" s="14">
        <v>45105</v>
      </c>
      <c r="N209" s="17" t="str">
        <f>+LEFT(L209,5)</f>
        <v>T3K91</v>
      </c>
      <c r="O209" s="18" t="s">
        <v>245</v>
      </c>
      <c r="P209" s="19" t="s">
        <v>246</v>
      </c>
      <c r="Q209" s="20" t="s">
        <v>677</v>
      </c>
      <c r="R209" s="21" t="s">
        <v>225</v>
      </c>
      <c r="S209" s="22">
        <f t="shared" si="80"/>
        <v>318</v>
      </c>
      <c r="T209" s="22"/>
      <c r="U209" s="22"/>
      <c r="V209" s="22"/>
      <c r="W209" s="23"/>
      <c r="X209" s="23"/>
      <c r="Y209" s="23"/>
      <c r="Z209" s="23"/>
      <c r="AA209" s="23">
        <v>6</v>
      </c>
      <c r="AB209" s="23">
        <v>6</v>
      </c>
      <c r="AC209" s="23">
        <v>30</v>
      </c>
      <c r="AD209" s="23">
        <v>24</v>
      </c>
      <c r="AE209" s="23">
        <v>54</v>
      </c>
      <c r="AF209" s="23">
        <v>42</v>
      </c>
      <c r="AG209" s="23">
        <v>54</v>
      </c>
      <c r="AH209" s="23">
        <v>30</v>
      </c>
      <c r="AI209" s="23">
        <v>36</v>
      </c>
      <c r="AJ209" s="23">
        <v>6</v>
      </c>
      <c r="AK209" s="23">
        <v>18</v>
      </c>
      <c r="AL209" s="24"/>
      <c r="AM209" s="24">
        <v>12</v>
      </c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</row>
    <row r="210" spans="1:52" s="25" customFormat="1" ht="15" customHeight="1" outlineLevel="2" x14ac:dyDescent="0.45">
      <c r="A210" s="12">
        <v>3503412174</v>
      </c>
      <c r="B210" s="13">
        <v>10</v>
      </c>
      <c r="C210" s="13" t="s">
        <v>749</v>
      </c>
      <c r="D210" s="14"/>
      <c r="E210" s="14"/>
      <c r="F210" s="15" t="s">
        <v>243</v>
      </c>
      <c r="G210" s="15">
        <v>1041</v>
      </c>
      <c r="H210" s="15" t="s">
        <v>221</v>
      </c>
      <c r="I210" s="15" t="s">
        <v>98</v>
      </c>
      <c r="J210" s="14"/>
      <c r="K210" s="14">
        <v>45185</v>
      </c>
      <c r="L210" s="16" t="s">
        <v>750</v>
      </c>
      <c r="M210" s="14">
        <v>45105</v>
      </c>
      <c r="N210" s="17" t="str">
        <f>+LEFT(L210,5)</f>
        <v>T3K91</v>
      </c>
      <c r="O210" s="18" t="s">
        <v>245</v>
      </c>
      <c r="P210" s="19" t="s">
        <v>246</v>
      </c>
      <c r="Q210" s="20" t="s">
        <v>677</v>
      </c>
      <c r="R210" s="21" t="s">
        <v>225</v>
      </c>
      <c r="S210" s="22">
        <f t="shared" si="80"/>
        <v>1920</v>
      </c>
      <c r="T210" s="22"/>
      <c r="U210" s="22"/>
      <c r="V210" s="22"/>
      <c r="W210" s="23"/>
      <c r="X210" s="23">
        <v>6</v>
      </c>
      <c r="Y210" s="23"/>
      <c r="Z210" s="23"/>
      <c r="AA210" s="23">
        <v>54</v>
      </c>
      <c r="AB210" s="23">
        <v>66</v>
      </c>
      <c r="AC210" s="23">
        <v>252</v>
      </c>
      <c r="AD210" s="23">
        <v>198</v>
      </c>
      <c r="AE210" s="23">
        <v>324</v>
      </c>
      <c r="AF210" s="23">
        <v>204</v>
      </c>
      <c r="AG210" s="23">
        <v>282</v>
      </c>
      <c r="AH210" s="23">
        <v>150</v>
      </c>
      <c r="AI210" s="23">
        <v>192</v>
      </c>
      <c r="AJ210" s="23">
        <v>60</v>
      </c>
      <c r="AK210" s="23">
        <v>114</v>
      </c>
      <c r="AL210" s="24"/>
      <c r="AM210" s="24">
        <v>18</v>
      </c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</row>
    <row r="211" spans="1:52" s="25" customFormat="1" ht="15" customHeight="1" outlineLevel="2" x14ac:dyDescent="0.45">
      <c r="A211" s="12">
        <v>4509552014</v>
      </c>
      <c r="B211" s="13">
        <v>10</v>
      </c>
      <c r="C211" s="13" t="s">
        <v>751</v>
      </c>
      <c r="D211" s="14"/>
      <c r="E211" s="14"/>
      <c r="F211" s="15" t="s">
        <v>243</v>
      </c>
      <c r="G211" s="15">
        <v>1090</v>
      </c>
      <c r="H211" s="15" t="s">
        <v>752</v>
      </c>
      <c r="I211" s="15" t="s">
        <v>98</v>
      </c>
      <c r="J211" s="14"/>
      <c r="K211" s="14">
        <v>45192</v>
      </c>
      <c r="L211" s="16" t="s">
        <v>753</v>
      </c>
      <c r="M211" s="14">
        <v>45105</v>
      </c>
      <c r="N211" s="17" t="str">
        <f>+LEFT(L211,5)</f>
        <v>T3K91</v>
      </c>
      <c r="O211" s="18" t="s">
        <v>245</v>
      </c>
      <c r="P211" s="19" t="s">
        <v>246</v>
      </c>
      <c r="Q211" s="20" t="s">
        <v>677</v>
      </c>
      <c r="R211" s="21" t="s">
        <v>225</v>
      </c>
      <c r="S211" s="22">
        <f t="shared" si="80"/>
        <v>576</v>
      </c>
      <c r="T211" s="22"/>
      <c r="U211" s="22"/>
      <c r="V211" s="22"/>
      <c r="W211" s="23"/>
      <c r="X211" s="23"/>
      <c r="Y211" s="23"/>
      <c r="Z211" s="23">
        <v>6</v>
      </c>
      <c r="AA211" s="23">
        <v>18</v>
      </c>
      <c r="AB211" s="23">
        <v>18</v>
      </c>
      <c r="AC211" s="23">
        <v>42</v>
      </c>
      <c r="AD211" s="23">
        <v>78</v>
      </c>
      <c r="AE211" s="23">
        <v>90</v>
      </c>
      <c r="AF211" s="23">
        <v>90</v>
      </c>
      <c r="AG211" s="23">
        <v>72</v>
      </c>
      <c r="AH211" s="23">
        <v>60</v>
      </c>
      <c r="AI211" s="23">
        <v>42</v>
      </c>
      <c r="AJ211" s="23">
        <v>12</v>
      </c>
      <c r="AK211" s="23">
        <v>24</v>
      </c>
      <c r="AL211" s="24">
        <v>6</v>
      </c>
      <c r="AM211" s="24">
        <v>6</v>
      </c>
      <c r="AN211" s="24">
        <v>6</v>
      </c>
      <c r="AO211" s="24">
        <v>6</v>
      </c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</row>
    <row r="212" spans="1:52" s="25" customFormat="1" ht="15" customHeight="1" outlineLevel="2" x14ac:dyDescent="0.45">
      <c r="A212" s="12">
        <v>3503411501</v>
      </c>
      <c r="B212" s="13">
        <v>10</v>
      </c>
      <c r="C212" s="13" t="s">
        <v>754</v>
      </c>
      <c r="D212" s="14"/>
      <c r="E212" s="14"/>
      <c r="F212" s="15" t="s">
        <v>243</v>
      </c>
      <c r="G212" s="15">
        <v>1036</v>
      </c>
      <c r="H212" s="15" t="s">
        <v>231</v>
      </c>
      <c r="I212" s="15" t="s">
        <v>98</v>
      </c>
      <c r="J212" s="14"/>
      <c r="K212" s="14">
        <v>45199</v>
      </c>
      <c r="L212" s="16" t="s">
        <v>755</v>
      </c>
      <c r="M212" s="14">
        <v>45105</v>
      </c>
      <c r="N212" s="17" t="str">
        <f>+LEFT(L212,5)</f>
        <v>T3K91</v>
      </c>
      <c r="O212" s="18" t="s">
        <v>245</v>
      </c>
      <c r="P212" s="19" t="s">
        <v>246</v>
      </c>
      <c r="Q212" s="20" t="s">
        <v>677</v>
      </c>
      <c r="R212" s="21" t="s">
        <v>225</v>
      </c>
      <c r="S212" s="22">
        <f t="shared" si="80"/>
        <v>366</v>
      </c>
      <c r="T212" s="22"/>
      <c r="U212" s="22"/>
      <c r="V212" s="22"/>
      <c r="W212" s="23"/>
      <c r="X212" s="23"/>
      <c r="Y212" s="23">
        <v>6</v>
      </c>
      <c r="Z212" s="23">
        <v>6</v>
      </c>
      <c r="AA212" s="23">
        <v>12</v>
      </c>
      <c r="AB212" s="23">
        <v>6</v>
      </c>
      <c r="AC212" s="23">
        <v>42</v>
      </c>
      <c r="AD212" s="23">
        <v>12</v>
      </c>
      <c r="AE212" s="23">
        <v>60</v>
      </c>
      <c r="AF212" s="23">
        <v>24</v>
      </c>
      <c r="AG212" s="23">
        <v>66</v>
      </c>
      <c r="AH212" s="23">
        <v>18</v>
      </c>
      <c r="AI212" s="23">
        <v>48</v>
      </c>
      <c r="AJ212" s="23">
        <v>6</v>
      </c>
      <c r="AK212" s="23">
        <v>30</v>
      </c>
      <c r="AL212" s="24">
        <v>6</v>
      </c>
      <c r="AM212" s="24">
        <v>18</v>
      </c>
      <c r="AN212" s="24"/>
      <c r="AO212" s="24">
        <v>6</v>
      </c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</row>
    <row r="213" spans="1:52" s="26" customFormat="1" ht="15" customHeight="1" outlineLevel="1" x14ac:dyDescent="0.45">
      <c r="A213" s="38"/>
      <c r="B213" s="39"/>
      <c r="C213" s="39"/>
      <c r="D213" s="40"/>
      <c r="E213" s="40"/>
      <c r="F213" s="16"/>
      <c r="G213" s="16"/>
      <c r="H213" s="16"/>
      <c r="I213" s="16"/>
      <c r="J213" s="40"/>
      <c r="K213" s="40"/>
      <c r="L213" s="16"/>
      <c r="M213" s="40"/>
      <c r="N213" s="41" t="s">
        <v>756</v>
      </c>
      <c r="O213" s="42"/>
      <c r="P213" s="43"/>
      <c r="Q213" s="44"/>
      <c r="R213" s="45"/>
      <c r="S213" s="46">
        <f t="shared" ref="S213:AZ213" si="84">SUBTOTAL(9,S209:S212)</f>
        <v>3180</v>
      </c>
      <c r="T213" s="46">
        <f t="shared" si="84"/>
        <v>0</v>
      </c>
      <c r="U213" s="46">
        <f t="shared" si="84"/>
        <v>0</v>
      </c>
      <c r="V213" s="46">
        <f t="shared" si="84"/>
        <v>0</v>
      </c>
      <c r="W213" s="85">
        <f t="shared" si="84"/>
        <v>0</v>
      </c>
      <c r="X213" s="85">
        <f t="shared" si="84"/>
        <v>6</v>
      </c>
      <c r="Y213" s="85">
        <f t="shared" si="84"/>
        <v>6</v>
      </c>
      <c r="Z213" s="85">
        <f t="shared" si="84"/>
        <v>12</v>
      </c>
      <c r="AA213" s="85">
        <f t="shared" si="84"/>
        <v>90</v>
      </c>
      <c r="AB213" s="85">
        <f t="shared" si="84"/>
        <v>96</v>
      </c>
      <c r="AC213" s="85">
        <f t="shared" si="84"/>
        <v>366</v>
      </c>
      <c r="AD213" s="85">
        <f t="shared" si="84"/>
        <v>312</v>
      </c>
      <c r="AE213" s="85">
        <f t="shared" si="84"/>
        <v>528</v>
      </c>
      <c r="AF213" s="85">
        <f t="shared" si="84"/>
        <v>360</v>
      </c>
      <c r="AG213" s="85">
        <f t="shared" si="84"/>
        <v>474</v>
      </c>
      <c r="AH213" s="85">
        <f t="shared" si="84"/>
        <v>258</v>
      </c>
      <c r="AI213" s="85">
        <f t="shared" si="84"/>
        <v>318</v>
      </c>
      <c r="AJ213" s="85">
        <f t="shared" si="84"/>
        <v>84</v>
      </c>
      <c r="AK213" s="85">
        <f t="shared" si="84"/>
        <v>186</v>
      </c>
      <c r="AL213" s="86">
        <f t="shared" si="84"/>
        <v>12</v>
      </c>
      <c r="AM213" s="86">
        <f t="shared" si="84"/>
        <v>54</v>
      </c>
      <c r="AN213" s="86">
        <f t="shared" si="84"/>
        <v>6</v>
      </c>
      <c r="AO213" s="86">
        <f t="shared" si="84"/>
        <v>12</v>
      </c>
      <c r="AP213" s="86">
        <f t="shared" si="84"/>
        <v>0</v>
      </c>
      <c r="AQ213" s="86">
        <f t="shared" si="84"/>
        <v>0</v>
      </c>
      <c r="AR213" s="86">
        <f t="shared" si="84"/>
        <v>0</v>
      </c>
      <c r="AS213" s="86">
        <f t="shared" si="84"/>
        <v>0</v>
      </c>
      <c r="AT213" s="86">
        <f t="shared" si="84"/>
        <v>0</v>
      </c>
      <c r="AU213" s="86">
        <f t="shared" si="84"/>
        <v>0</v>
      </c>
      <c r="AV213" s="86">
        <f t="shared" si="84"/>
        <v>0</v>
      </c>
      <c r="AW213" s="86">
        <f t="shared" si="84"/>
        <v>0</v>
      </c>
      <c r="AX213" s="86">
        <f t="shared" si="84"/>
        <v>0</v>
      </c>
      <c r="AY213" s="86">
        <f t="shared" si="84"/>
        <v>0</v>
      </c>
      <c r="AZ213" s="86">
        <f t="shared" si="84"/>
        <v>0</v>
      </c>
    </row>
    <row r="214" spans="1:52" s="25" customFormat="1" ht="15" customHeight="1" outlineLevel="2" x14ac:dyDescent="0.45">
      <c r="A214" s="12">
        <v>3503412174</v>
      </c>
      <c r="B214" s="13">
        <v>30</v>
      </c>
      <c r="C214" s="13" t="s">
        <v>757</v>
      </c>
      <c r="D214" s="14"/>
      <c r="E214" s="14"/>
      <c r="F214" s="15" t="s">
        <v>243</v>
      </c>
      <c r="G214" s="15">
        <v>1041</v>
      </c>
      <c r="H214" s="15" t="s">
        <v>221</v>
      </c>
      <c r="I214" s="15" t="s">
        <v>98</v>
      </c>
      <c r="J214" s="14"/>
      <c r="K214" s="14">
        <v>45206</v>
      </c>
      <c r="L214" s="16" t="s">
        <v>758</v>
      </c>
      <c r="M214" s="14">
        <v>45105</v>
      </c>
      <c r="N214" s="17" t="str">
        <f>+LEFT(L214,5)</f>
        <v>T3K92</v>
      </c>
      <c r="O214" s="18" t="s">
        <v>245</v>
      </c>
      <c r="P214" s="19" t="s">
        <v>246</v>
      </c>
      <c r="Q214" s="20" t="s">
        <v>677</v>
      </c>
      <c r="R214" s="21" t="s">
        <v>225</v>
      </c>
      <c r="S214" s="22">
        <f t="shared" si="80"/>
        <v>144</v>
      </c>
      <c r="T214" s="22"/>
      <c r="U214" s="22"/>
      <c r="V214" s="22"/>
      <c r="W214" s="23"/>
      <c r="X214" s="23"/>
      <c r="Y214" s="23"/>
      <c r="Z214" s="23"/>
      <c r="AA214" s="23">
        <v>6</v>
      </c>
      <c r="AB214" s="23">
        <v>6</v>
      </c>
      <c r="AC214" s="23">
        <v>12</v>
      </c>
      <c r="AD214" s="23">
        <v>12</v>
      </c>
      <c r="AE214" s="23">
        <v>24</v>
      </c>
      <c r="AF214" s="23">
        <v>18</v>
      </c>
      <c r="AG214" s="23">
        <v>24</v>
      </c>
      <c r="AH214" s="23">
        <v>18</v>
      </c>
      <c r="AI214" s="23">
        <v>12</v>
      </c>
      <c r="AJ214" s="23"/>
      <c r="AK214" s="23">
        <v>12</v>
      </c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</row>
    <row r="215" spans="1:52" s="26" customFormat="1" ht="15" customHeight="1" outlineLevel="1" x14ac:dyDescent="0.45">
      <c r="A215" s="38"/>
      <c r="B215" s="39"/>
      <c r="C215" s="39"/>
      <c r="D215" s="40"/>
      <c r="E215" s="40"/>
      <c r="F215" s="16"/>
      <c r="G215" s="16"/>
      <c r="H215" s="16"/>
      <c r="I215" s="16"/>
      <c r="J215" s="40"/>
      <c r="K215" s="40"/>
      <c r="L215" s="16"/>
      <c r="M215" s="40"/>
      <c r="N215" s="41" t="s">
        <v>759</v>
      </c>
      <c r="O215" s="42"/>
      <c r="P215" s="43"/>
      <c r="Q215" s="44"/>
      <c r="R215" s="45"/>
      <c r="S215" s="46">
        <f t="shared" ref="S215:AZ215" si="85">SUBTOTAL(9,S214:S214)</f>
        <v>144</v>
      </c>
      <c r="T215" s="46">
        <f t="shared" si="85"/>
        <v>0</v>
      </c>
      <c r="U215" s="46">
        <f t="shared" si="85"/>
        <v>0</v>
      </c>
      <c r="V215" s="46">
        <f t="shared" si="85"/>
        <v>0</v>
      </c>
      <c r="W215" s="85">
        <f t="shared" si="85"/>
        <v>0</v>
      </c>
      <c r="X215" s="85">
        <f t="shared" si="85"/>
        <v>0</v>
      </c>
      <c r="Y215" s="85">
        <f t="shared" si="85"/>
        <v>0</v>
      </c>
      <c r="Z215" s="85">
        <f t="shared" si="85"/>
        <v>0</v>
      </c>
      <c r="AA215" s="85">
        <f t="shared" si="85"/>
        <v>6</v>
      </c>
      <c r="AB215" s="85">
        <f t="shared" si="85"/>
        <v>6</v>
      </c>
      <c r="AC215" s="85">
        <f t="shared" si="85"/>
        <v>12</v>
      </c>
      <c r="AD215" s="85">
        <f t="shared" si="85"/>
        <v>12</v>
      </c>
      <c r="AE215" s="85">
        <f t="shared" si="85"/>
        <v>24</v>
      </c>
      <c r="AF215" s="85">
        <f t="shared" si="85"/>
        <v>18</v>
      </c>
      <c r="AG215" s="85">
        <f t="shared" si="85"/>
        <v>24</v>
      </c>
      <c r="AH215" s="85">
        <f t="shared" si="85"/>
        <v>18</v>
      </c>
      <c r="AI215" s="85">
        <f t="shared" si="85"/>
        <v>12</v>
      </c>
      <c r="AJ215" s="85">
        <f t="shared" si="85"/>
        <v>0</v>
      </c>
      <c r="AK215" s="85">
        <f t="shared" si="85"/>
        <v>12</v>
      </c>
      <c r="AL215" s="86">
        <f t="shared" si="85"/>
        <v>0</v>
      </c>
      <c r="AM215" s="86">
        <f t="shared" si="85"/>
        <v>0</v>
      </c>
      <c r="AN215" s="86">
        <f t="shared" si="85"/>
        <v>0</v>
      </c>
      <c r="AO215" s="86">
        <f t="shared" si="85"/>
        <v>0</v>
      </c>
      <c r="AP215" s="86">
        <f t="shared" si="85"/>
        <v>0</v>
      </c>
      <c r="AQ215" s="86">
        <f t="shared" si="85"/>
        <v>0</v>
      </c>
      <c r="AR215" s="86">
        <f t="shared" si="85"/>
        <v>0</v>
      </c>
      <c r="AS215" s="86">
        <f t="shared" si="85"/>
        <v>0</v>
      </c>
      <c r="AT215" s="86">
        <f t="shared" si="85"/>
        <v>0</v>
      </c>
      <c r="AU215" s="86">
        <f t="shared" si="85"/>
        <v>0</v>
      </c>
      <c r="AV215" s="86">
        <f t="shared" si="85"/>
        <v>0</v>
      </c>
      <c r="AW215" s="86">
        <f t="shared" si="85"/>
        <v>0</v>
      </c>
      <c r="AX215" s="86">
        <f t="shared" si="85"/>
        <v>0</v>
      </c>
      <c r="AY215" s="86">
        <f t="shared" si="85"/>
        <v>0</v>
      </c>
      <c r="AZ215" s="86">
        <f t="shared" si="85"/>
        <v>0</v>
      </c>
    </row>
    <row r="216" spans="1:52" s="25" customFormat="1" ht="15" customHeight="1" outlineLevel="2" x14ac:dyDescent="0.45">
      <c r="A216" s="12">
        <v>4509568682</v>
      </c>
      <c r="B216" s="13">
        <v>20</v>
      </c>
      <c r="C216" s="13" t="s">
        <v>760</v>
      </c>
      <c r="D216" s="14"/>
      <c r="E216" s="14" t="s">
        <v>165</v>
      </c>
      <c r="F216" s="15" t="s">
        <v>243</v>
      </c>
      <c r="G216" s="15">
        <v>1014</v>
      </c>
      <c r="H216" s="15" t="s">
        <v>118</v>
      </c>
      <c r="I216" s="15" t="s">
        <v>152</v>
      </c>
      <c r="J216" s="14"/>
      <c r="K216" s="14">
        <v>45185</v>
      </c>
      <c r="L216" s="16" t="s">
        <v>761</v>
      </c>
      <c r="M216" s="14">
        <v>45105</v>
      </c>
      <c r="N216" s="17" t="str">
        <f>+LEFT(L216,5)</f>
        <v>T3K93</v>
      </c>
      <c r="O216" s="18" t="s">
        <v>252</v>
      </c>
      <c r="P216" s="19" t="s">
        <v>246</v>
      </c>
      <c r="Q216" s="20" t="s">
        <v>677</v>
      </c>
      <c r="R216" s="21" t="s">
        <v>225</v>
      </c>
      <c r="S216" s="22">
        <f t="shared" si="80"/>
        <v>353</v>
      </c>
      <c r="T216" s="22"/>
      <c r="U216" s="22">
        <v>1</v>
      </c>
      <c r="V216" s="22">
        <v>1</v>
      </c>
      <c r="W216" s="23">
        <v>1</v>
      </c>
      <c r="X216" s="23">
        <v>2</v>
      </c>
      <c r="Y216" s="23">
        <v>3</v>
      </c>
      <c r="Z216" s="23">
        <v>3</v>
      </c>
      <c r="AA216" s="23">
        <v>10</v>
      </c>
      <c r="AB216" s="23">
        <v>17</v>
      </c>
      <c r="AC216" s="23">
        <v>26</v>
      </c>
      <c r="AD216" s="23">
        <v>28</v>
      </c>
      <c r="AE216" s="23">
        <v>32</v>
      </c>
      <c r="AF216" s="23">
        <v>33</v>
      </c>
      <c r="AG216" s="23">
        <v>36</v>
      </c>
      <c r="AH216" s="23">
        <v>34</v>
      </c>
      <c r="AI216" s="23">
        <v>35</v>
      </c>
      <c r="AJ216" s="23">
        <v>21</v>
      </c>
      <c r="AK216" s="23">
        <v>30</v>
      </c>
      <c r="AL216" s="24">
        <v>3</v>
      </c>
      <c r="AM216" s="24">
        <v>24</v>
      </c>
      <c r="AN216" s="24"/>
      <c r="AO216" s="24">
        <v>9</v>
      </c>
      <c r="AP216" s="24"/>
      <c r="AQ216" s="24">
        <v>3</v>
      </c>
      <c r="AR216" s="24"/>
      <c r="AS216" s="24">
        <v>1</v>
      </c>
      <c r="AT216" s="24"/>
      <c r="AU216" s="24"/>
      <c r="AV216" s="24"/>
      <c r="AW216" s="24"/>
      <c r="AX216" s="24"/>
      <c r="AY216" s="24"/>
      <c r="AZ216" s="24"/>
    </row>
    <row r="217" spans="1:52" s="25" customFormat="1" ht="15" customHeight="1" outlineLevel="2" x14ac:dyDescent="0.45">
      <c r="A217" s="12">
        <v>4509568685</v>
      </c>
      <c r="B217" s="13">
        <v>30</v>
      </c>
      <c r="C217" s="13" t="s">
        <v>762</v>
      </c>
      <c r="D217" s="14"/>
      <c r="E217" s="14" t="s">
        <v>165</v>
      </c>
      <c r="F217" s="15" t="s">
        <v>243</v>
      </c>
      <c r="G217" s="15">
        <v>1042</v>
      </c>
      <c r="H217" s="15" t="s">
        <v>151</v>
      </c>
      <c r="I217" s="15" t="s">
        <v>152</v>
      </c>
      <c r="J217" s="14"/>
      <c r="K217" s="14">
        <v>45185</v>
      </c>
      <c r="L217" s="16" t="s">
        <v>763</v>
      </c>
      <c r="M217" s="14">
        <v>45105</v>
      </c>
      <c r="N217" s="17" t="str">
        <f>+LEFT(L217,5)</f>
        <v>T3K93</v>
      </c>
      <c r="O217" s="18" t="s">
        <v>252</v>
      </c>
      <c r="P217" s="19" t="s">
        <v>246</v>
      </c>
      <c r="Q217" s="20" t="s">
        <v>677</v>
      </c>
      <c r="R217" s="21" t="s">
        <v>225</v>
      </c>
      <c r="S217" s="22">
        <f t="shared" si="80"/>
        <v>150</v>
      </c>
      <c r="T217" s="22"/>
      <c r="U217" s="22"/>
      <c r="V217" s="22"/>
      <c r="W217" s="23"/>
      <c r="X217" s="23">
        <v>1</v>
      </c>
      <c r="Y217" s="23">
        <v>1</v>
      </c>
      <c r="Z217" s="23">
        <v>1</v>
      </c>
      <c r="AA217" s="23">
        <v>3</v>
      </c>
      <c r="AB217" s="23">
        <v>3</v>
      </c>
      <c r="AC217" s="23">
        <v>11</v>
      </c>
      <c r="AD217" s="23">
        <v>12</v>
      </c>
      <c r="AE217" s="23">
        <v>17</v>
      </c>
      <c r="AF217" s="23">
        <v>16</v>
      </c>
      <c r="AG217" s="23">
        <v>19</v>
      </c>
      <c r="AH217" s="23">
        <v>17</v>
      </c>
      <c r="AI217" s="23">
        <v>17</v>
      </c>
      <c r="AJ217" s="23">
        <v>8</v>
      </c>
      <c r="AK217" s="23">
        <v>12</v>
      </c>
      <c r="AL217" s="24">
        <v>2</v>
      </c>
      <c r="AM217" s="24">
        <v>8</v>
      </c>
      <c r="AN217" s="24"/>
      <c r="AO217" s="24">
        <v>1</v>
      </c>
      <c r="AP217" s="24"/>
      <c r="AQ217" s="24">
        <v>1</v>
      </c>
      <c r="AR217" s="24"/>
      <c r="AS217" s="24"/>
      <c r="AT217" s="24"/>
      <c r="AU217" s="24"/>
      <c r="AV217" s="24"/>
      <c r="AW217" s="24"/>
      <c r="AX217" s="24"/>
      <c r="AY217" s="24"/>
      <c r="AZ217" s="24"/>
    </row>
    <row r="218" spans="1:52" s="25" customFormat="1" ht="15" customHeight="1" outlineLevel="2" x14ac:dyDescent="0.45">
      <c r="A218" s="12">
        <v>4509568685</v>
      </c>
      <c r="B218" s="13">
        <v>40</v>
      </c>
      <c r="C218" s="13" t="s">
        <v>764</v>
      </c>
      <c r="D218" s="14"/>
      <c r="E218" s="14" t="s">
        <v>165</v>
      </c>
      <c r="F218" s="15" t="s">
        <v>243</v>
      </c>
      <c r="G218" s="15">
        <v>1042</v>
      </c>
      <c r="H218" s="15" t="s">
        <v>151</v>
      </c>
      <c r="I218" s="15" t="s">
        <v>152</v>
      </c>
      <c r="J218" s="14"/>
      <c r="K218" s="14">
        <v>45192</v>
      </c>
      <c r="L218" s="16" t="s">
        <v>765</v>
      </c>
      <c r="M218" s="14">
        <v>45105</v>
      </c>
      <c r="N218" s="17" t="str">
        <f>+LEFT(L218,5)</f>
        <v>T3K93</v>
      </c>
      <c r="O218" s="18" t="s">
        <v>252</v>
      </c>
      <c r="P218" s="19" t="s">
        <v>246</v>
      </c>
      <c r="Q218" s="20" t="s">
        <v>677</v>
      </c>
      <c r="R218" s="21" t="s">
        <v>225</v>
      </c>
      <c r="S218" s="22">
        <f t="shared" si="80"/>
        <v>150</v>
      </c>
      <c r="T218" s="22"/>
      <c r="U218" s="22"/>
      <c r="V218" s="22"/>
      <c r="W218" s="23"/>
      <c r="X218" s="23">
        <v>1</v>
      </c>
      <c r="Y218" s="23">
        <v>1</v>
      </c>
      <c r="Z218" s="23">
        <v>1</v>
      </c>
      <c r="AA218" s="23">
        <v>3</v>
      </c>
      <c r="AB218" s="23">
        <v>3</v>
      </c>
      <c r="AC218" s="23">
        <v>11</v>
      </c>
      <c r="AD218" s="23">
        <v>12</v>
      </c>
      <c r="AE218" s="23">
        <v>17</v>
      </c>
      <c r="AF218" s="23">
        <v>16</v>
      </c>
      <c r="AG218" s="23">
        <v>19</v>
      </c>
      <c r="AH218" s="23">
        <v>17</v>
      </c>
      <c r="AI218" s="23">
        <v>17</v>
      </c>
      <c r="AJ218" s="23">
        <v>8</v>
      </c>
      <c r="AK218" s="23">
        <v>12</v>
      </c>
      <c r="AL218" s="24">
        <v>2</v>
      </c>
      <c r="AM218" s="24">
        <v>8</v>
      </c>
      <c r="AN218" s="24"/>
      <c r="AO218" s="24">
        <v>1</v>
      </c>
      <c r="AP218" s="24"/>
      <c r="AQ218" s="24">
        <v>1</v>
      </c>
      <c r="AR218" s="24"/>
      <c r="AS218" s="24"/>
      <c r="AT218" s="24"/>
      <c r="AU218" s="24"/>
      <c r="AV218" s="24"/>
      <c r="AW218" s="24"/>
      <c r="AX218" s="24"/>
      <c r="AY218" s="24"/>
      <c r="AZ218" s="24"/>
    </row>
    <row r="219" spans="1:52" s="26" customFormat="1" ht="15" customHeight="1" outlineLevel="1" x14ac:dyDescent="0.45">
      <c r="A219" s="38"/>
      <c r="B219" s="39"/>
      <c r="C219" s="39"/>
      <c r="D219" s="40"/>
      <c r="E219" s="40"/>
      <c r="F219" s="16"/>
      <c r="G219" s="16"/>
      <c r="H219" s="16"/>
      <c r="I219" s="16"/>
      <c r="J219" s="40"/>
      <c r="K219" s="40"/>
      <c r="L219" s="16"/>
      <c r="M219" s="40"/>
      <c r="N219" s="41" t="s">
        <v>766</v>
      </c>
      <c r="O219" s="42"/>
      <c r="P219" s="43"/>
      <c r="Q219" s="44"/>
      <c r="R219" s="45"/>
      <c r="S219" s="46">
        <f t="shared" ref="S219:AZ219" si="86">SUBTOTAL(9,S216:S218)</f>
        <v>653</v>
      </c>
      <c r="T219" s="46">
        <f t="shared" si="86"/>
        <v>0</v>
      </c>
      <c r="U219" s="46">
        <f t="shared" si="86"/>
        <v>1</v>
      </c>
      <c r="V219" s="46">
        <f t="shared" si="86"/>
        <v>1</v>
      </c>
      <c r="W219" s="85">
        <f t="shared" si="86"/>
        <v>1</v>
      </c>
      <c r="X219" s="85">
        <f t="shared" si="86"/>
        <v>4</v>
      </c>
      <c r="Y219" s="85">
        <f t="shared" si="86"/>
        <v>5</v>
      </c>
      <c r="Z219" s="85">
        <f t="shared" si="86"/>
        <v>5</v>
      </c>
      <c r="AA219" s="85">
        <f t="shared" si="86"/>
        <v>16</v>
      </c>
      <c r="AB219" s="85">
        <f t="shared" si="86"/>
        <v>23</v>
      </c>
      <c r="AC219" s="85">
        <f t="shared" si="86"/>
        <v>48</v>
      </c>
      <c r="AD219" s="85">
        <f t="shared" si="86"/>
        <v>52</v>
      </c>
      <c r="AE219" s="85">
        <f t="shared" si="86"/>
        <v>66</v>
      </c>
      <c r="AF219" s="85">
        <f t="shared" si="86"/>
        <v>65</v>
      </c>
      <c r="AG219" s="85">
        <f t="shared" si="86"/>
        <v>74</v>
      </c>
      <c r="AH219" s="85">
        <f t="shared" si="86"/>
        <v>68</v>
      </c>
      <c r="AI219" s="85">
        <f t="shared" si="86"/>
        <v>69</v>
      </c>
      <c r="AJ219" s="85">
        <f t="shared" si="86"/>
        <v>37</v>
      </c>
      <c r="AK219" s="85">
        <f t="shared" si="86"/>
        <v>54</v>
      </c>
      <c r="AL219" s="86">
        <f t="shared" si="86"/>
        <v>7</v>
      </c>
      <c r="AM219" s="86">
        <f t="shared" si="86"/>
        <v>40</v>
      </c>
      <c r="AN219" s="86">
        <f t="shared" si="86"/>
        <v>0</v>
      </c>
      <c r="AO219" s="86">
        <f t="shared" si="86"/>
        <v>11</v>
      </c>
      <c r="AP219" s="86">
        <f t="shared" si="86"/>
        <v>0</v>
      </c>
      <c r="AQ219" s="86">
        <f t="shared" si="86"/>
        <v>5</v>
      </c>
      <c r="AR219" s="86">
        <f t="shared" si="86"/>
        <v>0</v>
      </c>
      <c r="AS219" s="86">
        <f t="shared" si="86"/>
        <v>1</v>
      </c>
      <c r="AT219" s="86">
        <f t="shared" si="86"/>
        <v>0</v>
      </c>
      <c r="AU219" s="86">
        <f t="shared" si="86"/>
        <v>0</v>
      </c>
      <c r="AV219" s="86">
        <f t="shared" si="86"/>
        <v>0</v>
      </c>
      <c r="AW219" s="86">
        <f t="shared" si="86"/>
        <v>0</v>
      </c>
      <c r="AX219" s="86">
        <f t="shared" si="86"/>
        <v>0</v>
      </c>
      <c r="AY219" s="86">
        <f t="shared" si="86"/>
        <v>0</v>
      </c>
      <c r="AZ219" s="86">
        <f t="shared" si="86"/>
        <v>0</v>
      </c>
    </row>
    <row r="220" spans="1:52" s="25" customFormat="1" ht="15" customHeight="1" outlineLevel="2" x14ac:dyDescent="0.45">
      <c r="A220" s="12">
        <v>4509562318</v>
      </c>
      <c r="B220" s="13">
        <v>10</v>
      </c>
      <c r="C220" s="13" t="s">
        <v>767</v>
      </c>
      <c r="D220" s="14"/>
      <c r="E220" s="14"/>
      <c r="F220" s="15" t="s">
        <v>4</v>
      </c>
      <c r="G220" s="15">
        <v>467424</v>
      </c>
      <c r="H220" s="15" t="s">
        <v>690</v>
      </c>
      <c r="I220" s="15" t="s">
        <v>152</v>
      </c>
      <c r="J220" s="14"/>
      <c r="K220" s="14">
        <v>45206</v>
      </c>
      <c r="L220" s="16" t="s">
        <v>768</v>
      </c>
      <c r="M220" s="14">
        <v>45105</v>
      </c>
      <c r="N220" s="17" t="str">
        <f>+LEFT(L220,5)</f>
        <v>T3K94</v>
      </c>
      <c r="O220" s="18" t="s">
        <v>446</v>
      </c>
      <c r="P220" s="19" t="s">
        <v>3</v>
      </c>
      <c r="Q220" s="20" t="s">
        <v>677</v>
      </c>
      <c r="R220" s="21" t="s">
        <v>6</v>
      </c>
      <c r="S220" s="22">
        <f t="shared" si="80"/>
        <v>264</v>
      </c>
      <c r="T220" s="22"/>
      <c r="U220" s="22"/>
      <c r="V220" s="22"/>
      <c r="W220" s="23"/>
      <c r="X220" s="23">
        <v>6</v>
      </c>
      <c r="Y220" s="23">
        <v>18</v>
      </c>
      <c r="Z220" s="23">
        <v>24</v>
      </c>
      <c r="AA220" s="23">
        <v>48</v>
      </c>
      <c r="AB220" s="23">
        <v>36</v>
      </c>
      <c r="AC220" s="23">
        <v>48</v>
      </c>
      <c r="AD220" s="23">
        <v>30</v>
      </c>
      <c r="AE220" s="23">
        <v>24</v>
      </c>
      <c r="AF220" s="23">
        <v>18</v>
      </c>
      <c r="AG220" s="23">
        <v>12</v>
      </c>
      <c r="AH220" s="23"/>
      <c r="AI220" s="23"/>
      <c r="AJ220" s="23"/>
      <c r="AK220" s="23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</row>
    <row r="221" spans="1:52" s="25" customFormat="1" ht="15" customHeight="1" outlineLevel="2" x14ac:dyDescent="0.45">
      <c r="A221" s="12">
        <v>4509554208</v>
      </c>
      <c r="B221" s="13">
        <v>10</v>
      </c>
      <c r="C221" s="13" t="s">
        <v>769</v>
      </c>
      <c r="D221" s="14"/>
      <c r="E221" s="14"/>
      <c r="F221" s="15" t="s">
        <v>4</v>
      </c>
      <c r="G221" s="15">
        <v>1098</v>
      </c>
      <c r="H221" s="15" t="s">
        <v>381</v>
      </c>
      <c r="I221" s="15" t="s">
        <v>152</v>
      </c>
      <c r="J221" s="14"/>
      <c r="K221" s="14">
        <v>45206</v>
      </c>
      <c r="L221" s="16" t="s">
        <v>770</v>
      </c>
      <c r="M221" s="14">
        <v>45105</v>
      </c>
      <c r="N221" s="17" t="str">
        <f>+LEFT(L221,5)</f>
        <v>T3K94</v>
      </c>
      <c r="O221" s="18" t="s">
        <v>446</v>
      </c>
      <c r="P221" s="19" t="s">
        <v>3</v>
      </c>
      <c r="Q221" s="20" t="s">
        <v>677</v>
      </c>
      <c r="R221" s="21" t="s">
        <v>6</v>
      </c>
      <c r="S221" s="22">
        <f t="shared" si="80"/>
        <v>1968</v>
      </c>
      <c r="T221" s="22"/>
      <c r="U221" s="22"/>
      <c r="V221" s="22"/>
      <c r="W221" s="23">
        <v>174</v>
      </c>
      <c r="X221" s="23">
        <v>174</v>
      </c>
      <c r="Y221" s="23">
        <v>246</v>
      </c>
      <c r="Z221" s="23">
        <v>234</v>
      </c>
      <c r="AA221" s="23">
        <v>366</v>
      </c>
      <c r="AB221" s="23">
        <v>288</v>
      </c>
      <c r="AC221" s="23">
        <v>240</v>
      </c>
      <c r="AD221" s="23">
        <v>108</v>
      </c>
      <c r="AE221" s="23">
        <v>72</v>
      </c>
      <c r="AF221" s="23">
        <v>66</v>
      </c>
      <c r="AG221" s="23"/>
      <c r="AH221" s="23"/>
      <c r="AI221" s="23"/>
      <c r="AJ221" s="23"/>
      <c r="AK221" s="23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</row>
    <row r="222" spans="1:52" s="26" customFormat="1" ht="15" customHeight="1" outlineLevel="1" x14ac:dyDescent="0.45">
      <c r="A222" s="38"/>
      <c r="B222" s="39"/>
      <c r="C222" s="39"/>
      <c r="D222" s="40"/>
      <c r="E222" s="40"/>
      <c r="F222" s="16"/>
      <c r="G222" s="16"/>
      <c r="H222" s="16"/>
      <c r="I222" s="16"/>
      <c r="J222" s="40"/>
      <c r="K222" s="40"/>
      <c r="L222" s="16"/>
      <c r="M222" s="40"/>
      <c r="N222" s="41" t="s">
        <v>771</v>
      </c>
      <c r="O222" s="42"/>
      <c r="P222" s="43"/>
      <c r="Q222" s="44"/>
      <c r="R222" s="45"/>
      <c r="S222" s="46">
        <f t="shared" ref="S222:AZ222" si="87">SUBTOTAL(9,S220:S221)</f>
        <v>2232</v>
      </c>
      <c r="T222" s="46">
        <f t="shared" si="87"/>
        <v>0</v>
      </c>
      <c r="U222" s="46">
        <f t="shared" si="87"/>
        <v>0</v>
      </c>
      <c r="V222" s="46">
        <f t="shared" si="87"/>
        <v>0</v>
      </c>
      <c r="W222" s="85">
        <f t="shared" si="87"/>
        <v>174</v>
      </c>
      <c r="X222" s="85">
        <f t="shared" si="87"/>
        <v>180</v>
      </c>
      <c r="Y222" s="85">
        <f t="shared" si="87"/>
        <v>264</v>
      </c>
      <c r="Z222" s="85">
        <f t="shared" si="87"/>
        <v>258</v>
      </c>
      <c r="AA222" s="85">
        <f t="shared" si="87"/>
        <v>414</v>
      </c>
      <c r="AB222" s="85">
        <f t="shared" si="87"/>
        <v>324</v>
      </c>
      <c r="AC222" s="85">
        <f t="shared" si="87"/>
        <v>288</v>
      </c>
      <c r="AD222" s="85">
        <f t="shared" si="87"/>
        <v>138</v>
      </c>
      <c r="AE222" s="85">
        <f t="shared" si="87"/>
        <v>96</v>
      </c>
      <c r="AF222" s="85">
        <f t="shared" si="87"/>
        <v>84</v>
      </c>
      <c r="AG222" s="85">
        <f t="shared" si="87"/>
        <v>12</v>
      </c>
      <c r="AH222" s="85">
        <f t="shared" si="87"/>
        <v>0</v>
      </c>
      <c r="AI222" s="85">
        <f t="shared" si="87"/>
        <v>0</v>
      </c>
      <c r="AJ222" s="85">
        <f t="shared" si="87"/>
        <v>0</v>
      </c>
      <c r="AK222" s="85">
        <f t="shared" si="87"/>
        <v>0</v>
      </c>
      <c r="AL222" s="86">
        <f t="shared" si="87"/>
        <v>0</v>
      </c>
      <c r="AM222" s="86">
        <f t="shared" si="87"/>
        <v>0</v>
      </c>
      <c r="AN222" s="86">
        <f t="shared" si="87"/>
        <v>0</v>
      </c>
      <c r="AO222" s="86">
        <f t="shared" si="87"/>
        <v>0</v>
      </c>
      <c r="AP222" s="86">
        <f t="shared" si="87"/>
        <v>0</v>
      </c>
      <c r="AQ222" s="86">
        <f t="shared" si="87"/>
        <v>0</v>
      </c>
      <c r="AR222" s="86">
        <f t="shared" si="87"/>
        <v>0</v>
      </c>
      <c r="AS222" s="86">
        <f t="shared" si="87"/>
        <v>0</v>
      </c>
      <c r="AT222" s="86">
        <f t="shared" si="87"/>
        <v>0</v>
      </c>
      <c r="AU222" s="86">
        <f t="shared" si="87"/>
        <v>0</v>
      </c>
      <c r="AV222" s="86">
        <f t="shared" si="87"/>
        <v>0</v>
      </c>
      <c r="AW222" s="86">
        <f t="shared" si="87"/>
        <v>0</v>
      </c>
      <c r="AX222" s="86">
        <f t="shared" si="87"/>
        <v>0</v>
      </c>
      <c r="AY222" s="86">
        <f t="shared" si="87"/>
        <v>0</v>
      </c>
      <c r="AZ222" s="86">
        <f t="shared" si="87"/>
        <v>0</v>
      </c>
    </row>
    <row r="223" spans="1:52" s="25" customFormat="1" ht="15" customHeight="1" outlineLevel="2" x14ac:dyDescent="0.45">
      <c r="A223" s="12">
        <v>4509554474</v>
      </c>
      <c r="B223" s="13">
        <v>10</v>
      </c>
      <c r="C223" s="13" t="s">
        <v>772</v>
      </c>
      <c r="D223" s="14"/>
      <c r="E223" s="14"/>
      <c r="F223" s="15" t="s">
        <v>366</v>
      </c>
      <c r="G223" s="15">
        <v>1064</v>
      </c>
      <c r="H223" s="15" t="s">
        <v>5</v>
      </c>
      <c r="I223" s="15" t="s">
        <v>98</v>
      </c>
      <c r="J223" s="14"/>
      <c r="K223" s="14">
        <v>45199</v>
      </c>
      <c r="L223" s="16" t="s">
        <v>773</v>
      </c>
      <c r="M223" s="14">
        <v>45105</v>
      </c>
      <c r="N223" s="17" t="str">
        <f>+LEFT(L223,5)</f>
        <v>T3K95</v>
      </c>
      <c r="O223" s="18" t="s">
        <v>368</v>
      </c>
      <c r="P223" s="19" t="s">
        <v>369</v>
      </c>
      <c r="Q223" s="20" t="s">
        <v>677</v>
      </c>
      <c r="R223" s="21" t="s">
        <v>225</v>
      </c>
      <c r="S223" s="22">
        <f t="shared" si="80"/>
        <v>552</v>
      </c>
      <c r="T223" s="22"/>
      <c r="U223" s="22"/>
      <c r="V223" s="22"/>
      <c r="W223" s="23"/>
      <c r="X223" s="23"/>
      <c r="Y223" s="23">
        <v>12</v>
      </c>
      <c r="Z223" s="23">
        <v>18</v>
      </c>
      <c r="AA223" s="23"/>
      <c r="AB223" s="23">
        <v>30</v>
      </c>
      <c r="AC223" s="23">
        <v>30</v>
      </c>
      <c r="AD223" s="23">
        <v>12</v>
      </c>
      <c r="AE223" s="23">
        <v>72</v>
      </c>
      <c r="AF223" s="23">
        <v>36</v>
      </c>
      <c r="AG223" s="23">
        <v>78</v>
      </c>
      <c r="AH223" s="23">
        <v>78</v>
      </c>
      <c r="AI223" s="23">
        <v>24</v>
      </c>
      <c r="AJ223" s="23">
        <v>42</v>
      </c>
      <c r="AK223" s="23">
        <v>42</v>
      </c>
      <c r="AL223" s="24">
        <v>24</v>
      </c>
      <c r="AM223" s="24">
        <v>18</v>
      </c>
      <c r="AN223" s="24"/>
      <c r="AO223" s="24">
        <v>18</v>
      </c>
      <c r="AP223" s="24"/>
      <c r="AQ223" s="24">
        <v>18</v>
      </c>
      <c r="AR223" s="24"/>
      <c r="AS223" s="24"/>
      <c r="AT223" s="24"/>
      <c r="AU223" s="24"/>
      <c r="AV223" s="24"/>
      <c r="AW223" s="24"/>
      <c r="AX223" s="24"/>
      <c r="AY223" s="24"/>
      <c r="AZ223" s="24"/>
    </row>
    <row r="224" spans="1:52" s="25" customFormat="1" ht="15" customHeight="1" outlineLevel="2" x14ac:dyDescent="0.45">
      <c r="A224" s="12">
        <v>3503411502</v>
      </c>
      <c r="B224" s="13">
        <v>10</v>
      </c>
      <c r="C224" s="13" t="s">
        <v>774</v>
      </c>
      <c r="D224" s="14"/>
      <c r="E224" s="14"/>
      <c r="F224" s="15" t="s">
        <v>366</v>
      </c>
      <c r="G224" s="15">
        <v>1036</v>
      </c>
      <c r="H224" s="15" t="s">
        <v>231</v>
      </c>
      <c r="I224" s="15" t="s">
        <v>98</v>
      </c>
      <c r="J224" s="14"/>
      <c r="K224" s="14">
        <v>45199</v>
      </c>
      <c r="L224" s="16" t="s">
        <v>775</v>
      </c>
      <c r="M224" s="14">
        <v>45105</v>
      </c>
      <c r="N224" s="17" t="str">
        <f>+LEFT(L224,5)</f>
        <v>T3K95</v>
      </c>
      <c r="O224" s="18" t="s">
        <v>368</v>
      </c>
      <c r="P224" s="19" t="s">
        <v>369</v>
      </c>
      <c r="Q224" s="20" t="s">
        <v>677</v>
      </c>
      <c r="R224" s="21" t="s">
        <v>225</v>
      </c>
      <c r="S224" s="22">
        <f t="shared" si="80"/>
        <v>138</v>
      </c>
      <c r="T224" s="22"/>
      <c r="U224" s="22"/>
      <c r="V224" s="22"/>
      <c r="W224" s="23"/>
      <c r="X224" s="23"/>
      <c r="Y224" s="23"/>
      <c r="Z224" s="23"/>
      <c r="AA224" s="23">
        <v>6</v>
      </c>
      <c r="AB224" s="23">
        <v>6</v>
      </c>
      <c r="AC224" s="23">
        <v>18</v>
      </c>
      <c r="AD224" s="23">
        <v>12</v>
      </c>
      <c r="AE224" s="23">
        <v>24</v>
      </c>
      <c r="AF224" s="23">
        <v>12</v>
      </c>
      <c r="AG224" s="23">
        <v>18</v>
      </c>
      <c r="AH224" s="23">
        <v>6</v>
      </c>
      <c r="AI224" s="23">
        <v>12</v>
      </c>
      <c r="AJ224" s="23"/>
      <c r="AK224" s="23">
        <v>6</v>
      </c>
      <c r="AL224" s="24"/>
      <c r="AM224" s="24">
        <v>6</v>
      </c>
      <c r="AN224" s="24"/>
      <c r="AO224" s="24">
        <v>6</v>
      </c>
      <c r="AP224" s="24"/>
      <c r="AQ224" s="24">
        <v>6</v>
      </c>
      <c r="AR224" s="24"/>
      <c r="AS224" s="24"/>
      <c r="AT224" s="24"/>
      <c r="AU224" s="24"/>
      <c r="AV224" s="24"/>
      <c r="AW224" s="24"/>
      <c r="AX224" s="24"/>
      <c r="AY224" s="24"/>
      <c r="AZ224" s="24"/>
    </row>
    <row r="225" spans="1:52" s="26" customFormat="1" ht="15" customHeight="1" outlineLevel="1" x14ac:dyDescent="0.45">
      <c r="A225" s="38"/>
      <c r="B225" s="39"/>
      <c r="C225" s="39"/>
      <c r="D225" s="40"/>
      <c r="E225" s="40"/>
      <c r="F225" s="16"/>
      <c r="G225" s="16"/>
      <c r="H225" s="16"/>
      <c r="I225" s="16"/>
      <c r="J225" s="40"/>
      <c r="K225" s="40"/>
      <c r="L225" s="16"/>
      <c r="M225" s="40"/>
      <c r="N225" s="41" t="s">
        <v>776</v>
      </c>
      <c r="O225" s="42"/>
      <c r="P225" s="43"/>
      <c r="Q225" s="44"/>
      <c r="R225" s="45"/>
      <c r="S225" s="46">
        <f t="shared" ref="S225:AZ225" si="88">SUBTOTAL(9,S223:S224)</f>
        <v>690</v>
      </c>
      <c r="T225" s="46">
        <f t="shared" si="88"/>
        <v>0</v>
      </c>
      <c r="U225" s="46">
        <f t="shared" si="88"/>
        <v>0</v>
      </c>
      <c r="V225" s="46">
        <f t="shared" si="88"/>
        <v>0</v>
      </c>
      <c r="W225" s="85">
        <f t="shared" si="88"/>
        <v>0</v>
      </c>
      <c r="X225" s="85">
        <f t="shared" si="88"/>
        <v>0</v>
      </c>
      <c r="Y225" s="85">
        <f t="shared" si="88"/>
        <v>12</v>
      </c>
      <c r="Z225" s="85">
        <f t="shared" si="88"/>
        <v>18</v>
      </c>
      <c r="AA225" s="85">
        <f t="shared" si="88"/>
        <v>6</v>
      </c>
      <c r="AB225" s="85">
        <f t="shared" si="88"/>
        <v>36</v>
      </c>
      <c r="AC225" s="85">
        <f t="shared" si="88"/>
        <v>48</v>
      </c>
      <c r="AD225" s="85">
        <f t="shared" si="88"/>
        <v>24</v>
      </c>
      <c r="AE225" s="85">
        <f t="shared" si="88"/>
        <v>96</v>
      </c>
      <c r="AF225" s="85">
        <f t="shared" si="88"/>
        <v>48</v>
      </c>
      <c r="AG225" s="85">
        <f t="shared" si="88"/>
        <v>96</v>
      </c>
      <c r="AH225" s="85">
        <f t="shared" si="88"/>
        <v>84</v>
      </c>
      <c r="AI225" s="85">
        <f t="shared" si="88"/>
        <v>36</v>
      </c>
      <c r="AJ225" s="85">
        <f t="shared" si="88"/>
        <v>42</v>
      </c>
      <c r="AK225" s="85">
        <f t="shared" si="88"/>
        <v>48</v>
      </c>
      <c r="AL225" s="86">
        <f t="shared" si="88"/>
        <v>24</v>
      </c>
      <c r="AM225" s="86">
        <f t="shared" si="88"/>
        <v>24</v>
      </c>
      <c r="AN225" s="86">
        <f t="shared" si="88"/>
        <v>0</v>
      </c>
      <c r="AO225" s="86">
        <f t="shared" si="88"/>
        <v>24</v>
      </c>
      <c r="AP225" s="86">
        <f t="shared" si="88"/>
        <v>0</v>
      </c>
      <c r="AQ225" s="86">
        <f t="shared" si="88"/>
        <v>24</v>
      </c>
      <c r="AR225" s="86">
        <f t="shared" si="88"/>
        <v>0</v>
      </c>
      <c r="AS225" s="86">
        <f t="shared" si="88"/>
        <v>0</v>
      </c>
      <c r="AT225" s="86">
        <f t="shared" si="88"/>
        <v>0</v>
      </c>
      <c r="AU225" s="86">
        <f t="shared" si="88"/>
        <v>0</v>
      </c>
      <c r="AV225" s="86">
        <f t="shared" si="88"/>
        <v>0</v>
      </c>
      <c r="AW225" s="86">
        <f t="shared" si="88"/>
        <v>0</v>
      </c>
      <c r="AX225" s="86">
        <f t="shared" si="88"/>
        <v>0</v>
      </c>
      <c r="AY225" s="86">
        <f t="shared" si="88"/>
        <v>0</v>
      </c>
      <c r="AZ225" s="86">
        <f t="shared" si="88"/>
        <v>0</v>
      </c>
    </row>
    <row r="226" spans="1:52" s="25" customFormat="1" ht="15" customHeight="1" outlineLevel="2" x14ac:dyDescent="0.45">
      <c r="A226" s="12">
        <v>4509555113</v>
      </c>
      <c r="B226" s="13">
        <v>20</v>
      </c>
      <c r="C226" s="13" t="s">
        <v>777</v>
      </c>
      <c r="D226" s="14"/>
      <c r="E226" s="14"/>
      <c r="F226" s="15" t="s">
        <v>366</v>
      </c>
      <c r="G226" s="15">
        <v>1014</v>
      </c>
      <c r="H226" s="15" t="s">
        <v>118</v>
      </c>
      <c r="I226" s="15" t="s">
        <v>152</v>
      </c>
      <c r="J226" s="14"/>
      <c r="K226" s="14">
        <v>45199</v>
      </c>
      <c r="L226" s="16" t="s">
        <v>778</v>
      </c>
      <c r="M226" s="14">
        <v>45105</v>
      </c>
      <c r="N226" s="17" t="str">
        <f t="shared" ref="N226:N231" si="89">+LEFT(L226,5)</f>
        <v>T3K96</v>
      </c>
      <c r="O226" s="18" t="s">
        <v>455</v>
      </c>
      <c r="P226" s="19" t="s">
        <v>369</v>
      </c>
      <c r="Q226" s="20" t="s">
        <v>677</v>
      </c>
      <c r="R226" s="21" t="s">
        <v>225</v>
      </c>
      <c r="S226" s="22">
        <f t="shared" si="80"/>
        <v>1986</v>
      </c>
      <c r="T226" s="22"/>
      <c r="U226" s="22"/>
      <c r="V226" s="22"/>
      <c r="W226" s="23"/>
      <c r="X226" s="23"/>
      <c r="Y226" s="23">
        <v>18</v>
      </c>
      <c r="Z226" s="23">
        <v>24</v>
      </c>
      <c r="AA226" s="23">
        <v>48</v>
      </c>
      <c r="AB226" s="23">
        <v>54</v>
      </c>
      <c r="AC226" s="23">
        <v>108</v>
      </c>
      <c r="AD226" s="23">
        <v>132</v>
      </c>
      <c r="AE226" s="23">
        <v>174</v>
      </c>
      <c r="AF226" s="23">
        <v>198</v>
      </c>
      <c r="AG226" s="23">
        <v>222</v>
      </c>
      <c r="AH226" s="23">
        <v>234</v>
      </c>
      <c r="AI226" s="23">
        <v>216</v>
      </c>
      <c r="AJ226" s="23">
        <v>120</v>
      </c>
      <c r="AK226" s="23">
        <v>180</v>
      </c>
      <c r="AL226" s="24">
        <v>36</v>
      </c>
      <c r="AM226" s="24">
        <v>132</v>
      </c>
      <c r="AN226" s="24"/>
      <c r="AO226" s="24">
        <v>54</v>
      </c>
      <c r="AP226" s="24"/>
      <c r="AQ226" s="24">
        <v>36</v>
      </c>
      <c r="AR226" s="24"/>
      <c r="AS226" s="24"/>
      <c r="AT226" s="24"/>
      <c r="AU226" s="24"/>
      <c r="AV226" s="24"/>
      <c r="AW226" s="24"/>
      <c r="AX226" s="24"/>
      <c r="AY226" s="24"/>
      <c r="AZ226" s="24"/>
    </row>
    <row r="227" spans="1:52" s="25" customFormat="1" ht="15" customHeight="1" outlineLevel="2" x14ac:dyDescent="0.45">
      <c r="A227" s="12">
        <v>4509559947</v>
      </c>
      <c r="B227" s="13">
        <v>10</v>
      </c>
      <c r="C227" s="13" t="s">
        <v>779</v>
      </c>
      <c r="D227" s="14"/>
      <c r="E227" s="14"/>
      <c r="F227" s="15" t="s">
        <v>366</v>
      </c>
      <c r="G227" s="15">
        <v>442252</v>
      </c>
      <c r="H227" s="15" t="s">
        <v>693</v>
      </c>
      <c r="I227" s="15" t="s">
        <v>152</v>
      </c>
      <c r="J227" s="14"/>
      <c r="K227" s="14">
        <v>45199</v>
      </c>
      <c r="L227" s="16" t="s">
        <v>780</v>
      </c>
      <c r="M227" s="14">
        <v>45105</v>
      </c>
      <c r="N227" s="17" t="str">
        <f t="shared" si="89"/>
        <v>T3K96</v>
      </c>
      <c r="O227" s="18" t="s">
        <v>455</v>
      </c>
      <c r="P227" s="19" t="s">
        <v>369</v>
      </c>
      <c r="Q227" s="20" t="s">
        <v>677</v>
      </c>
      <c r="R227" s="21" t="s">
        <v>225</v>
      </c>
      <c r="S227" s="22">
        <f t="shared" si="80"/>
        <v>1518</v>
      </c>
      <c r="T227" s="22"/>
      <c r="U227" s="22"/>
      <c r="V227" s="22"/>
      <c r="W227" s="23"/>
      <c r="X227" s="23"/>
      <c r="Y227" s="23"/>
      <c r="Z227" s="23"/>
      <c r="AA227" s="23">
        <v>102</v>
      </c>
      <c r="AB227" s="23">
        <v>36</v>
      </c>
      <c r="AC227" s="23">
        <v>210</v>
      </c>
      <c r="AD227" s="23">
        <v>288</v>
      </c>
      <c r="AE227" s="23">
        <v>135</v>
      </c>
      <c r="AF227" s="23">
        <v>273</v>
      </c>
      <c r="AG227" s="23">
        <v>198</v>
      </c>
      <c r="AH227" s="23">
        <v>54</v>
      </c>
      <c r="AI227" s="23">
        <v>93</v>
      </c>
      <c r="AJ227" s="23">
        <v>3</v>
      </c>
      <c r="AK227" s="23">
        <v>96</v>
      </c>
      <c r="AL227" s="24">
        <v>30</v>
      </c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</row>
    <row r="228" spans="1:52" s="25" customFormat="1" ht="15" customHeight="1" outlineLevel="2" x14ac:dyDescent="0.45">
      <c r="A228" s="12">
        <v>4509562320</v>
      </c>
      <c r="B228" s="13">
        <v>10</v>
      </c>
      <c r="C228" s="13" t="s">
        <v>781</v>
      </c>
      <c r="D228" s="14"/>
      <c r="E228" s="14"/>
      <c r="F228" s="15" t="s">
        <v>366</v>
      </c>
      <c r="G228" s="15">
        <v>467424</v>
      </c>
      <c r="H228" s="15" t="s">
        <v>690</v>
      </c>
      <c r="I228" s="15" t="s">
        <v>152</v>
      </c>
      <c r="J228" s="14"/>
      <c r="K228" s="14">
        <v>45199</v>
      </c>
      <c r="L228" s="16" t="s">
        <v>782</v>
      </c>
      <c r="M228" s="14">
        <v>45105</v>
      </c>
      <c r="N228" s="17" t="str">
        <f t="shared" si="89"/>
        <v>T3K96</v>
      </c>
      <c r="O228" s="18" t="s">
        <v>455</v>
      </c>
      <c r="P228" s="19" t="s">
        <v>369</v>
      </c>
      <c r="Q228" s="20" t="s">
        <v>677</v>
      </c>
      <c r="R228" s="21" t="s">
        <v>225</v>
      </c>
      <c r="S228" s="22">
        <f t="shared" si="80"/>
        <v>126</v>
      </c>
      <c r="T228" s="22"/>
      <c r="U228" s="22"/>
      <c r="V228" s="22"/>
      <c r="W228" s="23"/>
      <c r="X228" s="23"/>
      <c r="Y228" s="23"/>
      <c r="Z228" s="23"/>
      <c r="AA228" s="23">
        <v>6</v>
      </c>
      <c r="AB228" s="23">
        <v>6</v>
      </c>
      <c r="AC228" s="23">
        <v>6</v>
      </c>
      <c r="AD228" s="23">
        <v>6</v>
      </c>
      <c r="AE228" s="23">
        <v>12</v>
      </c>
      <c r="AF228" s="23">
        <v>18</v>
      </c>
      <c r="AG228" s="23">
        <v>24</v>
      </c>
      <c r="AH228" s="23">
        <v>18</v>
      </c>
      <c r="AI228" s="23">
        <v>12</v>
      </c>
      <c r="AJ228" s="23">
        <v>12</v>
      </c>
      <c r="AK228" s="23">
        <v>6</v>
      </c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</row>
    <row r="229" spans="1:52" s="25" customFormat="1" ht="15" customHeight="1" outlineLevel="2" x14ac:dyDescent="0.45">
      <c r="A229" s="12">
        <v>4509562320</v>
      </c>
      <c r="B229" s="13">
        <v>20</v>
      </c>
      <c r="C229" s="13" t="s">
        <v>783</v>
      </c>
      <c r="D229" s="14"/>
      <c r="E229" s="14"/>
      <c r="F229" s="15" t="s">
        <v>366</v>
      </c>
      <c r="G229" s="15">
        <v>467424</v>
      </c>
      <c r="H229" s="15" t="s">
        <v>690</v>
      </c>
      <c r="I229" s="15" t="s">
        <v>152</v>
      </c>
      <c r="J229" s="14"/>
      <c r="K229" s="14">
        <v>45199</v>
      </c>
      <c r="L229" s="16" t="s">
        <v>784</v>
      </c>
      <c r="M229" s="14">
        <v>45105</v>
      </c>
      <c r="N229" s="17" t="str">
        <f t="shared" si="89"/>
        <v>T3K96</v>
      </c>
      <c r="O229" s="18" t="s">
        <v>455</v>
      </c>
      <c r="P229" s="19" t="s">
        <v>369</v>
      </c>
      <c r="Q229" s="20" t="s">
        <v>677</v>
      </c>
      <c r="R229" s="21" t="s">
        <v>225</v>
      </c>
      <c r="S229" s="22">
        <f t="shared" si="80"/>
        <v>378</v>
      </c>
      <c r="T229" s="22"/>
      <c r="U229" s="22"/>
      <c r="V229" s="22"/>
      <c r="W229" s="23"/>
      <c r="X229" s="23"/>
      <c r="Y229" s="23"/>
      <c r="Z229" s="23"/>
      <c r="AA229" s="23">
        <v>12</v>
      </c>
      <c r="AB229" s="23">
        <v>6</v>
      </c>
      <c r="AC229" s="23">
        <v>48</v>
      </c>
      <c r="AD229" s="23">
        <v>48</v>
      </c>
      <c r="AE229" s="23">
        <v>60</v>
      </c>
      <c r="AF229" s="23">
        <v>60</v>
      </c>
      <c r="AG229" s="23">
        <v>60</v>
      </c>
      <c r="AH229" s="23">
        <v>24</v>
      </c>
      <c r="AI229" s="23">
        <v>36</v>
      </c>
      <c r="AJ229" s="23">
        <v>6</v>
      </c>
      <c r="AK229" s="23">
        <v>18</v>
      </c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</row>
    <row r="230" spans="1:52" s="25" customFormat="1" ht="15" customHeight="1" outlineLevel="2" x14ac:dyDescent="0.45">
      <c r="A230" s="12">
        <v>4509559948</v>
      </c>
      <c r="B230" s="13">
        <v>10</v>
      </c>
      <c r="C230" s="13" t="s">
        <v>785</v>
      </c>
      <c r="D230" s="14"/>
      <c r="E230" s="14"/>
      <c r="F230" s="15" t="s">
        <v>366</v>
      </c>
      <c r="G230" s="15">
        <v>499557</v>
      </c>
      <c r="H230" s="15" t="s">
        <v>786</v>
      </c>
      <c r="I230" s="15" t="s">
        <v>152</v>
      </c>
      <c r="J230" s="14"/>
      <c r="K230" s="14">
        <v>45206</v>
      </c>
      <c r="L230" s="16" t="s">
        <v>787</v>
      </c>
      <c r="M230" s="14">
        <v>45105</v>
      </c>
      <c r="N230" s="17" t="str">
        <f t="shared" si="89"/>
        <v>T3K96</v>
      </c>
      <c r="O230" s="18" t="s">
        <v>455</v>
      </c>
      <c r="P230" s="19" t="s">
        <v>369</v>
      </c>
      <c r="Q230" s="20" t="s">
        <v>677</v>
      </c>
      <c r="R230" s="21" t="s">
        <v>225</v>
      </c>
      <c r="S230" s="22">
        <f t="shared" si="80"/>
        <v>270</v>
      </c>
      <c r="T230" s="22"/>
      <c r="U230" s="22"/>
      <c r="V230" s="22"/>
      <c r="W230" s="23"/>
      <c r="X230" s="23"/>
      <c r="Y230" s="23"/>
      <c r="Z230" s="23"/>
      <c r="AA230" s="23"/>
      <c r="AB230" s="23"/>
      <c r="AC230" s="23">
        <v>24</v>
      </c>
      <c r="AD230" s="23">
        <v>30</v>
      </c>
      <c r="AE230" s="23">
        <v>36</v>
      </c>
      <c r="AF230" s="23">
        <v>42</v>
      </c>
      <c r="AG230" s="23">
        <v>36</v>
      </c>
      <c r="AH230" s="23">
        <v>30</v>
      </c>
      <c r="AI230" s="23">
        <v>24</v>
      </c>
      <c r="AJ230" s="23">
        <v>24</v>
      </c>
      <c r="AK230" s="23">
        <v>18</v>
      </c>
      <c r="AL230" s="24">
        <v>6</v>
      </c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</row>
    <row r="231" spans="1:52" s="25" customFormat="1" ht="15" customHeight="1" outlineLevel="2" x14ac:dyDescent="0.45">
      <c r="A231" s="12">
        <v>4509562114</v>
      </c>
      <c r="B231" s="13">
        <v>10</v>
      </c>
      <c r="C231" s="13" t="s">
        <v>788</v>
      </c>
      <c r="D231" s="14"/>
      <c r="E231" s="14"/>
      <c r="F231" s="15" t="s">
        <v>366</v>
      </c>
      <c r="G231" s="15">
        <v>448548</v>
      </c>
      <c r="H231" s="15" t="s">
        <v>674</v>
      </c>
      <c r="I231" s="15" t="s">
        <v>152</v>
      </c>
      <c r="J231" s="14"/>
      <c r="K231" s="14">
        <v>45206</v>
      </c>
      <c r="L231" s="16" t="s">
        <v>789</v>
      </c>
      <c r="M231" s="14">
        <v>45105</v>
      </c>
      <c r="N231" s="17" t="str">
        <f t="shared" si="89"/>
        <v>T3K96</v>
      </c>
      <c r="O231" s="18" t="s">
        <v>455</v>
      </c>
      <c r="P231" s="19" t="s">
        <v>369</v>
      </c>
      <c r="Q231" s="20" t="s">
        <v>677</v>
      </c>
      <c r="R231" s="21" t="s">
        <v>225</v>
      </c>
      <c r="S231" s="22">
        <f t="shared" si="80"/>
        <v>1</v>
      </c>
      <c r="T231" s="22"/>
      <c r="U231" s="22"/>
      <c r="V231" s="22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>
        <v>1</v>
      </c>
      <c r="AH231" s="23"/>
      <c r="AI231" s="23"/>
      <c r="AJ231" s="23"/>
      <c r="AK231" s="23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</row>
    <row r="232" spans="1:52" s="26" customFormat="1" ht="15" customHeight="1" outlineLevel="1" x14ac:dyDescent="0.45">
      <c r="A232" s="38"/>
      <c r="B232" s="39"/>
      <c r="C232" s="39"/>
      <c r="D232" s="40"/>
      <c r="E232" s="40"/>
      <c r="F232" s="16"/>
      <c r="G232" s="16"/>
      <c r="H232" s="16"/>
      <c r="I232" s="16"/>
      <c r="J232" s="40"/>
      <c r="K232" s="40"/>
      <c r="L232" s="16"/>
      <c r="M232" s="40"/>
      <c r="N232" s="41" t="s">
        <v>790</v>
      </c>
      <c r="O232" s="42"/>
      <c r="P232" s="43"/>
      <c r="Q232" s="44"/>
      <c r="R232" s="45"/>
      <c r="S232" s="46">
        <f t="shared" ref="S232:AZ232" si="90">SUBTOTAL(9,S226:S231)</f>
        <v>4279</v>
      </c>
      <c r="T232" s="46">
        <f t="shared" si="90"/>
        <v>0</v>
      </c>
      <c r="U232" s="46">
        <f t="shared" si="90"/>
        <v>0</v>
      </c>
      <c r="V232" s="46">
        <f t="shared" si="90"/>
        <v>0</v>
      </c>
      <c r="W232" s="85">
        <f t="shared" si="90"/>
        <v>0</v>
      </c>
      <c r="X232" s="85">
        <f t="shared" si="90"/>
        <v>0</v>
      </c>
      <c r="Y232" s="85">
        <f t="shared" si="90"/>
        <v>18</v>
      </c>
      <c r="Z232" s="85">
        <f t="shared" si="90"/>
        <v>24</v>
      </c>
      <c r="AA232" s="85">
        <f t="shared" si="90"/>
        <v>168</v>
      </c>
      <c r="AB232" s="85">
        <f t="shared" si="90"/>
        <v>102</v>
      </c>
      <c r="AC232" s="85">
        <f t="shared" si="90"/>
        <v>396</v>
      </c>
      <c r="AD232" s="85">
        <f t="shared" si="90"/>
        <v>504</v>
      </c>
      <c r="AE232" s="85">
        <f t="shared" si="90"/>
        <v>417</v>
      </c>
      <c r="AF232" s="85">
        <f t="shared" si="90"/>
        <v>591</v>
      </c>
      <c r="AG232" s="85">
        <f t="shared" si="90"/>
        <v>541</v>
      </c>
      <c r="AH232" s="85">
        <f t="shared" si="90"/>
        <v>360</v>
      </c>
      <c r="AI232" s="85">
        <f t="shared" si="90"/>
        <v>381</v>
      </c>
      <c r="AJ232" s="85">
        <f t="shared" si="90"/>
        <v>165</v>
      </c>
      <c r="AK232" s="85">
        <f t="shared" si="90"/>
        <v>318</v>
      </c>
      <c r="AL232" s="86">
        <f t="shared" si="90"/>
        <v>72</v>
      </c>
      <c r="AM232" s="86">
        <f t="shared" si="90"/>
        <v>132</v>
      </c>
      <c r="AN232" s="86">
        <f t="shared" si="90"/>
        <v>0</v>
      </c>
      <c r="AO232" s="86">
        <f t="shared" si="90"/>
        <v>54</v>
      </c>
      <c r="AP232" s="86">
        <f t="shared" si="90"/>
        <v>0</v>
      </c>
      <c r="AQ232" s="86">
        <f t="shared" si="90"/>
        <v>36</v>
      </c>
      <c r="AR232" s="86">
        <f t="shared" si="90"/>
        <v>0</v>
      </c>
      <c r="AS232" s="86">
        <f t="shared" si="90"/>
        <v>0</v>
      </c>
      <c r="AT232" s="86">
        <f t="shared" si="90"/>
        <v>0</v>
      </c>
      <c r="AU232" s="86">
        <f t="shared" si="90"/>
        <v>0</v>
      </c>
      <c r="AV232" s="86">
        <f t="shared" si="90"/>
        <v>0</v>
      </c>
      <c r="AW232" s="86">
        <f t="shared" si="90"/>
        <v>0</v>
      </c>
      <c r="AX232" s="86">
        <f t="shared" si="90"/>
        <v>0</v>
      </c>
      <c r="AY232" s="86">
        <f t="shared" si="90"/>
        <v>0</v>
      </c>
      <c r="AZ232" s="86">
        <f t="shared" si="90"/>
        <v>0</v>
      </c>
    </row>
    <row r="233" spans="1:52" s="25" customFormat="1" ht="15" customHeight="1" outlineLevel="2" x14ac:dyDescent="0.45">
      <c r="A233" s="12">
        <v>4509555113</v>
      </c>
      <c r="B233" s="13">
        <v>30</v>
      </c>
      <c r="C233" s="13" t="s">
        <v>791</v>
      </c>
      <c r="D233" s="14"/>
      <c r="E233" s="14"/>
      <c r="F233" s="15" t="s">
        <v>366</v>
      </c>
      <c r="G233" s="15">
        <v>1014</v>
      </c>
      <c r="H233" s="15" t="s">
        <v>118</v>
      </c>
      <c r="I233" s="15" t="s">
        <v>152</v>
      </c>
      <c r="J233" s="14"/>
      <c r="K233" s="14">
        <v>45199</v>
      </c>
      <c r="L233" s="16" t="s">
        <v>792</v>
      </c>
      <c r="M233" s="14">
        <v>45105</v>
      </c>
      <c r="N233" s="17" t="str">
        <f>+LEFT(L233,5)</f>
        <v>T3K97</v>
      </c>
      <c r="O233" s="18" t="s">
        <v>462</v>
      </c>
      <c r="P233" s="19" t="s">
        <v>369</v>
      </c>
      <c r="Q233" s="20" t="s">
        <v>677</v>
      </c>
      <c r="R233" s="21" t="s">
        <v>225</v>
      </c>
      <c r="S233" s="22">
        <f t="shared" si="80"/>
        <v>1620</v>
      </c>
      <c r="T233" s="22"/>
      <c r="U233" s="22"/>
      <c r="V233" s="22"/>
      <c r="W233" s="23"/>
      <c r="X233" s="23"/>
      <c r="Y233" s="23">
        <v>18</v>
      </c>
      <c r="Z233" s="23">
        <v>18</v>
      </c>
      <c r="AA233" s="23">
        <v>42</v>
      </c>
      <c r="AB233" s="23">
        <v>48</v>
      </c>
      <c r="AC233" s="23">
        <v>84</v>
      </c>
      <c r="AD233" s="23">
        <v>108</v>
      </c>
      <c r="AE233" s="23">
        <v>138</v>
      </c>
      <c r="AF233" s="23">
        <v>162</v>
      </c>
      <c r="AG233" s="23">
        <v>174</v>
      </c>
      <c r="AH233" s="23">
        <v>192</v>
      </c>
      <c r="AI233" s="23">
        <v>174</v>
      </c>
      <c r="AJ233" s="23">
        <v>102</v>
      </c>
      <c r="AK233" s="23">
        <v>144</v>
      </c>
      <c r="AL233" s="24">
        <v>30</v>
      </c>
      <c r="AM233" s="24">
        <v>108</v>
      </c>
      <c r="AN233" s="24"/>
      <c r="AO233" s="24">
        <v>48</v>
      </c>
      <c r="AP233" s="24"/>
      <c r="AQ233" s="24">
        <v>30</v>
      </c>
      <c r="AR233" s="24"/>
      <c r="AS233" s="24"/>
      <c r="AT233" s="24"/>
      <c r="AU233" s="24"/>
      <c r="AV233" s="24"/>
      <c r="AW233" s="24"/>
      <c r="AX233" s="24"/>
      <c r="AY233" s="24"/>
      <c r="AZ233" s="24"/>
    </row>
    <row r="234" spans="1:52" s="25" customFormat="1" ht="15" customHeight="1" outlineLevel="2" x14ac:dyDescent="0.45">
      <c r="A234" s="12">
        <v>4509559947</v>
      </c>
      <c r="B234" s="13">
        <v>20</v>
      </c>
      <c r="C234" s="13" t="s">
        <v>793</v>
      </c>
      <c r="D234" s="14"/>
      <c r="E234" s="14"/>
      <c r="F234" s="15" t="s">
        <v>366</v>
      </c>
      <c r="G234" s="15">
        <v>442252</v>
      </c>
      <c r="H234" s="15" t="s">
        <v>693</v>
      </c>
      <c r="I234" s="15" t="s">
        <v>152</v>
      </c>
      <c r="J234" s="14"/>
      <c r="K234" s="14">
        <v>45199</v>
      </c>
      <c r="L234" s="16" t="s">
        <v>794</v>
      </c>
      <c r="M234" s="14">
        <v>45105</v>
      </c>
      <c r="N234" s="17" t="str">
        <f>+LEFT(L234,5)</f>
        <v>T3K97</v>
      </c>
      <c r="O234" s="18" t="s">
        <v>462</v>
      </c>
      <c r="P234" s="19" t="s">
        <v>369</v>
      </c>
      <c r="Q234" s="20" t="s">
        <v>677</v>
      </c>
      <c r="R234" s="21" t="s">
        <v>225</v>
      </c>
      <c r="S234" s="22">
        <f t="shared" si="80"/>
        <v>1218</v>
      </c>
      <c r="T234" s="22"/>
      <c r="U234" s="22"/>
      <c r="V234" s="22"/>
      <c r="W234" s="23"/>
      <c r="X234" s="23"/>
      <c r="Y234" s="23"/>
      <c r="Z234" s="23"/>
      <c r="AA234" s="23">
        <v>84</v>
      </c>
      <c r="AB234" s="23">
        <v>30</v>
      </c>
      <c r="AC234" s="23">
        <v>168</v>
      </c>
      <c r="AD234" s="23">
        <v>231</v>
      </c>
      <c r="AE234" s="23">
        <v>105</v>
      </c>
      <c r="AF234" s="23">
        <v>219</v>
      </c>
      <c r="AG234" s="23">
        <v>159</v>
      </c>
      <c r="AH234" s="23">
        <v>45</v>
      </c>
      <c r="AI234" s="23">
        <v>72</v>
      </c>
      <c r="AJ234" s="23"/>
      <c r="AK234" s="23">
        <v>78</v>
      </c>
      <c r="AL234" s="24">
        <v>27</v>
      </c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</row>
    <row r="235" spans="1:52" s="25" customFormat="1" ht="15" customHeight="1" outlineLevel="2" x14ac:dyDescent="0.45">
      <c r="A235" s="12">
        <v>4509562320</v>
      </c>
      <c r="B235" s="13">
        <v>30</v>
      </c>
      <c r="C235" s="13" t="s">
        <v>795</v>
      </c>
      <c r="D235" s="14"/>
      <c r="E235" s="14"/>
      <c r="F235" s="15" t="s">
        <v>366</v>
      </c>
      <c r="G235" s="15">
        <v>467424</v>
      </c>
      <c r="H235" s="15" t="s">
        <v>690</v>
      </c>
      <c r="I235" s="15" t="s">
        <v>152</v>
      </c>
      <c r="J235" s="14"/>
      <c r="K235" s="14">
        <v>45199</v>
      </c>
      <c r="L235" s="16" t="s">
        <v>796</v>
      </c>
      <c r="M235" s="14">
        <v>45105</v>
      </c>
      <c r="N235" s="17" t="str">
        <f>+LEFT(L235,5)</f>
        <v>T3K97</v>
      </c>
      <c r="O235" s="18" t="s">
        <v>462</v>
      </c>
      <c r="P235" s="19" t="s">
        <v>369</v>
      </c>
      <c r="Q235" s="20" t="s">
        <v>677</v>
      </c>
      <c r="R235" s="21" t="s">
        <v>225</v>
      </c>
      <c r="S235" s="22">
        <f t="shared" si="80"/>
        <v>300</v>
      </c>
      <c r="T235" s="22"/>
      <c r="U235" s="22"/>
      <c r="V235" s="22"/>
      <c r="W235" s="23"/>
      <c r="X235" s="23"/>
      <c r="Y235" s="23"/>
      <c r="Z235" s="23"/>
      <c r="AA235" s="23">
        <v>12</v>
      </c>
      <c r="AB235" s="23"/>
      <c r="AC235" s="23">
        <v>42</v>
      </c>
      <c r="AD235" s="23">
        <v>42</v>
      </c>
      <c r="AE235" s="23">
        <v>48</v>
      </c>
      <c r="AF235" s="23">
        <v>60</v>
      </c>
      <c r="AG235" s="23">
        <v>42</v>
      </c>
      <c r="AH235" s="23">
        <v>12</v>
      </c>
      <c r="AI235" s="23">
        <v>24</v>
      </c>
      <c r="AJ235" s="23">
        <v>6</v>
      </c>
      <c r="AK235" s="23">
        <v>12</v>
      </c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</row>
    <row r="236" spans="1:52" s="25" customFormat="1" ht="15" customHeight="1" outlineLevel="2" x14ac:dyDescent="0.45">
      <c r="A236" s="12">
        <v>4509562114</v>
      </c>
      <c r="B236" s="13">
        <v>20</v>
      </c>
      <c r="C236" s="13" t="s">
        <v>797</v>
      </c>
      <c r="D236" s="14"/>
      <c r="E236" s="14"/>
      <c r="F236" s="15" t="s">
        <v>366</v>
      </c>
      <c r="G236" s="15">
        <v>448548</v>
      </c>
      <c r="H236" s="15" t="s">
        <v>674</v>
      </c>
      <c r="I236" s="15" t="s">
        <v>152</v>
      </c>
      <c r="J236" s="14"/>
      <c r="K236" s="14">
        <v>45206</v>
      </c>
      <c r="L236" s="16" t="s">
        <v>798</v>
      </c>
      <c r="M236" s="14">
        <v>45105</v>
      </c>
      <c r="N236" s="17" t="str">
        <f>+LEFT(L236,5)</f>
        <v>T3K97</v>
      </c>
      <c r="O236" s="18" t="s">
        <v>462</v>
      </c>
      <c r="P236" s="19" t="s">
        <v>369</v>
      </c>
      <c r="Q236" s="20" t="s">
        <v>677</v>
      </c>
      <c r="R236" s="21" t="s">
        <v>225</v>
      </c>
      <c r="S236" s="22">
        <f t="shared" si="80"/>
        <v>1</v>
      </c>
      <c r="T236" s="22"/>
      <c r="U236" s="22"/>
      <c r="V236" s="22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>
        <v>1</v>
      </c>
      <c r="AH236" s="23"/>
      <c r="AI236" s="23"/>
      <c r="AJ236" s="23"/>
      <c r="AK236" s="23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</row>
    <row r="237" spans="1:52" s="26" customFormat="1" ht="15" customHeight="1" outlineLevel="1" x14ac:dyDescent="0.45">
      <c r="A237" s="38"/>
      <c r="B237" s="39"/>
      <c r="C237" s="39"/>
      <c r="D237" s="40"/>
      <c r="E237" s="40"/>
      <c r="F237" s="16"/>
      <c r="G237" s="16"/>
      <c r="H237" s="16"/>
      <c r="I237" s="16"/>
      <c r="J237" s="40"/>
      <c r="K237" s="40"/>
      <c r="L237" s="16"/>
      <c r="M237" s="40"/>
      <c r="N237" s="41" t="s">
        <v>799</v>
      </c>
      <c r="O237" s="42"/>
      <c r="P237" s="43"/>
      <c r="Q237" s="44"/>
      <c r="R237" s="45"/>
      <c r="S237" s="46">
        <f t="shared" ref="S237:AZ237" si="91">SUBTOTAL(9,S233:S236)</f>
        <v>3139</v>
      </c>
      <c r="T237" s="46">
        <f t="shared" si="91"/>
        <v>0</v>
      </c>
      <c r="U237" s="46">
        <f t="shared" si="91"/>
        <v>0</v>
      </c>
      <c r="V237" s="46">
        <f t="shared" si="91"/>
        <v>0</v>
      </c>
      <c r="W237" s="85">
        <f t="shared" si="91"/>
        <v>0</v>
      </c>
      <c r="X237" s="85">
        <f t="shared" si="91"/>
        <v>0</v>
      </c>
      <c r="Y237" s="85">
        <f t="shared" si="91"/>
        <v>18</v>
      </c>
      <c r="Z237" s="85">
        <f t="shared" si="91"/>
        <v>18</v>
      </c>
      <c r="AA237" s="85">
        <f t="shared" si="91"/>
        <v>138</v>
      </c>
      <c r="AB237" s="85">
        <f t="shared" si="91"/>
        <v>78</v>
      </c>
      <c r="AC237" s="85">
        <f t="shared" si="91"/>
        <v>294</v>
      </c>
      <c r="AD237" s="85">
        <f t="shared" si="91"/>
        <v>381</v>
      </c>
      <c r="AE237" s="85">
        <f t="shared" si="91"/>
        <v>291</v>
      </c>
      <c r="AF237" s="85">
        <f t="shared" si="91"/>
        <v>441</v>
      </c>
      <c r="AG237" s="85">
        <f t="shared" si="91"/>
        <v>376</v>
      </c>
      <c r="AH237" s="85">
        <f t="shared" si="91"/>
        <v>249</v>
      </c>
      <c r="AI237" s="85">
        <f t="shared" si="91"/>
        <v>270</v>
      </c>
      <c r="AJ237" s="85">
        <f t="shared" si="91"/>
        <v>108</v>
      </c>
      <c r="AK237" s="85">
        <f t="shared" si="91"/>
        <v>234</v>
      </c>
      <c r="AL237" s="86">
        <f t="shared" si="91"/>
        <v>57</v>
      </c>
      <c r="AM237" s="86">
        <f t="shared" si="91"/>
        <v>108</v>
      </c>
      <c r="AN237" s="86">
        <f t="shared" si="91"/>
        <v>0</v>
      </c>
      <c r="AO237" s="86">
        <f t="shared" si="91"/>
        <v>48</v>
      </c>
      <c r="AP237" s="86">
        <f t="shared" si="91"/>
        <v>0</v>
      </c>
      <c r="AQ237" s="86">
        <f t="shared" si="91"/>
        <v>30</v>
      </c>
      <c r="AR237" s="86">
        <f t="shared" si="91"/>
        <v>0</v>
      </c>
      <c r="AS237" s="86">
        <f t="shared" si="91"/>
        <v>0</v>
      </c>
      <c r="AT237" s="86">
        <f t="shared" si="91"/>
        <v>0</v>
      </c>
      <c r="AU237" s="86">
        <f t="shared" si="91"/>
        <v>0</v>
      </c>
      <c r="AV237" s="86">
        <f t="shared" si="91"/>
        <v>0</v>
      </c>
      <c r="AW237" s="86">
        <f t="shared" si="91"/>
        <v>0</v>
      </c>
      <c r="AX237" s="86">
        <f t="shared" si="91"/>
        <v>0</v>
      </c>
      <c r="AY237" s="86">
        <f t="shared" si="91"/>
        <v>0</v>
      </c>
      <c r="AZ237" s="86">
        <f t="shared" si="91"/>
        <v>0</v>
      </c>
    </row>
    <row r="238" spans="1:52" s="25" customFormat="1" ht="15" customHeight="1" outlineLevel="2" x14ac:dyDescent="0.45">
      <c r="A238" s="12">
        <v>4509560228</v>
      </c>
      <c r="B238" s="13">
        <v>10</v>
      </c>
      <c r="C238" s="13" t="s">
        <v>800</v>
      </c>
      <c r="D238" s="14"/>
      <c r="E238" s="14"/>
      <c r="F238" s="15" t="s">
        <v>366</v>
      </c>
      <c r="G238" s="15">
        <v>448539</v>
      </c>
      <c r="H238" s="15" t="s">
        <v>693</v>
      </c>
      <c r="I238" s="15" t="s">
        <v>152</v>
      </c>
      <c r="J238" s="14"/>
      <c r="K238" s="14">
        <v>45199</v>
      </c>
      <c r="L238" s="16" t="s">
        <v>801</v>
      </c>
      <c r="M238" s="14">
        <v>45105</v>
      </c>
      <c r="N238" s="17" t="str">
        <f>+LEFT(L238,5)</f>
        <v>T3K98</v>
      </c>
      <c r="O238" s="18" t="s">
        <v>475</v>
      </c>
      <c r="P238" s="19" t="s">
        <v>393</v>
      </c>
      <c r="Q238" s="20" t="s">
        <v>677</v>
      </c>
      <c r="R238" s="21" t="s">
        <v>6</v>
      </c>
      <c r="S238" s="22">
        <f t="shared" si="80"/>
        <v>1110</v>
      </c>
      <c r="T238" s="22"/>
      <c r="U238" s="22"/>
      <c r="V238" s="22"/>
      <c r="W238" s="23"/>
      <c r="X238" s="23">
        <v>48</v>
      </c>
      <c r="Y238" s="23">
        <v>57</v>
      </c>
      <c r="Z238" s="23">
        <v>159</v>
      </c>
      <c r="AA238" s="23">
        <v>219</v>
      </c>
      <c r="AB238" s="23">
        <v>129</v>
      </c>
      <c r="AC238" s="23">
        <v>243</v>
      </c>
      <c r="AD238" s="23">
        <v>144</v>
      </c>
      <c r="AE238" s="23">
        <v>57</v>
      </c>
      <c r="AF238" s="23">
        <v>51</v>
      </c>
      <c r="AG238" s="23">
        <v>3</v>
      </c>
      <c r="AH238" s="23"/>
      <c r="AI238" s="23"/>
      <c r="AJ238" s="23"/>
      <c r="AK238" s="23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</row>
    <row r="239" spans="1:52" s="25" customFormat="1" ht="15" customHeight="1" outlineLevel="2" x14ac:dyDescent="0.45">
      <c r="A239" s="12">
        <v>4509562321</v>
      </c>
      <c r="B239" s="13">
        <v>10</v>
      </c>
      <c r="C239" s="13" t="s">
        <v>802</v>
      </c>
      <c r="D239" s="14"/>
      <c r="E239" s="14"/>
      <c r="F239" s="15" t="s">
        <v>366</v>
      </c>
      <c r="G239" s="15">
        <v>467424</v>
      </c>
      <c r="H239" s="15" t="s">
        <v>690</v>
      </c>
      <c r="I239" s="15" t="s">
        <v>152</v>
      </c>
      <c r="J239" s="14"/>
      <c r="K239" s="14">
        <v>45199</v>
      </c>
      <c r="L239" s="16" t="s">
        <v>803</v>
      </c>
      <c r="M239" s="14">
        <v>45105</v>
      </c>
      <c r="N239" s="17" t="str">
        <f>+LEFT(L239,5)</f>
        <v>T3K98</v>
      </c>
      <c r="O239" s="18" t="s">
        <v>475</v>
      </c>
      <c r="P239" s="19" t="s">
        <v>393</v>
      </c>
      <c r="Q239" s="20" t="s">
        <v>677</v>
      </c>
      <c r="R239" s="21" t="s">
        <v>6</v>
      </c>
      <c r="S239" s="22">
        <f t="shared" si="80"/>
        <v>240</v>
      </c>
      <c r="T239" s="22"/>
      <c r="U239" s="22"/>
      <c r="V239" s="22"/>
      <c r="W239" s="23"/>
      <c r="X239" s="23"/>
      <c r="Y239" s="23">
        <v>18</v>
      </c>
      <c r="Z239" s="23">
        <v>30</v>
      </c>
      <c r="AA239" s="23">
        <v>48</v>
      </c>
      <c r="AB239" s="23">
        <v>36</v>
      </c>
      <c r="AC239" s="23">
        <v>48</v>
      </c>
      <c r="AD239" s="23">
        <v>30</v>
      </c>
      <c r="AE239" s="23">
        <v>18</v>
      </c>
      <c r="AF239" s="23">
        <v>12</v>
      </c>
      <c r="AG239" s="23"/>
      <c r="AH239" s="23"/>
      <c r="AI239" s="23"/>
      <c r="AJ239" s="23"/>
      <c r="AK239" s="23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</row>
    <row r="240" spans="1:52" s="25" customFormat="1" ht="15" customHeight="1" outlineLevel="2" x14ac:dyDescent="0.45">
      <c r="A240" s="12">
        <v>4509560227</v>
      </c>
      <c r="B240" s="13">
        <v>10</v>
      </c>
      <c r="C240" s="13" t="s">
        <v>804</v>
      </c>
      <c r="D240" s="14"/>
      <c r="E240" s="14"/>
      <c r="F240" s="15" t="s">
        <v>366</v>
      </c>
      <c r="G240" s="15">
        <v>346282</v>
      </c>
      <c r="H240" s="15" t="s">
        <v>805</v>
      </c>
      <c r="I240" s="15" t="s">
        <v>152</v>
      </c>
      <c r="J240" s="14"/>
      <c r="K240" s="14">
        <v>45206</v>
      </c>
      <c r="L240" s="16" t="s">
        <v>806</v>
      </c>
      <c r="M240" s="14">
        <v>45105</v>
      </c>
      <c r="N240" s="17" t="str">
        <f>+LEFT(L240,5)</f>
        <v>T3K98</v>
      </c>
      <c r="O240" s="18" t="s">
        <v>475</v>
      </c>
      <c r="P240" s="19" t="s">
        <v>393</v>
      </c>
      <c r="Q240" s="20" t="s">
        <v>677</v>
      </c>
      <c r="R240" s="21" t="s">
        <v>6</v>
      </c>
      <c r="S240" s="22">
        <f t="shared" si="80"/>
        <v>700</v>
      </c>
      <c r="T240" s="22"/>
      <c r="U240" s="22"/>
      <c r="V240" s="22"/>
      <c r="W240" s="23"/>
      <c r="X240" s="23">
        <v>10</v>
      </c>
      <c r="Y240" s="23">
        <v>10</v>
      </c>
      <c r="Z240" s="23">
        <v>80</v>
      </c>
      <c r="AA240" s="23">
        <v>30</v>
      </c>
      <c r="AB240" s="23">
        <v>140</v>
      </c>
      <c r="AC240" s="23">
        <v>50</v>
      </c>
      <c r="AD240" s="23">
        <v>180</v>
      </c>
      <c r="AE240" s="23">
        <v>50</v>
      </c>
      <c r="AF240" s="23">
        <v>110</v>
      </c>
      <c r="AG240" s="23">
        <v>20</v>
      </c>
      <c r="AH240" s="23">
        <v>20</v>
      </c>
      <c r="AI240" s="23"/>
      <c r="AJ240" s="23"/>
      <c r="AK240" s="23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</row>
    <row r="241" spans="1:52" s="26" customFormat="1" ht="15" customHeight="1" outlineLevel="1" x14ac:dyDescent="0.45">
      <c r="A241" s="38"/>
      <c r="B241" s="39"/>
      <c r="C241" s="39"/>
      <c r="D241" s="40"/>
      <c r="E241" s="40"/>
      <c r="F241" s="16"/>
      <c r="G241" s="16"/>
      <c r="H241" s="16"/>
      <c r="I241" s="16"/>
      <c r="J241" s="40"/>
      <c r="K241" s="40"/>
      <c r="L241" s="16"/>
      <c r="M241" s="40"/>
      <c r="N241" s="41" t="s">
        <v>807</v>
      </c>
      <c r="O241" s="42"/>
      <c r="P241" s="43"/>
      <c r="Q241" s="44"/>
      <c r="R241" s="45"/>
      <c r="S241" s="46">
        <f t="shared" ref="S241:AZ241" si="92">SUBTOTAL(9,S238:S240)</f>
        <v>2050</v>
      </c>
      <c r="T241" s="46">
        <f t="shared" si="92"/>
        <v>0</v>
      </c>
      <c r="U241" s="46">
        <f t="shared" si="92"/>
        <v>0</v>
      </c>
      <c r="V241" s="46">
        <f t="shared" si="92"/>
        <v>0</v>
      </c>
      <c r="W241" s="85">
        <f t="shared" si="92"/>
        <v>0</v>
      </c>
      <c r="X241" s="85">
        <f t="shared" si="92"/>
        <v>58</v>
      </c>
      <c r="Y241" s="85">
        <f t="shared" si="92"/>
        <v>85</v>
      </c>
      <c r="Z241" s="85">
        <f t="shared" si="92"/>
        <v>269</v>
      </c>
      <c r="AA241" s="85">
        <f t="shared" si="92"/>
        <v>297</v>
      </c>
      <c r="AB241" s="85">
        <f t="shared" si="92"/>
        <v>305</v>
      </c>
      <c r="AC241" s="85">
        <f t="shared" si="92"/>
        <v>341</v>
      </c>
      <c r="AD241" s="85">
        <f t="shared" si="92"/>
        <v>354</v>
      </c>
      <c r="AE241" s="85">
        <f t="shared" si="92"/>
        <v>125</v>
      </c>
      <c r="AF241" s="85">
        <f t="shared" si="92"/>
        <v>173</v>
      </c>
      <c r="AG241" s="85">
        <f t="shared" si="92"/>
        <v>23</v>
      </c>
      <c r="AH241" s="85">
        <f t="shared" si="92"/>
        <v>20</v>
      </c>
      <c r="AI241" s="85">
        <f t="shared" si="92"/>
        <v>0</v>
      </c>
      <c r="AJ241" s="85">
        <f t="shared" si="92"/>
        <v>0</v>
      </c>
      <c r="AK241" s="85">
        <f t="shared" si="92"/>
        <v>0</v>
      </c>
      <c r="AL241" s="86">
        <f t="shared" si="92"/>
        <v>0</v>
      </c>
      <c r="AM241" s="86">
        <f t="shared" si="92"/>
        <v>0</v>
      </c>
      <c r="AN241" s="86">
        <f t="shared" si="92"/>
        <v>0</v>
      </c>
      <c r="AO241" s="86">
        <f t="shared" si="92"/>
        <v>0</v>
      </c>
      <c r="AP241" s="86">
        <f t="shared" si="92"/>
        <v>0</v>
      </c>
      <c r="AQ241" s="86">
        <f t="shared" si="92"/>
        <v>0</v>
      </c>
      <c r="AR241" s="86">
        <f t="shared" si="92"/>
        <v>0</v>
      </c>
      <c r="AS241" s="86">
        <f t="shared" si="92"/>
        <v>0</v>
      </c>
      <c r="AT241" s="86">
        <f t="shared" si="92"/>
        <v>0</v>
      </c>
      <c r="AU241" s="86">
        <f t="shared" si="92"/>
        <v>0</v>
      </c>
      <c r="AV241" s="86">
        <f t="shared" si="92"/>
        <v>0</v>
      </c>
      <c r="AW241" s="86">
        <f t="shared" si="92"/>
        <v>0</v>
      </c>
      <c r="AX241" s="86">
        <f t="shared" si="92"/>
        <v>0</v>
      </c>
      <c r="AY241" s="86">
        <f t="shared" si="92"/>
        <v>0</v>
      </c>
      <c r="AZ241" s="86">
        <f t="shared" si="92"/>
        <v>0</v>
      </c>
    </row>
    <row r="242" spans="1:52" s="25" customFormat="1" ht="15" customHeight="1" outlineLevel="2" x14ac:dyDescent="0.45">
      <c r="A242" s="12">
        <v>4509555115</v>
      </c>
      <c r="B242" s="13">
        <v>10</v>
      </c>
      <c r="C242" s="13" t="s">
        <v>808</v>
      </c>
      <c r="D242" s="14"/>
      <c r="E242" s="14"/>
      <c r="F242" s="15" t="s">
        <v>366</v>
      </c>
      <c r="G242" s="15">
        <v>1014</v>
      </c>
      <c r="H242" s="15" t="s">
        <v>118</v>
      </c>
      <c r="I242" s="15" t="s">
        <v>152</v>
      </c>
      <c r="J242" s="14"/>
      <c r="K242" s="14">
        <v>45206</v>
      </c>
      <c r="L242" s="16" t="s">
        <v>809</v>
      </c>
      <c r="M242" s="14">
        <v>45105</v>
      </c>
      <c r="N242" s="17" t="str">
        <f t="shared" ref="N242:N249" si="93">+LEFT(L242,5)</f>
        <v>T3K99</v>
      </c>
      <c r="O242" s="18" t="s">
        <v>485</v>
      </c>
      <c r="P242" s="19" t="s">
        <v>393</v>
      </c>
      <c r="Q242" s="20" t="s">
        <v>677</v>
      </c>
      <c r="R242" s="21" t="s">
        <v>6</v>
      </c>
      <c r="S242" s="22">
        <f t="shared" si="80"/>
        <v>426</v>
      </c>
      <c r="T242" s="22"/>
      <c r="U242" s="22"/>
      <c r="V242" s="22"/>
      <c r="W242" s="23">
        <v>6</v>
      </c>
      <c r="X242" s="23">
        <v>6</v>
      </c>
      <c r="Y242" s="23">
        <v>18</v>
      </c>
      <c r="Z242" s="23">
        <v>30</v>
      </c>
      <c r="AA242" s="23">
        <v>48</v>
      </c>
      <c r="AB242" s="23">
        <v>54</v>
      </c>
      <c r="AC242" s="23">
        <v>66</v>
      </c>
      <c r="AD242" s="23">
        <v>54</v>
      </c>
      <c r="AE242" s="23">
        <v>48</v>
      </c>
      <c r="AF242" s="23">
        <v>30</v>
      </c>
      <c r="AG242" s="23">
        <v>30</v>
      </c>
      <c r="AH242" s="23">
        <v>12</v>
      </c>
      <c r="AI242" s="23">
        <v>12</v>
      </c>
      <c r="AJ242" s="23">
        <v>6</v>
      </c>
      <c r="AK242" s="23">
        <v>6</v>
      </c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</row>
    <row r="243" spans="1:52" s="25" customFormat="1" ht="15" customHeight="1" outlineLevel="2" x14ac:dyDescent="0.45">
      <c r="A243" s="12">
        <v>4509558133</v>
      </c>
      <c r="B243" s="13">
        <v>10</v>
      </c>
      <c r="C243" s="13" t="s">
        <v>810</v>
      </c>
      <c r="D243" s="14"/>
      <c r="E243" s="14"/>
      <c r="F243" s="15" t="s">
        <v>366</v>
      </c>
      <c r="G243" s="15">
        <v>254171</v>
      </c>
      <c r="H243" s="15" t="s">
        <v>118</v>
      </c>
      <c r="I243" s="15" t="s">
        <v>152</v>
      </c>
      <c r="J243" s="14"/>
      <c r="K243" s="14">
        <v>45206</v>
      </c>
      <c r="L243" s="16" t="s">
        <v>811</v>
      </c>
      <c r="M243" s="14">
        <v>45105</v>
      </c>
      <c r="N243" s="17" t="str">
        <f t="shared" si="93"/>
        <v>T3K99</v>
      </c>
      <c r="O243" s="18" t="s">
        <v>485</v>
      </c>
      <c r="P243" s="19" t="s">
        <v>393</v>
      </c>
      <c r="Q243" s="20" t="s">
        <v>677</v>
      </c>
      <c r="R243" s="21" t="s">
        <v>6</v>
      </c>
      <c r="S243" s="22">
        <f t="shared" si="80"/>
        <v>1800</v>
      </c>
      <c r="T243" s="22"/>
      <c r="U243" s="22"/>
      <c r="V243" s="22"/>
      <c r="W243" s="23">
        <v>36</v>
      </c>
      <c r="X243" s="23">
        <v>36</v>
      </c>
      <c r="Y243" s="23">
        <v>108</v>
      </c>
      <c r="Z243" s="23">
        <v>132</v>
      </c>
      <c r="AA243" s="23">
        <v>192</v>
      </c>
      <c r="AB243" s="23">
        <v>228</v>
      </c>
      <c r="AC243" s="23">
        <v>276</v>
      </c>
      <c r="AD243" s="23">
        <v>228</v>
      </c>
      <c r="AE243" s="23">
        <v>192</v>
      </c>
      <c r="AF243" s="23">
        <v>132</v>
      </c>
      <c r="AG243" s="23">
        <v>132</v>
      </c>
      <c r="AH243" s="23">
        <v>24</v>
      </c>
      <c r="AI243" s="23">
        <v>60</v>
      </c>
      <c r="AJ243" s="23">
        <v>12</v>
      </c>
      <c r="AK243" s="23">
        <v>12</v>
      </c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</row>
    <row r="244" spans="1:52" s="25" customFormat="1" ht="15" customHeight="1" outlineLevel="2" x14ac:dyDescent="0.45">
      <c r="A244" s="12">
        <v>4509560228</v>
      </c>
      <c r="B244" s="13">
        <v>20</v>
      </c>
      <c r="C244" s="13" t="s">
        <v>812</v>
      </c>
      <c r="D244" s="14"/>
      <c r="E244" s="14"/>
      <c r="F244" s="15" t="s">
        <v>366</v>
      </c>
      <c r="G244" s="15">
        <v>448539</v>
      </c>
      <c r="H244" s="15" t="s">
        <v>693</v>
      </c>
      <c r="I244" s="15" t="s">
        <v>152</v>
      </c>
      <c r="J244" s="14"/>
      <c r="K244" s="14">
        <v>45199</v>
      </c>
      <c r="L244" s="16" t="s">
        <v>813</v>
      </c>
      <c r="M244" s="14">
        <v>45105</v>
      </c>
      <c r="N244" s="17" t="str">
        <f t="shared" si="93"/>
        <v>T3K99</v>
      </c>
      <c r="O244" s="18" t="s">
        <v>485</v>
      </c>
      <c r="P244" s="19" t="s">
        <v>393</v>
      </c>
      <c r="Q244" s="20" t="s">
        <v>677</v>
      </c>
      <c r="R244" s="21" t="s">
        <v>6</v>
      </c>
      <c r="S244" s="22">
        <f t="shared" si="80"/>
        <v>1500</v>
      </c>
      <c r="T244" s="22"/>
      <c r="U244" s="22"/>
      <c r="V244" s="22"/>
      <c r="W244" s="23"/>
      <c r="X244" s="23">
        <v>72</v>
      </c>
      <c r="Y244" s="23">
        <v>78</v>
      </c>
      <c r="Z244" s="23">
        <v>225</v>
      </c>
      <c r="AA244" s="23">
        <v>309</v>
      </c>
      <c r="AB244" s="23">
        <v>168</v>
      </c>
      <c r="AC244" s="23">
        <v>324</v>
      </c>
      <c r="AD244" s="23">
        <v>186</v>
      </c>
      <c r="AE244" s="23">
        <v>72</v>
      </c>
      <c r="AF244" s="23">
        <v>63</v>
      </c>
      <c r="AG244" s="23">
        <v>3</v>
      </c>
      <c r="AH244" s="23"/>
      <c r="AI244" s="23"/>
      <c r="AJ244" s="23"/>
      <c r="AK244" s="23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</row>
    <row r="245" spans="1:52" s="25" customFormat="1" ht="15" customHeight="1" outlineLevel="2" x14ac:dyDescent="0.45">
      <c r="A245" s="12">
        <v>4509554484</v>
      </c>
      <c r="B245" s="13">
        <v>10</v>
      </c>
      <c r="C245" s="13" t="s">
        <v>814</v>
      </c>
      <c r="D245" s="14"/>
      <c r="E245" s="14"/>
      <c r="F245" s="15" t="s">
        <v>366</v>
      </c>
      <c r="G245" s="15">
        <v>1064</v>
      </c>
      <c r="H245" s="15" t="s">
        <v>5</v>
      </c>
      <c r="I245" s="15" t="s">
        <v>152</v>
      </c>
      <c r="J245" s="14"/>
      <c r="K245" s="14">
        <v>45199</v>
      </c>
      <c r="L245" s="16" t="s">
        <v>815</v>
      </c>
      <c r="M245" s="14">
        <v>45105</v>
      </c>
      <c r="N245" s="17" t="str">
        <f t="shared" si="93"/>
        <v>T3K99</v>
      </c>
      <c r="O245" s="18" t="s">
        <v>485</v>
      </c>
      <c r="P245" s="19" t="s">
        <v>393</v>
      </c>
      <c r="Q245" s="20" t="s">
        <v>677</v>
      </c>
      <c r="R245" s="21" t="s">
        <v>6</v>
      </c>
      <c r="S245" s="22">
        <f t="shared" si="80"/>
        <v>924</v>
      </c>
      <c r="T245" s="22"/>
      <c r="U245" s="22"/>
      <c r="V245" s="22"/>
      <c r="W245" s="23">
        <v>6</v>
      </c>
      <c r="X245" s="23">
        <v>42</v>
      </c>
      <c r="Y245" s="23">
        <v>30</v>
      </c>
      <c r="Z245" s="23">
        <v>108</v>
      </c>
      <c r="AA245" s="23">
        <v>108</v>
      </c>
      <c r="AB245" s="23">
        <v>96</v>
      </c>
      <c r="AC245" s="23">
        <v>150</v>
      </c>
      <c r="AD245" s="23">
        <v>138</v>
      </c>
      <c r="AE245" s="23">
        <v>72</v>
      </c>
      <c r="AF245" s="23">
        <v>84</v>
      </c>
      <c r="AG245" s="23">
        <v>36</v>
      </c>
      <c r="AH245" s="23">
        <v>30</v>
      </c>
      <c r="AI245" s="23">
        <v>12</v>
      </c>
      <c r="AJ245" s="23">
        <v>6</v>
      </c>
      <c r="AK245" s="23">
        <v>6</v>
      </c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</row>
    <row r="246" spans="1:52" s="25" customFormat="1" ht="15" customHeight="1" outlineLevel="2" x14ac:dyDescent="0.45">
      <c r="A246" s="12">
        <v>4509562321</v>
      </c>
      <c r="B246" s="13">
        <v>20</v>
      </c>
      <c r="C246" s="13" t="s">
        <v>816</v>
      </c>
      <c r="D246" s="14"/>
      <c r="E246" s="14"/>
      <c r="F246" s="15" t="s">
        <v>366</v>
      </c>
      <c r="G246" s="15">
        <v>467424</v>
      </c>
      <c r="H246" s="15" t="s">
        <v>690</v>
      </c>
      <c r="I246" s="15" t="s">
        <v>152</v>
      </c>
      <c r="J246" s="14"/>
      <c r="K246" s="14">
        <v>45199</v>
      </c>
      <c r="L246" s="16" t="s">
        <v>817</v>
      </c>
      <c r="M246" s="14">
        <v>45105</v>
      </c>
      <c r="N246" s="17" t="str">
        <f t="shared" si="93"/>
        <v>T3K99</v>
      </c>
      <c r="O246" s="18" t="s">
        <v>485</v>
      </c>
      <c r="P246" s="19" t="s">
        <v>393</v>
      </c>
      <c r="Q246" s="20" t="s">
        <v>677</v>
      </c>
      <c r="R246" s="21" t="s">
        <v>6</v>
      </c>
      <c r="S246" s="22">
        <f t="shared" si="80"/>
        <v>252</v>
      </c>
      <c r="T246" s="22"/>
      <c r="U246" s="22"/>
      <c r="V246" s="22"/>
      <c r="W246" s="23"/>
      <c r="X246" s="23">
        <v>6</v>
      </c>
      <c r="Y246" s="23">
        <v>18</v>
      </c>
      <c r="Z246" s="23">
        <v>30</v>
      </c>
      <c r="AA246" s="23">
        <v>42</v>
      </c>
      <c r="AB246" s="23">
        <v>36</v>
      </c>
      <c r="AC246" s="23">
        <v>42</v>
      </c>
      <c r="AD246" s="23">
        <v>36</v>
      </c>
      <c r="AE246" s="23">
        <v>24</v>
      </c>
      <c r="AF246" s="23">
        <v>18</v>
      </c>
      <c r="AG246" s="23"/>
      <c r="AH246" s="23"/>
      <c r="AI246" s="23"/>
      <c r="AJ246" s="23"/>
      <c r="AK246" s="23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</row>
    <row r="247" spans="1:52" s="25" customFormat="1" ht="15" customHeight="1" outlineLevel="2" x14ac:dyDescent="0.45">
      <c r="A247" s="12">
        <v>4509559949</v>
      </c>
      <c r="B247" s="13">
        <v>10</v>
      </c>
      <c r="C247" s="13" t="s">
        <v>818</v>
      </c>
      <c r="D247" s="14"/>
      <c r="E247" s="14"/>
      <c r="F247" s="15" t="s">
        <v>366</v>
      </c>
      <c r="G247" s="15">
        <v>499557</v>
      </c>
      <c r="H247" s="15" t="s">
        <v>786</v>
      </c>
      <c r="I247" s="15" t="s">
        <v>152</v>
      </c>
      <c r="J247" s="14"/>
      <c r="K247" s="14">
        <v>45206</v>
      </c>
      <c r="L247" s="16" t="s">
        <v>819</v>
      </c>
      <c r="M247" s="14">
        <v>45105</v>
      </c>
      <c r="N247" s="17" t="str">
        <f t="shared" si="93"/>
        <v>T3K99</v>
      </c>
      <c r="O247" s="18" t="s">
        <v>485</v>
      </c>
      <c r="P247" s="19" t="s">
        <v>393</v>
      </c>
      <c r="Q247" s="20" t="s">
        <v>677</v>
      </c>
      <c r="R247" s="21" t="s">
        <v>6</v>
      </c>
      <c r="S247" s="22">
        <f t="shared" si="80"/>
        <v>264</v>
      </c>
      <c r="T247" s="22"/>
      <c r="U247" s="22"/>
      <c r="V247" s="22"/>
      <c r="W247" s="23"/>
      <c r="X247" s="23"/>
      <c r="Y247" s="23">
        <v>24</v>
      </c>
      <c r="Z247" s="23">
        <v>36</v>
      </c>
      <c r="AA247" s="23">
        <v>48</v>
      </c>
      <c r="AB247" s="23">
        <v>42</v>
      </c>
      <c r="AC247" s="23">
        <v>42</v>
      </c>
      <c r="AD247" s="23">
        <v>36</v>
      </c>
      <c r="AE247" s="23">
        <v>24</v>
      </c>
      <c r="AF247" s="23">
        <v>12</v>
      </c>
      <c r="AG247" s="23"/>
      <c r="AH247" s="23"/>
      <c r="AI247" s="23"/>
      <c r="AJ247" s="23"/>
      <c r="AK247" s="23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</row>
    <row r="248" spans="1:52" s="25" customFormat="1" ht="15" customHeight="1" outlineLevel="2" x14ac:dyDescent="0.45">
      <c r="A248" s="12">
        <v>4509562115</v>
      </c>
      <c r="B248" s="13">
        <v>20</v>
      </c>
      <c r="C248" s="13" t="s">
        <v>820</v>
      </c>
      <c r="D248" s="14"/>
      <c r="E248" s="14"/>
      <c r="F248" s="15" t="s">
        <v>366</v>
      </c>
      <c r="G248" s="15">
        <v>448548</v>
      </c>
      <c r="H248" s="15" t="s">
        <v>674</v>
      </c>
      <c r="I248" s="15" t="s">
        <v>152</v>
      </c>
      <c r="J248" s="14"/>
      <c r="K248" s="14">
        <v>45206</v>
      </c>
      <c r="L248" s="16" t="s">
        <v>821</v>
      </c>
      <c r="M248" s="14">
        <v>45105</v>
      </c>
      <c r="N248" s="17" t="str">
        <f t="shared" si="93"/>
        <v>T3K99</v>
      </c>
      <c r="O248" s="18" t="s">
        <v>485</v>
      </c>
      <c r="P248" s="19" t="s">
        <v>393</v>
      </c>
      <c r="Q248" s="20" t="s">
        <v>677</v>
      </c>
      <c r="R248" s="21" t="s">
        <v>6</v>
      </c>
      <c r="S248" s="22">
        <f t="shared" si="80"/>
        <v>1</v>
      </c>
      <c r="T248" s="22"/>
      <c r="U248" s="22"/>
      <c r="V248" s="22"/>
      <c r="W248" s="23"/>
      <c r="X248" s="23"/>
      <c r="Y248" s="23"/>
      <c r="Z248" s="23"/>
      <c r="AA248" s="23"/>
      <c r="AB248" s="23"/>
      <c r="AC248" s="23">
        <v>1</v>
      </c>
      <c r="AD248" s="23"/>
      <c r="AE248" s="23"/>
      <c r="AF248" s="23"/>
      <c r="AG248" s="23"/>
      <c r="AH248" s="23"/>
      <c r="AI248" s="23"/>
      <c r="AJ248" s="23"/>
      <c r="AK248" s="23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</row>
    <row r="249" spans="1:52" s="25" customFormat="1" ht="15" customHeight="1" outlineLevel="2" x14ac:dyDescent="0.45">
      <c r="A249" s="12">
        <v>4509554212</v>
      </c>
      <c r="B249" s="13">
        <v>20</v>
      </c>
      <c r="C249" s="13" t="s">
        <v>822</v>
      </c>
      <c r="D249" s="14"/>
      <c r="E249" s="14"/>
      <c r="F249" s="15" t="s">
        <v>366</v>
      </c>
      <c r="G249" s="15">
        <v>1098</v>
      </c>
      <c r="H249" s="15" t="s">
        <v>381</v>
      </c>
      <c r="I249" s="15" t="s">
        <v>152</v>
      </c>
      <c r="J249" s="14"/>
      <c r="K249" s="14">
        <v>45206</v>
      </c>
      <c r="L249" s="16" t="s">
        <v>823</v>
      </c>
      <c r="M249" s="14">
        <v>45105</v>
      </c>
      <c r="N249" s="17" t="str">
        <f t="shared" si="93"/>
        <v>T3K99</v>
      </c>
      <c r="O249" s="18" t="s">
        <v>485</v>
      </c>
      <c r="P249" s="19" t="s">
        <v>393</v>
      </c>
      <c r="Q249" s="20" t="s">
        <v>677</v>
      </c>
      <c r="R249" s="21" t="s">
        <v>6</v>
      </c>
      <c r="S249" s="22">
        <f t="shared" si="80"/>
        <v>282</v>
      </c>
      <c r="T249" s="22"/>
      <c r="U249" s="22"/>
      <c r="V249" s="22"/>
      <c r="W249" s="23">
        <v>24</v>
      </c>
      <c r="X249" s="23"/>
      <c r="Y249" s="23">
        <v>12</v>
      </c>
      <c r="Z249" s="23">
        <v>36</v>
      </c>
      <c r="AA249" s="23">
        <v>12</v>
      </c>
      <c r="AB249" s="23">
        <v>54</v>
      </c>
      <c r="AC249" s="23">
        <v>18</v>
      </c>
      <c r="AD249" s="23">
        <v>24</v>
      </c>
      <c r="AE249" s="23">
        <v>30</v>
      </c>
      <c r="AF249" s="23"/>
      <c r="AG249" s="23">
        <v>72</v>
      </c>
      <c r="AH249" s="23"/>
      <c r="AI249" s="23"/>
      <c r="AJ249" s="23"/>
      <c r="AK249" s="23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</row>
    <row r="250" spans="1:52" s="26" customFormat="1" ht="15" customHeight="1" outlineLevel="1" x14ac:dyDescent="0.45">
      <c r="A250" s="38"/>
      <c r="B250" s="39"/>
      <c r="C250" s="39"/>
      <c r="D250" s="40"/>
      <c r="E250" s="40"/>
      <c r="F250" s="16"/>
      <c r="G250" s="16"/>
      <c r="H250" s="16"/>
      <c r="I250" s="16"/>
      <c r="J250" s="40"/>
      <c r="K250" s="40"/>
      <c r="L250" s="16"/>
      <c r="M250" s="40"/>
      <c r="N250" s="41" t="s">
        <v>824</v>
      </c>
      <c r="O250" s="42"/>
      <c r="P250" s="43"/>
      <c r="Q250" s="44"/>
      <c r="R250" s="45"/>
      <c r="S250" s="46">
        <f t="shared" ref="S250:AZ250" si="94">SUBTOTAL(9,S242:S249)</f>
        <v>5449</v>
      </c>
      <c r="T250" s="46">
        <f t="shared" si="94"/>
        <v>0</v>
      </c>
      <c r="U250" s="46">
        <f t="shared" si="94"/>
        <v>0</v>
      </c>
      <c r="V250" s="46">
        <f t="shared" si="94"/>
        <v>0</v>
      </c>
      <c r="W250" s="85">
        <f t="shared" si="94"/>
        <v>72</v>
      </c>
      <c r="X250" s="85">
        <f t="shared" si="94"/>
        <v>162</v>
      </c>
      <c r="Y250" s="85">
        <f t="shared" si="94"/>
        <v>288</v>
      </c>
      <c r="Z250" s="85">
        <f t="shared" si="94"/>
        <v>597</v>
      </c>
      <c r="AA250" s="85">
        <f t="shared" si="94"/>
        <v>759</v>
      </c>
      <c r="AB250" s="85">
        <f t="shared" si="94"/>
        <v>678</v>
      </c>
      <c r="AC250" s="85">
        <f t="shared" si="94"/>
        <v>919</v>
      </c>
      <c r="AD250" s="85">
        <f t="shared" si="94"/>
        <v>702</v>
      </c>
      <c r="AE250" s="85">
        <f t="shared" si="94"/>
        <v>462</v>
      </c>
      <c r="AF250" s="85">
        <f t="shared" si="94"/>
        <v>339</v>
      </c>
      <c r="AG250" s="85">
        <f t="shared" si="94"/>
        <v>273</v>
      </c>
      <c r="AH250" s="85">
        <f t="shared" si="94"/>
        <v>66</v>
      </c>
      <c r="AI250" s="85">
        <f t="shared" si="94"/>
        <v>84</v>
      </c>
      <c r="AJ250" s="85">
        <f t="shared" si="94"/>
        <v>24</v>
      </c>
      <c r="AK250" s="85">
        <f t="shared" si="94"/>
        <v>24</v>
      </c>
      <c r="AL250" s="86">
        <f t="shared" si="94"/>
        <v>0</v>
      </c>
      <c r="AM250" s="86">
        <f t="shared" si="94"/>
        <v>0</v>
      </c>
      <c r="AN250" s="86">
        <f t="shared" si="94"/>
        <v>0</v>
      </c>
      <c r="AO250" s="86">
        <f t="shared" si="94"/>
        <v>0</v>
      </c>
      <c r="AP250" s="86">
        <f t="shared" si="94"/>
        <v>0</v>
      </c>
      <c r="AQ250" s="86">
        <f t="shared" si="94"/>
        <v>0</v>
      </c>
      <c r="AR250" s="86">
        <f t="shared" si="94"/>
        <v>0</v>
      </c>
      <c r="AS250" s="86">
        <f t="shared" si="94"/>
        <v>0</v>
      </c>
      <c r="AT250" s="86">
        <f t="shared" si="94"/>
        <v>0</v>
      </c>
      <c r="AU250" s="86">
        <f t="shared" si="94"/>
        <v>0</v>
      </c>
      <c r="AV250" s="86">
        <f t="shared" si="94"/>
        <v>0</v>
      </c>
      <c r="AW250" s="86">
        <f t="shared" si="94"/>
        <v>0</v>
      </c>
      <c r="AX250" s="86">
        <f t="shared" si="94"/>
        <v>0</v>
      </c>
      <c r="AY250" s="86">
        <f t="shared" si="94"/>
        <v>0</v>
      </c>
      <c r="AZ250" s="86">
        <f t="shared" si="94"/>
        <v>0</v>
      </c>
    </row>
    <row r="251" spans="1:52" s="25" customFormat="1" ht="15" customHeight="1" outlineLevel="2" x14ac:dyDescent="0.45">
      <c r="A251" s="12">
        <v>4509562115</v>
      </c>
      <c r="B251" s="13">
        <v>10</v>
      </c>
      <c r="C251" s="13" t="s">
        <v>825</v>
      </c>
      <c r="D251" s="14"/>
      <c r="E251" s="14"/>
      <c r="F251" s="15" t="s">
        <v>366</v>
      </c>
      <c r="G251" s="15">
        <v>448548</v>
      </c>
      <c r="H251" s="15" t="s">
        <v>674</v>
      </c>
      <c r="I251" s="15" t="s">
        <v>152</v>
      </c>
      <c r="J251" s="14"/>
      <c r="K251" s="14">
        <v>45206</v>
      </c>
      <c r="L251" s="16" t="s">
        <v>826</v>
      </c>
      <c r="M251" s="14">
        <v>45105</v>
      </c>
      <c r="N251" s="17" t="str">
        <f>+LEFT(L251,5)</f>
        <v>T3KA1</v>
      </c>
      <c r="O251" s="18" t="s">
        <v>827</v>
      </c>
      <c r="P251" s="19" t="s">
        <v>393</v>
      </c>
      <c r="Q251" s="20" t="s">
        <v>677</v>
      </c>
      <c r="R251" s="21" t="s">
        <v>6</v>
      </c>
      <c r="S251" s="22">
        <f t="shared" si="80"/>
        <v>1</v>
      </c>
      <c r="T251" s="22"/>
      <c r="U251" s="22"/>
      <c r="V251" s="22"/>
      <c r="W251" s="23"/>
      <c r="X251" s="23"/>
      <c r="Y251" s="23"/>
      <c r="Z251" s="23"/>
      <c r="AA251" s="23"/>
      <c r="AB251" s="23"/>
      <c r="AC251" s="23">
        <v>1</v>
      </c>
      <c r="AD251" s="23"/>
      <c r="AE251" s="23"/>
      <c r="AF251" s="23"/>
      <c r="AG251" s="23"/>
      <c r="AH251" s="23"/>
      <c r="AI251" s="23"/>
      <c r="AJ251" s="23"/>
      <c r="AK251" s="23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</row>
    <row r="252" spans="1:52" s="26" customFormat="1" ht="15" customHeight="1" outlineLevel="1" x14ac:dyDescent="0.45">
      <c r="A252" s="38"/>
      <c r="B252" s="39"/>
      <c r="C252" s="39"/>
      <c r="D252" s="40"/>
      <c r="E252" s="40"/>
      <c r="F252" s="16"/>
      <c r="G252" s="16"/>
      <c r="H252" s="16"/>
      <c r="I252" s="16"/>
      <c r="J252" s="40"/>
      <c r="K252" s="40"/>
      <c r="L252" s="16"/>
      <c r="M252" s="40"/>
      <c r="N252" s="41" t="s">
        <v>828</v>
      </c>
      <c r="O252" s="42"/>
      <c r="P252" s="43"/>
      <c r="Q252" s="44"/>
      <c r="R252" s="45"/>
      <c r="S252" s="46">
        <f t="shared" ref="S252:AZ252" si="95">SUBTOTAL(9,S251:S251)</f>
        <v>1</v>
      </c>
      <c r="T252" s="46">
        <f t="shared" si="95"/>
        <v>0</v>
      </c>
      <c r="U252" s="46">
        <f t="shared" si="95"/>
        <v>0</v>
      </c>
      <c r="V252" s="46">
        <f t="shared" si="95"/>
        <v>0</v>
      </c>
      <c r="W252" s="85">
        <f t="shared" si="95"/>
        <v>0</v>
      </c>
      <c r="X252" s="85">
        <f t="shared" si="95"/>
        <v>0</v>
      </c>
      <c r="Y252" s="85">
        <f t="shared" si="95"/>
        <v>0</v>
      </c>
      <c r="Z252" s="85">
        <f t="shared" si="95"/>
        <v>0</v>
      </c>
      <c r="AA252" s="85">
        <f t="shared" si="95"/>
        <v>0</v>
      </c>
      <c r="AB252" s="85">
        <f t="shared" si="95"/>
        <v>0</v>
      </c>
      <c r="AC252" s="85">
        <f t="shared" si="95"/>
        <v>1</v>
      </c>
      <c r="AD252" s="85">
        <f t="shared" si="95"/>
        <v>0</v>
      </c>
      <c r="AE252" s="85">
        <f t="shared" si="95"/>
        <v>0</v>
      </c>
      <c r="AF252" s="85">
        <f t="shared" si="95"/>
        <v>0</v>
      </c>
      <c r="AG252" s="85">
        <f t="shared" si="95"/>
        <v>0</v>
      </c>
      <c r="AH252" s="85">
        <f t="shared" si="95"/>
        <v>0</v>
      </c>
      <c r="AI252" s="85">
        <f t="shared" si="95"/>
        <v>0</v>
      </c>
      <c r="AJ252" s="85">
        <f t="shared" si="95"/>
        <v>0</v>
      </c>
      <c r="AK252" s="85">
        <f t="shared" si="95"/>
        <v>0</v>
      </c>
      <c r="AL252" s="86">
        <f t="shared" si="95"/>
        <v>0</v>
      </c>
      <c r="AM252" s="86">
        <f t="shared" si="95"/>
        <v>0</v>
      </c>
      <c r="AN252" s="86">
        <f t="shared" si="95"/>
        <v>0</v>
      </c>
      <c r="AO252" s="86">
        <f t="shared" si="95"/>
        <v>0</v>
      </c>
      <c r="AP252" s="86">
        <f t="shared" si="95"/>
        <v>0</v>
      </c>
      <c r="AQ252" s="86">
        <f t="shared" si="95"/>
        <v>0</v>
      </c>
      <c r="AR252" s="86">
        <f t="shared" si="95"/>
        <v>0</v>
      </c>
      <c r="AS252" s="86">
        <f t="shared" si="95"/>
        <v>0</v>
      </c>
      <c r="AT252" s="86">
        <f t="shared" si="95"/>
        <v>0</v>
      </c>
      <c r="AU252" s="86">
        <f t="shared" si="95"/>
        <v>0</v>
      </c>
      <c r="AV252" s="86">
        <f t="shared" si="95"/>
        <v>0</v>
      </c>
      <c r="AW252" s="86">
        <f t="shared" si="95"/>
        <v>0</v>
      </c>
      <c r="AX252" s="86">
        <f t="shared" si="95"/>
        <v>0</v>
      </c>
      <c r="AY252" s="86">
        <f t="shared" si="95"/>
        <v>0</v>
      </c>
      <c r="AZ252" s="86">
        <f t="shared" si="95"/>
        <v>0</v>
      </c>
    </row>
    <row r="253" spans="1:52" s="25" customFormat="1" ht="15" customHeight="1" outlineLevel="2" x14ac:dyDescent="0.45">
      <c r="A253" s="12">
        <v>4509561848</v>
      </c>
      <c r="B253" s="13">
        <v>10</v>
      </c>
      <c r="C253" s="13" t="s">
        <v>829</v>
      </c>
      <c r="D253" s="14"/>
      <c r="E253" s="14" t="s">
        <v>165</v>
      </c>
      <c r="F253" s="15" t="s">
        <v>366</v>
      </c>
      <c r="G253" s="15">
        <v>1014</v>
      </c>
      <c r="H253" s="15" t="s">
        <v>118</v>
      </c>
      <c r="I253" s="15" t="s">
        <v>152</v>
      </c>
      <c r="J253" s="14"/>
      <c r="K253" s="14">
        <v>45199</v>
      </c>
      <c r="L253" s="16" t="s">
        <v>830</v>
      </c>
      <c r="M253" s="14">
        <v>45106</v>
      </c>
      <c r="N253" s="17" t="str">
        <f>+LEFT(L253,5)</f>
        <v>T3KA2</v>
      </c>
      <c r="O253" s="18" t="s">
        <v>827</v>
      </c>
      <c r="P253" s="19" t="s">
        <v>393</v>
      </c>
      <c r="Q253" s="20" t="s">
        <v>677</v>
      </c>
      <c r="R253" s="21" t="s">
        <v>6</v>
      </c>
      <c r="S253" s="22">
        <f t="shared" si="80"/>
        <v>260</v>
      </c>
      <c r="T253" s="22"/>
      <c r="U253" s="22"/>
      <c r="V253" s="22"/>
      <c r="W253" s="23">
        <v>2</v>
      </c>
      <c r="X253" s="23">
        <v>4</v>
      </c>
      <c r="Y253" s="23">
        <v>14</v>
      </c>
      <c r="Z253" s="23">
        <v>18</v>
      </c>
      <c r="AA253" s="23">
        <v>30</v>
      </c>
      <c r="AB253" s="23">
        <v>34</v>
      </c>
      <c r="AC253" s="23">
        <v>41</v>
      </c>
      <c r="AD253" s="23">
        <v>35</v>
      </c>
      <c r="AE253" s="23">
        <v>30</v>
      </c>
      <c r="AF253" s="23">
        <v>19</v>
      </c>
      <c r="AG253" s="23">
        <v>18</v>
      </c>
      <c r="AH253" s="23">
        <v>4</v>
      </c>
      <c r="AI253" s="23">
        <v>7</v>
      </c>
      <c r="AJ253" s="23">
        <v>2</v>
      </c>
      <c r="AK253" s="23">
        <v>2</v>
      </c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</row>
    <row r="254" spans="1:52" s="26" customFormat="1" ht="15" customHeight="1" outlineLevel="1" x14ac:dyDescent="0.45">
      <c r="A254" s="38"/>
      <c r="B254" s="39"/>
      <c r="C254" s="39"/>
      <c r="D254" s="40"/>
      <c r="E254" s="40"/>
      <c r="F254" s="16"/>
      <c r="G254" s="16"/>
      <c r="H254" s="16"/>
      <c r="I254" s="16"/>
      <c r="J254" s="40"/>
      <c r="K254" s="40"/>
      <c r="L254" s="16"/>
      <c r="M254" s="40"/>
      <c r="N254" s="41" t="s">
        <v>831</v>
      </c>
      <c r="O254" s="42"/>
      <c r="P254" s="43"/>
      <c r="Q254" s="44"/>
      <c r="R254" s="45"/>
      <c r="S254" s="46">
        <f t="shared" ref="S254:AZ254" si="96">SUBTOTAL(9,S253:S253)</f>
        <v>260</v>
      </c>
      <c r="T254" s="46">
        <f t="shared" si="96"/>
        <v>0</v>
      </c>
      <c r="U254" s="46">
        <f t="shared" si="96"/>
        <v>0</v>
      </c>
      <c r="V254" s="46">
        <f t="shared" si="96"/>
        <v>0</v>
      </c>
      <c r="W254" s="85">
        <f t="shared" si="96"/>
        <v>2</v>
      </c>
      <c r="X254" s="85">
        <f t="shared" si="96"/>
        <v>4</v>
      </c>
      <c r="Y254" s="85">
        <f t="shared" si="96"/>
        <v>14</v>
      </c>
      <c r="Z254" s="85">
        <f t="shared" si="96"/>
        <v>18</v>
      </c>
      <c r="AA254" s="85">
        <f t="shared" si="96"/>
        <v>30</v>
      </c>
      <c r="AB254" s="85">
        <f t="shared" si="96"/>
        <v>34</v>
      </c>
      <c r="AC254" s="85">
        <f t="shared" si="96"/>
        <v>41</v>
      </c>
      <c r="AD254" s="85">
        <f t="shared" si="96"/>
        <v>35</v>
      </c>
      <c r="AE254" s="85">
        <f t="shared" si="96"/>
        <v>30</v>
      </c>
      <c r="AF254" s="85">
        <f t="shared" si="96"/>
        <v>19</v>
      </c>
      <c r="AG254" s="85">
        <f t="shared" si="96"/>
        <v>18</v>
      </c>
      <c r="AH254" s="85">
        <f t="shared" si="96"/>
        <v>4</v>
      </c>
      <c r="AI254" s="85">
        <f t="shared" si="96"/>
        <v>7</v>
      </c>
      <c r="AJ254" s="85">
        <f t="shared" si="96"/>
        <v>2</v>
      </c>
      <c r="AK254" s="85">
        <f t="shared" si="96"/>
        <v>2</v>
      </c>
      <c r="AL254" s="86">
        <f t="shared" si="96"/>
        <v>0</v>
      </c>
      <c r="AM254" s="86">
        <f t="shared" si="96"/>
        <v>0</v>
      </c>
      <c r="AN254" s="86">
        <f t="shared" si="96"/>
        <v>0</v>
      </c>
      <c r="AO254" s="86">
        <f t="shared" si="96"/>
        <v>0</v>
      </c>
      <c r="AP254" s="86">
        <f t="shared" si="96"/>
        <v>0</v>
      </c>
      <c r="AQ254" s="86">
        <f t="shared" si="96"/>
        <v>0</v>
      </c>
      <c r="AR254" s="86">
        <f t="shared" si="96"/>
        <v>0</v>
      </c>
      <c r="AS254" s="86">
        <f t="shared" si="96"/>
        <v>0</v>
      </c>
      <c r="AT254" s="86">
        <f t="shared" si="96"/>
        <v>0</v>
      </c>
      <c r="AU254" s="86">
        <f t="shared" si="96"/>
        <v>0</v>
      </c>
      <c r="AV254" s="86">
        <f t="shared" si="96"/>
        <v>0</v>
      </c>
      <c r="AW254" s="86">
        <f t="shared" si="96"/>
        <v>0</v>
      </c>
      <c r="AX254" s="86">
        <f t="shared" si="96"/>
        <v>0</v>
      </c>
      <c r="AY254" s="86">
        <f t="shared" si="96"/>
        <v>0</v>
      </c>
      <c r="AZ254" s="86">
        <f t="shared" si="96"/>
        <v>0</v>
      </c>
    </row>
    <row r="255" spans="1:52" s="25" customFormat="1" ht="15" customHeight="1" outlineLevel="2" x14ac:dyDescent="0.45">
      <c r="A255" s="12">
        <v>4509559852</v>
      </c>
      <c r="B255" s="13">
        <v>20</v>
      </c>
      <c r="C255" s="13" t="s">
        <v>832</v>
      </c>
      <c r="D255" s="14"/>
      <c r="E255" s="14"/>
      <c r="F255" s="15" t="s">
        <v>833</v>
      </c>
      <c r="G255" s="15">
        <v>462980</v>
      </c>
      <c r="H255" s="15" t="s">
        <v>834</v>
      </c>
      <c r="I255" s="15" t="s">
        <v>152</v>
      </c>
      <c r="J255" s="14"/>
      <c r="K255" s="14">
        <v>45199</v>
      </c>
      <c r="L255" s="16" t="s">
        <v>835</v>
      </c>
      <c r="M255" s="14">
        <v>45105</v>
      </c>
      <c r="N255" s="17" t="str">
        <f>+LEFT(L255,5)</f>
        <v>T3KA3</v>
      </c>
      <c r="O255" s="18" t="s">
        <v>836</v>
      </c>
      <c r="P255" s="19" t="s">
        <v>837</v>
      </c>
      <c r="Q255" s="20" t="s">
        <v>677</v>
      </c>
      <c r="R255" s="21" t="s">
        <v>225</v>
      </c>
      <c r="S255" s="22">
        <f t="shared" si="80"/>
        <v>600</v>
      </c>
      <c r="T255" s="22"/>
      <c r="U255" s="22"/>
      <c r="V255" s="22"/>
      <c r="W255" s="23"/>
      <c r="X255" s="23"/>
      <c r="Y255" s="23"/>
      <c r="Z255" s="23"/>
      <c r="AA255" s="23">
        <v>100</v>
      </c>
      <c r="AB255" s="23"/>
      <c r="AC255" s="23">
        <v>100</v>
      </c>
      <c r="AD255" s="23">
        <v>100</v>
      </c>
      <c r="AE255" s="23">
        <v>100</v>
      </c>
      <c r="AF255" s="23">
        <v>100</v>
      </c>
      <c r="AG255" s="23">
        <v>100</v>
      </c>
      <c r="AH255" s="23"/>
      <c r="AI255" s="23"/>
      <c r="AJ255" s="23"/>
      <c r="AK255" s="23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</row>
    <row r="256" spans="1:52" s="25" customFormat="1" ht="15" customHeight="1" outlineLevel="2" x14ac:dyDescent="0.45">
      <c r="A256" s="12">
        <v>4509562242</v>
      </c>
      <c r="B256" s="13">
        <v>20</v>
      </c>
      <c r="C256" s="13" t="s">
        <v>838</v>
      </c>
      <c r="D256" s="14"/>
      <c r="E256" s="14"/>
      <c r="F256" s="15" t="s">
        <v>833</v>
      </c>
      <c r="G256" s="15">
        <v>442252</v>
      </c>
      <c r="H256" s="15" t="s">
        <v>693</v>
      </c>
      <c r="I256" s="15" t="s">
        <v>152</v>
      </c>
      <c r="J256" s="14"/>
      <c r="K256" s="14">
        <v>45199</v>
      </c>
      <c r="L256" s="16" t="s">
        <v>839</v>
      </c>
      <c r="M256" s="14">
        <v>45105</v>
      </c>
      <c r="N256" s="17" t="str">
        <f>+LEFT(L256,5)</f>
        <v>T3KA3</v>
      </c>
      <c r="O256" s="18" t="s">
        <v>836</v>
      </c>
      <c r="P256" s="19" t="s">
        <v>837</v>
      </c>
      <c r="Q256" s="20" t="s">
        <v>677</v>
      </c>
      <c r="R256" s="21" t="s">
        <v>225</v>
      </c>
      <c r="S256" s="22">
        <f t="shared" si="80"/>
        <v>1044</v>
      </c>
      <c r="T256" s="22"/>
      <c r="U256" s="22"/>
      <c r="V256" s="22"/>
      <c r="W256" s="23"/>
      <c r="X256" s="23"/>
      <c r="Y256" s="23"/>
      <c r="Z256" s="23"/>
      <c r="AA256" s="23">
        <v>69</v>
      </c>
      <c r="AB256" s="23"/>
      <c r="AC256" s="23">
        <v>126</v>
      </c>
      <c r="AD256" s="23">
        <v>126</v>
      </c>
      <c r="AE256" s="23">
        <v>177</v>
      </c>
      <c r="AF256" s="23">
        <v>168</v>
      </c>
      <c r="AG256" s="23">
        <v>150</v>
      </c>
      <c r="AH256" s="23">
        <v>60</v>
      </c>
      <c r="AI256" s="23">
        <v>96</v>
      </c>
      <c r="AJ256" s="23"/>
      <c r="AK256" s="23">
        <v>42</v>
      </c>
      <c r="AL256" s="24"/>
      <c r="AM256" s="24">
        <v>30</v>
      </c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</row>
    <row r="257" spans="1:52" s="25" customFormat="1" ht="15" customHeight="1" outlineLevel="2" x14ac:dyDescent="0.45">
      <c r="A257" s="12">
        <v>4509562323</v>
      </c>
      <c r="B257" s="13">
        <v>10</v>
      </c>
      <c r="C257" s="13" t="s">
        <v>840</v>
      </c>
      <c r="D257" s="14"/>
      <c r="E257" s="14"/>
      <c r="F257" s="15" t="s">
        <v>833</v>
      </c>
      <c r="G257" s="15">
        <v>467424</v>
      </c>
      <c r="H257" s="15" t="s">
        <v>690</v>
      </c>
      <c r="I257" s="15" t="s">
        <v>152</v>
      </c>
      <c r="J257" s="14"/>
      <c r="K257" s="14">
        <v>45199</v>
      </c>
      <c r="L257" s="16" t="s">
        <v>841</v>
      </c>
      <c r="M257" s="14">
        <v>45105</v>
      </c>
      <c r="N257" s="17" t="str">
        <f>+LEFT(L257,5)</f>
        <v>T3KA3</v>
      </c>
      <c r="O257" s="18" t="s">
        <v>836</v>
      </c>
      <c r="P257" s="19" t="s">
        <v>837</v>
      </c>
      <c r="Q257" s="20" t="s">
        <v>677</v>
      </c>
      <c r="R257" s="21" t="s">
        <v>225</v>
      </c>
      <c r="S257" s="22">
        <f t="shared" si="80"/>
        <v>192</v>
      </c>
      <c r="T257" s="22"/>
      <c r="U257" s="22"/>
      <c r="V257" s="22"/>
      <c r="W257" s="23"/>
      <c r="X257" s="23"/>
      <c r="Y257" s="23"/>
      <c r="Z257" s="23"/>
      <c r="AA257" s="23">
        <v>12</v>
      </c>
      <c r="AB257" s="23">
        <v>12</v>
      </c>
      <c r="AC257" s="23">
        <v>12</v>
      </c>
      <c r="AD257" s="23">
        <v>12</v>
      </c>
      <c r="AE257" s="23">
        <v>24</v>
      </c>
      <c r="AF257" s="23">
        <v>24</v>
      </c>
      <c r="AG257" s="23">
        <v>30</v>
      </c>
      <c r="AH257" s="23">
        <v>24</v>
      </c>
      <c r="AI257" s="23">
        <v>18</v>
      </c>
      <c r="AJ257" s="23">
        <v>12</v>
      </c>
      <c r="AK257" s="23">
        <v>6</v>
      </c>
      <c r="AL257" s="24">
        <v>6</v>
      </c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</row>
    <row r="258" spans="1:52" s="25" customFormat="1" ht="15" customHeight="1" outlineLevel="2" x14ac:dyDescent="0.45">
      <c r="A258" s="12">
        <v>4509562323</v>
      </c>
      <c r="B258" s="13">
        <v>50</v>
      </c>
      <c r="C258" s="13" t="s">
        <v>842</v>
      </c>
      <c r="D258" s="14"/>
      <c r="E258" s="14"/>
      <c r="F258" s="15" t="s">
        <v>833</v>
      </c>
      <c r="G258" s="15">
        <v>467424</v>
      </c>
      <c r="H258" s="15" t="s">
        <v>690</v>
      </c>
      <c r="I258" s="15" t="s">
        <v>152</v>
      </c>
      <c r="J258" s="14"/>
      <c r="K258" s="14">
        <v>45199</v>
      </c>
      <c r="L258" s="16" t="s">
        <v>843</v>
      </c>
      <c r="M258" s="14">
        <v>45105</v>
      </c>
      <c r="N258" s="17" t="str">
        <f>+LEFT(L258,5)</f>
        <v>T3KA3</v>
      </c>
      <c r="O258" s="18" t="s">
        <v>836</v>
      </c>
      <c r="P258" s="19" t="s">
        <v>837</v>
      </c>
      <c r="Q258" s="20" t="s">
        <v>677</v>
      </c>
      <c r="R258" s="21" t="s">
        <v>225</v>
      </c>
      <c r="S258" s="22">
        <f t="shared" si="80"/>
        <v>408</v>
      </c>
      <c r="T258" s="22"/>
      <c r="U258" s="22"/>
      <c r="V258" s="22"/>
      <c r="W258" s="23"/>
      <c r="X258" s="23"/>
      <c r="Y258" s="23"/>
      <c r="Z258" s="23"/>
      <c r="AA258" s="23">
        <v>18</v>
      </c>
      <c r="AB258" s="23">
        <v>18</v>
      </c>
      <c r="AC258" s="23">
        <v>42</v>
      </c>
      <c r="AD258" s="23">
        <v>48</v>
      </c>
      <c r="AE258" s="23">
        <v>54</v>
      </c>
      <c r="AF258" s="23">
        <v>66</v>
      </c>
      <c r="AG258" s="23">
        <v>54</v>
      </c>
      <c r="AH258" s="23">
        <v>42</v>
      </c>
      <c r="AI258" s="23">
        <v>24</v>
      </c>
      <c r="AJ258" s="23">
        <v>18</v>
      </c>
      <c r="AK258" s="23">
        <v>18</v>
      </c>
      <c r="AL258" s="24">
        <v>6</v>
      </c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</row>
    <row r="259" spans="1:52" s="25" customFormat="1" ht="15" customHeight="1" outlineLevel="2" x14ac:dyDescent="0.45">
      <c r="A259" s="12">
        <v>4509557489</v>
      </c>
      <c r="B259" s="13">
        <v>10</v>
      </c>
      <c r="C259" s="13" t="s">
        <v>844</v>
      </c>
      <c r="D259" s="14"/>
      <c r="E259" s="14"/>
      <c r="F259" s="15" t="s">
        <v>833</v>
      </c>
      <c r="G259" s="15">
        <v>1042</v>
      </c>
      <c r="H259" s="15" t="s">
        <v>151</v>
      </c>
      <c r="I259" s="15" t="s">
        <v>152</v>
      </c>
      <c r="J259" s="14"/>
      <c r="K259" s="14">
        <v>45192</v>
      </c>
      <c r="L259" s="16" t="s">
        <v>845</v>
      </c>
      <c r="M259" s="14">
        <v>45105</v>
      </c>
      <c r="N259" s="17" t="str">
        <f>+LEFT(L259,5)</f>
        <v>T3KA3</v>
      </c>
      <c r="O259" s="18" t="s">
        <v>836</v>
      </c>
      <c r="P259" s="19" t="s">
        <v>837</v>
      </c>
      <c r="Q259" s="20" t="s">
        <v>677</v>
      </c>
      <c r="R259" s="21" t="s">
        <v>225</v>
      </c>
      <c r="S259" s="22">
        <f t="shared" si="80"/>
        <v>168</v>
      </c>
      <c r="T259" s="22"/>
      <c r="U259" s="22"/>
      <c r="V259" s="22"/>
      <c r="W259" s="23"/>
      <c r="X259" s="23"/>
      <c r="Y259" s="23"/>
      <c r="Z259" s="23"/>
      <c r="AA259" s="23">
        <v>12</v>
      </c>
      <c r="AB259" s="23">
        <v>12</v>
      </c>
      <c r="AC259" s="23">
        <v>6</v>
      </c>
      <c r="AD259" s="23">
        <v>18</v>
      </c>
      <c r="AE259" s="23"/>
      <c r="AF259" s="23"/>
      <c r="AG259" s="23">
        <v>6</v>
      </c>
      <c r="AH259" s="23"/>
      <c r="AI259" s="23">
        <v>36</v>
      </c>
      <c r="AJ259" s="23">
        <v>30</v>
      </c>
      <c r="AK259" s="23">
        <v>24</v>
      </c>
      <c r="AL259" s="24">
        <v>6</v>
      </c>
      <c r="AM259" s="24">
        <v>12</v>
      </c>
      <c r="AN259" s="24"/>
      <c r="AO259" s="24">
        <v>6</v>
      </c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</row>
    <row r="260" spans="1:52" s="26" customFormat="1" ht="15" customHeight="1" outlineLevel="1" x14ac:dyDescent="0.45">
      <c r="A260" s="38"/>
      <c r="B260" s="39"/>
      <c r="C260" s="39"/>
      <c r="D260" s="40"/>
      <c r="E260" s="40"/>
      <c r="F260" s="16"/>
      <c r="G260" s="16"/>
      <c r="H260" s="16"/>
      <c r="I260" s="16"/>
      <c r="J260" s="40"/>
      <c r="K260" s="40"/>
      <c r="L260" s="16"/>
      <c r="M260" s="40"/>
      <c r="N260" s="41" t="s">
        <v>846</v>
      </c>
      <c r="O260" s="42"/>
      <c r="P260" s="43"/>
      <c r="Q260" s="44"/>
      <c r="R260" s="45"/>
      <c r="S260" s="46">
        <f t="shared" ref="S260:AZ260" si="97">SUBTOTAL(9,S255:S259)</f>
        <v>2412</v>
      </c>
      <c r="T260" s="46">
        <f t="shared" si="97"/>
        <v>0</v>
      </c>
      <c r="U260" s="46">
        <f t="shared" si="97"/>
        <v>0</v>
      </c>
      <c r="V260" s="46">
        <f t="shared" si="97"/>
        <v>0</v>
      </c>
      <c r="W260" s="85">
        <f t="shared" si="97"/>
        <v>0</v>
      </c>
      <c r="X260" s="85">
        <f t="shared" si="97"/>
        <v>0</v>
      </c>
      <c r="Y260" s="85">
        <f t="shared" si="97"/>
        <v>0</v>
      </c>
      <c r="Z260" s="85">
        <f t="shared" si="97"/>
        <v>0</v>
      </c>
      <c r="AA260" s="85">
        <f t="shared" si="97"/>
        <v>211</v>
      </c>
      <c r="AB260" s="85">
        <f t="shared" si="97"/>
        <v>42</v>
      </c>
      <c r="AC260" s="85">
        <f t="shared" si="97"/>
        <v>286</v>
      </c>
      <c r="AD260" s="85">
        <f t="shared" si="97"/>
        <v>304</v>
      </c>
      <c r="AE260" s="85">
        <f t="shared" si="97"/>
        <v>355</v>
      </c>
      <c r="AF260" s="85">
        <f t="shared" si="97"/>
        <v>358</v>
      </c>
      <c r="AG260" s="85">
        <f t="shared" si="97"/>
        <v>340</v>
      </c>
      <c r="AH260" s="85">
        <f t="shared" si="97"/>
        <v>126</v>
      </c>
      <c r="AI260" s="85">
        <f t="shared" si="97"/>
        <v>174</v>
      </c>
      <c r="AJ260" s="85">
        <f t="shared" si="97"/>
        <v>60</v>
      </c>
      <c r="AK260" s="85">
        <f t="shared" si="97"/>
        <v>90</v>
      </c>
      <c r="AL260" s="86">
        <f t="shared" si="97"/>
        <v>18</v>
      </c>
      <c r="AM260" s="86">
        <f t="shared" si="97"/>
        <v>42</v>
      </c>
      <c r="AN260" s="86">
        <f t="shared" si="97"/>
        <v>0</v>
      </c>
      <c r="AO260" s="86">
        <f t="shared" si="97"/>
        <v>6</v>
      </c>
      <c r="AP260" s="86">
        <f t="shared" si="97"/>
        <v>0</v>
      </c>
      <c r="AQ260" s="86">
        <f t="shared" si="97"/>
        <v>0</v>
      </c>
      <c r="AR260" s="86">
        <f t="shared" si="97"/>
        <v>0</v>
      </c>
      <c r="AS260" s="86">
        <f t="shared" si="97"/>
        <v>0</v>
      </c>
      <c r="AT260" s="86">
        <f t="shared" si="97"/>
        <v>0</v>
      </c>
      <c r="AU260" s="86">
        <f t="shared" si="97"/>
        <v>0</v>
      </c>
      <c r="AV260" s="86">
        <f t="shared" si="97"/>
        <v>0</v>
      </c>
      <c r="AW260" s="86">
        <f t="shared" si="97"/>
        <v>0</v>
      </c>
      <c r="AX260" s="86">
        <f t="shared" si="97"/>
        <v>0</v>
      </c>
      <c r="AY260" s="86">
        <f t="shared" si="97"/>
        <v>0</v>
      </c>
      <c r="AZ260" s="86">
        <f t="shared" si="97"/>
        <v>0</v>
      </c>
    </row>
    <row r="261" spans="1:52" s="25" customFormat="1" ht="15" customHeight="1" outlineLevel="2" x14ac:dyDescent="0.45">
      <c r="A261" s="12">
        <v>4509554693</v>
      </c>
      <c r="B261" s="13">
        <v>20</v>
      </c>
      <c r="C261" s="13" t="s">
        <v>847</v>
      </c>
      <c r="D261" s="14"/>
      <c r="E261" s="14"/>
      <c r="F261" s="15" t="s">
        <v>833</v>
      </c>
      <c r="G261" s="15">
        <v>1064</v>
      </c>
      <c r="H261" s="15" t="s">
        <v>5</v>
      </c>
      <c r="I261" s="15" t="s">
        <v>152</v>
      </c>
      <c r="J261" s="14"/>
      <c r="K261" s="14">
        <v>45192</v>
      </c>
      <c r="L261" s="16" t="s">
        <v>848</v>
      </c>
      <c r="M261" s="14">
        <v>45105</v>
      </c>
      <c r="N261" s="17" t="str">
        <f>+LEFT(L261,5)</f>
        <v>T3KA4</v>
      </c>
      <c r="O261" s="18" t="s">
        <v>849</v>
      </c>
      <c r="P261" s="19" t="s">
        <v>837</v>
      </c>
      <c r="Q261" s="20" t="s">
        <v>677</v>
      </c>
      <c r="R261" s="21" t="s">
        <v>225</v>
      </c>
      <c r="S261" s="22">
        <f t="shared" si="80"/>
        <v>774</v>
      </c>
      <c r="T261" s="22"/>
      <c r="U261" s="22"/>
      <c r="V261" s="22"/>
      <c r="W261" s="23"/>
      <c r="X261" s="23"/>
      <c r="Y261" s="23"/>
      <c r="Z261" s="23"/>
      <c r="AA261" s="23">
        <v>42</v>
      </c>
      <c r="AB261" s="23">
        <v>12</v>
      </c>
      <c r="AC261" s="23">
        <v>78</v>
      </c>
      <c r="AD261" s="23">
        <v>84</v>
      </c>
      <c r="AE261" s="23">
        <v>90</v>
      </c>
      <c r="AF261" s="23">
        <v>102</v>
      </c>
      <c r="AG261" s="23">
        <v>114</v>
      </c>
      <c r="AH261" s="23">
        <v>60</v>
      </c>
      <c r="AI261" s="23">
        <v>84</v>
      </c>
      <c r="AJ261" s="23">
        <v>24</v>
      </c>
      <c r="AK261" s="23">
        <v>48</v>
      </c>
      <c r="AL261" s="24">
        <v>12</v>
      </c>
      <c r="AM261" s="24">
        <v>24</v>
      </c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</row>
    <row r="262" spans="1:52" s="25" customFormat="1" ht="15" customHeight="1" outlineLevel="2" x14ac:dyDescent="0.45">
      <c r="A262" s="12">
        <v>4509554693</v>
      </c>
      <c r="B262" s="13">
        <v>10</v>
      </c>
      <c r="C262" s="13" t="s">
        <v>850</v>
      </c>
      <c r="D262" s="14"/>
      <c r="E262" s="14"/>
      <c r="F262" s="15" t="s">
        <v>833</v>
      </c>
      <c r="G262" s="15">
        <v>1064</v>
      </c>
      <c r="H262" s="15" t="s">
        <v>5</v>
      </c>
      <c r="I262" s="15" t="s">
        <v>152</v>
      </c>
      <c r="J262" s="14"/>
      <c r="K262" s="14">
        <v>45199</v>
      </c>
      <c r="L262" s="16" t="s">
        <v>851</v>
      </c>
      <c r="M262" s="14">
        <v>45105</v>
      </c>
      <c r="N262" s="17" t="str">
        <f>+LEFT(L262,5)</f>
        <v>T3KA4</v>
      </c>
      <c r="O262" s="18" t="s">
        <v>849</v>
      </c>
      <c r="P262" s="19" t="s">
        <v>837</v>
      </c>
      <c r="Q262" s="20" t="s">
        <v>677</v>
      </c>
      <c r="R262" s="21" t="s">
        <v>225</v>
      </c>
      <c r="S262" s="22">
        <f t="shared" si="80"/>
        <v>978</v>
      </c>
      <c r="T262" s="22"/>
      <c r="U262" s="22"/>
      <c r="V262" s="22"/>
      <c r="W262" s="23"/>
      <c r="X262" s="23"/>
      <c r="Y262" s="23">
        <v>24</v>
      </c>
      <c r="Z262" s="23">
        <v>24</v>
      </c>
      <c r="AA262" s="23">
        <v>42</v>
      </c>
      <c r="AB262" s="23">
        <v>48</v>
      </c>
      <c r="AC262" s="23">
        <v>60</v>
      </c>
      <c r="AD262" s="23">
        <v>72</v>
      </c>
      <c r="AE262" s="23">
        <v>102</v>
      </c>
      <c r="AF262" s="23">
        <v>126</v>
      </c>
      <c r="AG262" s="23">
        <v>108</v>
      </c>
      <c r="AH262" s="23">
        <v>84</v>
      </c>
      <c r="AI262" s="23">
        <v>78</v>
      </c>
      <c r="AJ262" s="23">
        <v>66</v>
      </c>
      <c r="AK262" s="23">
        <v>60</v>
      </c>
      <c r="AL262" s="24">
        <v>30</v>
      </c>
      <c r="AM262" s="24">
        <v>30</v>
      </c>
      <c r="AN262" s="24"/>
      <c r="AO262" s="24">
        <v>18</v>
      </c>
      <c r="AP262" s="24"/>
      <c r="AQ262" s="24">
        <v>6</v>
      </c>
      <c r="AR262" s="24"/>
      <c r="AS262" s="24"/>
      <c r="AT262" s="24"/>
      <c r="AU262" s="24"/>
      <c r="AV262" s="24"/>
      <c r="AW262" s="24"/>
      <c r="AX262" s="24"/>
      <c r="AY262" s="24"/>
      <c r="AZ262" s="24"/>
    </row>
    <row r="263" spans="1:52" s="25" customFormat="1" ht="15" customHeight="1" outlineLevel="2" x14ac:dyDescent="0.45">
      <c r="A263" s="12">
        <v>4509561947</v>
      </c>
      <c r="B263" s="13">
        <v>10</v>
      </c>
      <c r="C263" s="13" t="s">
        <v>852</v>
      </c>
      <c r="D263" s="14"/>
      <c r="E263" s="14"/>
      <c r="F263" s="15" t="s">
        <v>833</v>
      </c>
      <c r="G263" s="15">
        <v>467719</v>
      </c>
      <c r="H263" s="15" t="s">
        <v>690</v>
      </c>
      <c r="I263" s="15" t="s">
        <v>152</v>
      </c>
      <c r="J263" s="14"/>
      <c r="K263" s="14">
        <v>45199</v>
      </c>
      <c r="L263" s="16" t="s">
        <v>853</v>
      </c>
      <c r="M263" s="14">
        <v>45105</v>
      </c>
      <c r="N263" s="17" t="str">
        <f>+LEFT(L263,5)</f>
        <v>T3KA4</v>
      </c>
      <c r="O263" s="18" t="s">
        <v>849</v>
      </c>
      <c r="P263" s="19" t="s">
        <v>837</v>
      </c>
      <c r="Q263" s="20" t="s">
        <v>677</v>
      </c>
      <c r="R263" s="21" t="s">
        <v>225</v>
      </c>
      <c r="S263" s="22">
        <f t="shared" si="80"/>
        <v>126</v>
      </c>
      <c r="T263" s="22"/>
      <c r="U263" s="22"/>
      <c r="V263" s="22"/>
      <c r="W263" s="23"/>
      <c r="X263" s="23"/>
      <c r="Y263" s="23"/>
      <c r="Z263" s="23"/>
      <c r="AA263" s="23">
        <v>6</v>
      </c>
      <c r="AB263" s="23">
        <v>6</v>
      </c>
      <c r="AC263" s="23">
        <v>12</v>
      </c>
      <c r="AD263" s="23">
        <v>12</v>
      </c>
      <c r="AE263" s="23">
        <v>18</v>
      </c>
      <c r="AF263" s="23">
        <v>18</v>
      </c>
      <c r="AG263" s="23">
        <v>18</v>
      </c>
      <c r="AH263" s="23">
        <v>18</v>
      </c>
      <c r="AI263" s="23">
        <v>6</v>
      </c>
      <c r="AJ263" s="23">
        <v>6</v>
      </c>
      <c r="AK263" s="23">
        <v>6</v>
      </c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</row>
    <row r="264" spans="1:52" s="25" customFormat="1" ht="15" customHeight="1" outlineLevel="2" x14ac:dyDescent="0.45">
      <c r="A264" s="12">
        <v>4509562323</v>
      </c>
      <c r="B264" s="13">
        <v>20</v>
      </c>
      <c r="C264" s="13" t="s">
        <v>854</v>
      </c>
      <c r="D264" s="14"/>
      <c r="E264" s="14"/>
      <c r="F264" s="15" t="s">
        <v>833</v>
      </c>
      <c r="G264" s="15">
        <v>467424</v>
      </c>
      <c r="H264" s="15" t="s">
        <v>690</v>
      </c>
      <c r="I264" s="15" t="s">
        <v>152</v>
      </c>
      <c r="J264" s="14"/>
      <c r="K264" s="14">
        <v>45199</v>
      </c>
      <c r="L264" s="16" t="s">
        <v>855</v>
      </c>
      <c r="M264" s="14">
        <v>45105</v>
      </c>
      <c r="N264" s="17" t="str">
        <f>+LEFT(L264,5)</f>
        <v>T3KA4</v>
      </c>
      <c r="O264" s="18" t="s">
        <v>849</v>
      </c>
      <c r="P264" s="19" t="s">
        <v>837</v>
      </c>
      <c r="Q264" s="20" t="s">
        <v>677</v>
      </c>
      <c r="R264" s="21" t="s">
        <v>225</v>
      </c>
      <c r="S264" s="22">
        <f t="shared" si="80"/>
        <v>258</v>
      </c>
      <c r="T264" s="22"/>
      <c r="U264" s="22"/>
      <c r="V264" s="22"/>
      <c r="W264" s="23"/>
      <c r="X264" s="23"/>
      <c r="Y264" s="23"/>
      <c r="Z264" s="23"/>
      <c r="AA264" s="23">
        <v>12</v>
      </c>
      <c r="AB264" s="23">
        <v>12</v>
      </c>
      <c r="AC264" s="23">
        <v>18</v>
      </c>
      <c r="AD264" s="23">
        <v>18</v>
      </c>
      <c r="AE264" s="23">
        <v>30</v>
      </c>
      <c r="AF264" s="23">
        <v>36</v>
      </c>
      <c r="AG264" s="23">
        <v>36</v>
      </c>
      <c r="AH264" s="23">
        <v>36</v>
      </c>
      <c r="AI264" s="23">
        <v>24</v>
      </c>
      <c r="AJ264" s="23">
        <v>18</v>
      </c>
      <c r="AK264" s="23">
        <v>12</v>
      </c>
      <c r="AL264" s="24">
        <v>6</v>
      </c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</row>
    <row r="265" spans="1:52" s="25" customFormat="1" ht="15" customHeight="1" outlineLevel="2" x14ac:dyDescent="0.45">
      <c r="A265" s="12">
        <v>4509562323</v>
      </c>
      <c r="B265" s="13">
        <v>60</v>
      </c>
      <c r="C265" s="13" t="s">
        <v>856</v>
      </c>
      <c r="D265" s="14"/>
      <c r="E265" s="14"/>
      <c r="F265" s="15" t="s">
        <v>833</v>
      </c>
      <c r="G265" s="15">
        <v>467424</v>
      </c>
      <c r="H265" s="15" t="s">
        <v>690</v>
      </c>
      <c r="I265" s="15" t="s">
        <v>152</v>
      </c>
      <c r="J265" s="14"/>
      <c r="K265" s="14">
        <v>45199</v>
      </c>
      <c r="L265" s="16" t="s">
        <v>857</v>
      </c>
      <c r="M265" s="14">
        <v>45105</v>
      </c>
      <c r="N265" s="17" t="str">
        <f>+LEFT(L265,5)</f>
        <v>T3KA4</v>
      </c>
      <c r="O265" s="18" t="s">
        <v>849</v>
      </c>
      <c r="P265" s="19" t="s">
        <v>837</v>
      </c>
      <c r="Q265" s="20" t="s">
        <v>677</v>
      </c>
      <c r="R265" s="21" t="s">
        <v>225</v>
      </c>
      <c r="S265" s="22">
        <f t="shared" si="80"/>
        <v>162</v>
      </c>
      <c r="T265" s="22"/>
      <c r="U265" s="22"/>
      <c r="V265" s="22"/>
      <c r="W265" s="23"/>
      <c r="X265" s="23"/>
      <c r="Y265" s="23"/>
      <c r="Z265" s="23"/>
      <c r="AA265" s="23">
        <v>6</v>
      </c>
      <c r="AB265" s="23">
        <v>12</v>
      </c>
      <c r="AC265" s="23">
        <v>12</v>
      </c>
      <c r="AD265" s="23">
        <v>12</v>
      </c>
      <c r="AE265" s="23">
        <v>18</v>
      </c>
      <c r="AF265" s="23">
        <v>24</v>
      </c>
      <c r="AG265" s="23">
        <v>24</v>
      </c>
      <c r="AH265" s="23">
        <v>18</v>
      </c>
      <c r="AI265" s="23">
        <v>12</v>
      </c>
      <c r="AJ265" s="23">
        <v>12</v>
      </c>
      <c r="AK265" s="23">
        <v>6</v>
      </c>
      <c r="AL265" s="24">
        <v>6</v>
      </c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</row>
    <row r="266" spans="1:52" s="26" customFormat="1" ht="15" customHeight="1" outlineLevel="1" x14ac:dyDescent="0.45">
      <c r="A266" s="38"/>
      <c r="B266" s="39"/>
      <c r="C266" s="39"/>
      <c r="D266" s="40"/>
      <c r="E266" s="40"/>
      <c r="F266" s="16"/>
      <c r="G266" s="16"/>
      <c r="H266" s="16"/>
      <c r="I266" s="16"/>
      <c r="J266" s="40"/>
      <c r="K266" s="40"/>
      <c r="L266" s="16"/>
      <c r="M266" s="40"/>
      <c r="N266" s="41" t="s">
        <v>858</v>
      </c>
      <c r="O266" s="42"/>
      <c r="P266" s="43"/>
      <c r="Q266" s="44"/>
      <c r="R266" s="45"/>
      <c r="S266" s="46">
        <f t="shared" ref="S266:AZ266" si="98">SUBTOTAL(9,S261:S265)</f>
        <v>2298</v>
      </c>
      <c r="T266" s="46">
        <f t="shared" si="98"/>
        <v>0</v>
      </c>
      <c r="U266" s="46">
        <f t="shared" si="98"/>
        <v>0</v>
      </c>
      <c r="V266" s="46">
        <f t="shared" si="98"/>
        <v>0</v>
      </c>
      <c r="W266" s="85">
        <f t="shared" si="98"/>
        <v>0</v>
      </c>
      <c r="X266" s="85">
        <f t="shared" si="98"/>
        <v>0</v>
      </c>
      <c r="Y266" s="85">
        <f t="shared" si="98"/>
        <v>24</v>
      </c>
      <c r="Z266" s="85">
        <f t="shared" si="98"/>
        <v>24</v>
      </c>
      <c r="AA266" s="85">
        <f t="shared" si="98"/>
        <v>108</v>
      </c>
      <c r="AB266" s="85">
        <f t="shared" si="98"/>
        <v>90</v>
      </c>
      <c r="AC266" s="85">
        <f t="shared" si="98"/>
        <v>180</v>
      </c>
      <c r="AD266" s="85">
        <f t="shared" si="98"/>
        <v>198</v>
      </c>
      <c r="AE266" s="85">
        <f t="shared" si="98"/>
        <v>258</v>
      </c>
      <c r="AF266" s="85">
        <f t="shared" si="98"/>
        <v>306</v>
      </c>
      <c r="AG266" s="85">
        <f t="shared" si="98"/>
        <v>300</v>
      </c>
      <c r="AH266" s="85">
        <f t="shared" si="98"/>
        <v>216</v>
      </c>
      <c r="AI266" s="85">
        <f t="shared" si="98"/>
        <v>204</v>
      </c>
      <c r="AJ266" s="85">
        <f t="shared" si="98"/>
        <v>126</v>
      </c>
      <c r="AK266" s="85">
        <f t="shared" si="98"/>
        <v>132</v>
      </c>
      <c r="AL266" s="86">
        <f t="shared" si="98"/>
        <v>54</v>
      </c>
      <c r="AM266" s="86">
        <f t="shared" si="98"/>
        <v>54</v>
      </c>
      <c r="AN266" s="86">
        <f t="shared" si="98"/>
        <v>0</v>
      </c>
      <c r="AO266" s="86">
        <f t="shared" si="98"/>
        <v>18</v>
      </c>
      <c r="AP266" s="86">
        <f t="shared" si="98"/>
        <v>0</v>
      </c>
      <c r="AQ266" s="86">
        <f t="shared" si="98"/>
        <v>6</v>
      </c>
      <c r="AR266" s="86">
        <f t="shared" si="98"/>
        <v>0</v>
      </c>
      <c r="AS266" s="86">
        <f t="shared" si="98"/>
        <v>0</v>
      </c>
      <c r="AT266" s="86">
        <f t="shared" si="98"/>
        <v>0</v>
      </c>
      <c r="AU266" s="86">
        <f t="shared" si="98"/>
        <v>0</v>
      </c>
      <c r="AV266" s="86">
        <f t="shared" si="98"/>
        <v>0</v>
      </c>
      <c r="AW266" s="86">
        <f t="shared" si="98"/>
        <v>0</v>
      </c>
      <c r="AX266" s="86">
        <f t="shared" si="98"/>
        <v>0</v>
      </c>
      <c r="AY266" s="86">
        <f t="shared" si="98"/>
        <v>0</v>
      </c>
      <c r="AZ266" s="86">
        <f t="shared" si="98"/>
        <v>0</v>
      </c>
    </row>
    <row r="267" spans="1:52" s="25" customFormat="1" ht="15" customHeight="1" outlineLevel="2" x14ac:dyDescent="0.45">
      <c r="A267" s="12">
        <v>4509559851</v>
      </c>
      <c r="B267" s="13">
        <v>20</v>
      </c>
      <c r="C267" s="13" t="s">
        <v>859</v>
      </c>
      <c r="D267" s="14"/>
      <c r="E267" s="14"/>
      <c r="F267" s="15" t="s">
        <v>833</v>
      </c>
      <c r="G267" s="15">
        <v>248501</v>
      </c>
      <c r="H267" s="15" t="s">
        <v>860</v>
      </c>
      <c r="I267" s="15" t="s">
        <v>152</v>
      </c>
      <c r="J267" s="14"/>
      <c r="K267" s="14">
        <v>45192</v>
      </c>
      <c r="L267" s="16" t="s">
        <v>861</v>
      </c>
      <c r="M267" s="14">
        <v>45105</v>
      </c>
      <c r="N267" s="17" t="str">
        <f t="shared" ref="N267:N276" si="99">+LEFT(L267,5)</f>
        <v>T3KA5</v>
      </c>
      <c r="O267" s="18" t="s">
        <v>862</v>
      </c>
      <c r="P267" s="19" t="s">
        <v>837</v>
      </c>
      <c r="Q267" s="20" t="s">
        <v>677</v>
      </c>
      <c r="R267" s="21" t="s">
        <v>225</v>
      </c>
      <c r="S267" s="22">
        <f t="shared" si="80"/>
        <v>1719</v>
      </c>
      <c r="T267" s="22"/>
      <c r="U267" s="22"/>
      <c r="V267" s="22"/>
      <c r="W267" s="23"/>
      <c r="X267" s="23"/>
      <c r="Y267" s="23"/>
      <c r="Z267" s="23"/>
      <c r="AA267" s="23">
        <v>191</v>
      </c>
      <c r="AB267" s="23"/>
      <c r="AC267" s="23">
        <v>191</v>
      </c>
      <c r="AD267" s="23">
        <v>191</v>
      </c>
      <c r="AE267" s="23">
        <v>191</v>
      </c>
      <c r="AF267" s="23">
        <v>382</v>
      </c>
      <c r="AG267" s="23">
        <v>382</v>
      </c>
      <c r="AH267" s="23"/>
      <c r="AI267" s="23">
        <v>191</v>
      </c>
      <c r="AJ267" s="23"/>
      <c r="AK267" s="23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</row>
    <row r="268" spans="1:52" s="25" customFormat="1" ht="15" customHeight="1" outlineLevel="2" x14ac:dyDescent="0.45">
      <c r="A268" s="12">
        <v>4509559851</v>
      </c>
      <c r="B268" s="13">
        <v>10</v>
      </c>
      <c r="C268" s="13" t="s">
        <v>863</v>
      </c>
      <c r="D268" s="14"/>
      <c r="E268" s="14"/>
      <c r="F268" s="15" t="s">
        <v>833</v>
      </c>
      <c r="G268" s="15">
        <v>248501</v>
      </c>
      <c r="H268" s="15" t="s">
        <v>860</v>
      </c>
      <c r="I268" s="15" t="s">
        <v>152</v>
      </c>
      <c r="J268" s="14"/>
      <c r="K268" s="14">
        <v>45192</v>
      </c>
      <c r="L268" s="16" t="s">
        <v>864</v>
      </c>
      <c r="M268" s="14">
        <v>45105</v>
      </c>
      <c r="N268" s="17" t="str">
        <f t="shared" si="99"/>
        <v>T3KA5</v>
      </c>
      <c r="O268" s="18" t="s">
        <v>862</v>
      </c>
      <c r="P268" s="19" t="s">
        <v>837</v>
      </c>
      <c r="Q268" s="20" t="s">
        <v>677</v>
      </c>
      <c r="R268" s="21" t="s">
        <v>225</v>
      </c>
      <c r="S268" s="22">
        <f t="shared" si="80"/>
        <v>498</v>
      </c>
      <c r="T268" s="22"/>
      <c r="U268" s="22"/>
      <c r="V268" s="22"/>
      <c r="W268" s="23"/>
      <c r="X268" s="23"/>
      <c r="Y268" s="23"/>
      <c r="Z268" s="23"/>
      <c r="AA268" s="23"/>
      <c r="AB268" s="23"/>
      <c r="AC268" s="23">
        <v>83</v>
      </c>
      <c r="AD268" s="23">
        <v>83</v>
      </c>
      <c r="AE268" s="23"/>
      <c r="AF268" s="23">
        <v>83</v>
      </c>
      <c r="AG268" s="23">
        <v>83</v>
      </c>
      <c r="AH268" s="23"/>
      <c r="AI268" s="23">
        <v>83</v>
      </c>
      <c r="AJ268" s="23"/>
      <c r="AK268" s="23">
        <v>83</v>
      </c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</row>
    <row r="269" spans="1:52" s="25" customFormat="1" ht="15" customHeight="1" outlineLevel="2" x14ac:dyDescent="0.45">
      <c r="A269" s="12">
        <v>4509559852</v>
      </c>
      <c r="B269" s="13">
        <v>10</v>
      </c>
      <c r="C269" s="13" t="s">
        <v>865</v>
      </c>
      <c r="D269" s="14"/>
      <c r="E269" s="14"/>
      <c r="F269" s="15" t="s">
        <v>833</v>
      </c>
      <c r="G269" s="15">
        <v>462980</v>
      </c>
      <c r="H269" s="15" t="s">
        <v>834</v>
      </c>
      <c r="I269" s="15" t="s">
        <v>152</v>
      </c>
      <c r="J269" s="14"/>
      <c r="K269" s="14">
        <v>45192</v>
      </c>
      <c r="L269" s="16" t="s">
        <v>866</v>
      </c>
      <c r="M269" s="14">
        <v>45105</v>
      </c>
      <c r="N269" s="17" t="str">
        <f t="shared" si="99"/>
        <v>T3KA5</v>
      </c>
      <c r="O269" s="18" t="s">
        <v>862</v>
      </c>
      <c r="P269" s="19" t="s">
        <v>837</v>
      </c>
      <c r="Q269" s="20" t="s">
        <v>677</v>
      </c>
      <c r="R269" s="21" t="s">
        <v>225</v>
      </c>
      <c r="S269" s="22">
        <f t="shared" si="80"/>
        <v>324</v>
      </c>
      <c r="T269" s="22"/>
      <c r="U269" s="22"/>
      <c r="V269" s="22"/>
      <c r="W269" s="23"/>
      <c r="X269" s="23"/>
      <c r="Y269" s="23"/>
      <c r="Z269" s="23"/>
      <c r="AA269" s="23">
        <v>36</v>
      </c>
      <c r="AB269" s="23"/>
      <c r="AC269" s="23">
        <v>36</v>
      </c>
      <c r="AD269" s="23">
        <v>72</v>
      </c>
      <c r="AE269" s="23">
        <v>36</v>
      </c>
      <c r="AF269" s="23">
        <v>72</v>
      </c>
      <c r="AG269" s="23">
        <v>36</v>
      </c>
      <c r="AH269" s="23"/>
      <c r="AI269" s="23">
        <v>36</v>
      </c>
      <c r="AJ269" s="23"/>
      <c r="AK269" s="23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</row>
    <row r="270" spans="1:52" s="25" customFormat="1" ht="15" customHeight="1" outlineLevel="2" x14ac:dyDescent="0.45">
      <c r="A270" s="12">
        <v>4509562243</v>
      </c>
      <c r="B270" s="13">
        <v>10</v>
      </c>
      <c r="C270" s="13" t="s">
        <v>867</v>
      </c>
      <c r="D270" s="14"/>
      <c r="E270" s="14"/>
      <c r="F270" s="15" t="s">
        <v>833</v>
      </c>
      <c r="G270" s="15">
        <v>503910</v>
      </c>
      <c r="H270" s="15" t="s">
        <v>868</v>
      </c>
      <c r="I270" s="15" t="s">
        <v>152</v>
      </c>
      <c r="J270" s="14"/>
      <c r="K270" s="14">
        <v>45192</v>
      </c>
      <c r="L270" s="16" t="s">
        <v>869</v>
      </c>
      <c r="M270" s="14">
        <v>45105</v>
      </c>
      <c r="N270" s="17" t="str">
        <f t="shared" si="99"/>
        <v>T3KA5</v>
      </c>
      <c r="O270" s="18" t="s">
        <v>862</v>
      </c>
      <c r="P270" s="19" t="s">
        <v>837</v>
      </c>
      <c r="Q270" s="20" t="s">
        <v>677</v>
      </c>
      <c r="R270" s="21" t="s">
        <v>225</v>
      </c>
      <c r="S270" s="22">
        <f t="shared" si="80"/>
        <v>2244</v>
      </c>
      <c r="T270" s="22"/>
      <c r="U270" s="22"/>
      <c r="V270" s="22"/>
      <c r="W270" s="23"/>
      <c r="X270" s="23"/>
      <c r="Y270" s="23"/>
      <c r="Z270" s="23">
        <v>18</v>
      </c>
      <c r="AA270" s="23">
        <v>90</v>
      </c>
      <c r="AB270" s="23">
        <v>132</v>
      </c>
      <c r="AC270" s="23">
        <v>204</v>
      </c>
      <c r="AD270" s="23">
        <v>312</v>
      </c>
      <c r="AE270" s="23">
        <v>348</v>
      </c>
      <c r="AF270" s="23">
        <v>324</v>
      </c>
      <c r="AG270" s="23">
        <v>264</v>
      </c>
      <c r="AH270" s="23">
        <v>156</v>
      </c>
      <c r="AI270" s="23">
        <v>162</v>
      </c>
      <c r="AJ270" s="23">
        <v>102</v>
      </c>
      <c r="AK270" s="23">
        <v>96</v>
      </c>
      <c r="AL270" s="24">
        <v>24</v>
      </c>
      <c r="AM270" s="24">
        <v>6</v>
      </c>
      <c r="AN270" s="24"/>
      <c r="AO270" s="24">
        <v>6</v>
      </c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</row>
    <row r="271" spans="1:52" s="25" customFormat="1" ht="15" customHeight="1" outlineLevel="2" x14ac:dyDescent="0.45">
      <c r="A271" s="12">
        <v>4509560131</v>
      </c>
      <c r="B271" s="13">
        <v>10</v>
      </c>
      <c r="C271" s="13" t="s">
        <v>870</v>
      </c>
      <c r="D271" s="14"/>
      <c r="E271" s="14"/>
      <c r="F271" s="15" t="s">
        <v>833</v>
      </c>
      <c r="G271" s="15">
        <v>194672</v>
      </c>
      <c r="H271" s="15" t="s">
        <v>871</v>
      </c>
      <c r="I271" s="15" t="s">
        <v>152</v>
      </c>
      <c r="J271" s="14"/>
      <c r="K271" s="14">
        <v>45199</v>
      </c>
      <c r="L271" s="16" t="s">
        <v>872</v>
      </c>
      <c r="M271" s="14">
        <v>45105</v>
      </c>
      <c r="N271" s="17" t="str">
        <f t="shared" si="99"/>
        <v>T3KA5</v>
      </c>
      <c r="O271" s="18" t="s">
        <v>862</v>
      </c>
      <c r="P271" s="19" t="s">
        <v>837</v>
      </c>
      <c r="Q271" s="20" t="s">
        <v>677</v>
      </c>
      <c r="R271" s="21" t="s">
        <v>225</v>
      </c>
      <c r="S271" s="22">
        <f t="shared" si="80"/>
        <v>468</v>
      </c>
      <c r="T271" s="22"/>
      <c r="U271" s="22"/>
      <c r="V271" s="22"/>
      <c r="W271" s="23"/>
      <c r="X271" s="23"/>
      <c r="Y271" s="23"/>
      <c r="Z271" s="23"/>
      <c r="AA271" s="23">
        <v>12</v>
      </c>
      <c r="AB271" s="23">
        <v>30</v>
      </c>
      <c r="AC271" s="23">
        <v>66</v>
      </c>
      <c r="AD271" s="23">
        <v>72</v>
      </c>
      <c r="AE271" s="23">
        <v>54</v>
      </c>
      <c r="AF271" s="23">
        <v>78</v>
      </c>
      <c r="AG271" s="23">
        <v>72</v>
      </c>
      <c r="AH271" s="23">
        <v>18</v>
      </c>
      <c r="AI271" s="23">
        <v>48</v>
      </c>
      <c r="AJ271" s="23"/>
      <c r="AK271" s="23">
        <v>18</v>
      </c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</row>
    <row r="272" spans="1:52" s="25" customFormat="1" ht="15" customHeight="1" outlineLevel="2" x14ac:dyDescent="0.45">
      <c r="A272" s="12">
        <v>4509562242</v>
      </c>
      <c r="B272" s="13">
        <v>10</v>
      </c>
      <c r="C272" s="13" t="s">
        <v>873</v>
      </c>
      <c r="D272" s="14"/>
      <c r="E272" s="14"/>
      <c r="F272" s="15" t="s">
        <v>833</v>
      </c>
      <c r="G272" s="15">
        <v>442252</v>
      </c>
      <c r="H272" s="15" t="s">
        <v>693</v>
      </c>
      <c r="I272" s="15" t="s">
        <v>152</v>
      </c>
      <c r="J272" s="14"/>
      <c r="K272" s="14">
        <v>45199</v>
      </c>
      <c r="L272" s="16" t="s">
        <v>874</v>
      </c>
      <c r="M272" s="14">
        <v>45105</v>
      </c>
      <c r="N272" s="17" t="str">
        <f t="shared" si="99"/>
        <v>T3KA5</v>
      </c>
      <c r="O272" s="18" t="s">
        <v>862</v>
      </c>
      <c r="P272" s="19" t="s">
        <v>837</v>
      </c>
      <c r="Q272" s="20" t="s">
        <v>677</v>
      </c>
      <c r="R272" s="21" t="s">
        <v>225</v>
      </c>
      <c r="S272" s="22">
        <f t="shared" si="80"/>
        <v>414</v>
      </c>
      <c r="T272" s="22"/>
      <c r="U272" s="22"/>
      <c r="V272" s="22"/>
      <c r="W272" s="23"/>
      <c r="X272" s="23"/>
      <c r="Y272" s="23"/>
      <c r="Z272" s="23"/>
      <c r="AA272" s="23">
        <v>21</v>
      </c>
      <c r="AB272" s="23"/>
      <c r="AC272" s="23">
        <v>51</v>
      </c>
      <c r="AD272" s="23">
        <v>57</v>
      </c>
      <c r="AE272" s="23">
        <v>69</v>
      </c>
      <c r="AF272" s="23">
        <v>72</v>
      </c>
      <c r="AG272" s="23">
        <v>60</v>
      </c>
      <c r="AH272" s="23">
        <v>30</v>
      </c>
      <c r="AI272" s="23">
        <v>30</v>
      </c>
      <c r="AJ272" s="23"/>
      <c r="AK272" s="23">
        <v>15</v>
      </c>
      <c r="AL272" s="24"/>
      <c r="AM272" s="24">
        <v>9</v>
      </c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</row>
    <row r="273" spans="1:52" s="25" customFormat="1" ht="15" customHeight="1" outlineLevel="2" x14ac:dyDescent="0.45">
      <c r="A273" s="12">
        <v>4509562323</v>
      </c>
      <c r="B273" s="13">
        <v>30</v>
      </c>
      <c r="C273" s="13" t="s">
        <v>875</v>
      </c>
      <c r="D273" s="14"/>
      <c r="E273" s="14"/>
      <c r="F273" s="15" t="s">
        <v>833</v>
      </c>
      <c r="G273" s="15">
        <v>467424</v>
      </c>
      <c r="H273" s="15" t="s">
        <v>690</v>
      </c>
      <c r="I273" s="15" t="s">
        <v>152</v>
      </c>
      <c r="J273" s="14"/>
      <c r="K273" s="14">
        <v>45199</v>
      </c>
      <c r="L273" s="16" t="s">
        <v>876</v>
      </c>
      <c r="M273" s="14">
        <v>45105</v>
      </c>
      <c r="N273" s="17" t="str">
        <f t="shared" si="99"/>
        <v>T3KA5</v>
      </c>
      <c r="O273" s="18" t="s">
        <v>862</v>
      </c>
      <c r="P273" s="19" t="s">
        <v>837</v>
      </c>
      <c r="Q273" s="20" t="s">
        <v>677</v>
      </c>
      <c r="R273" s="21" t="s">
        <v>225</v>
      </c>
      <c r="S273" s="22">
        <f t="shared" si="80"/>
        <v>126</v>
      </c>
      <c r="T273" s="22"/>
      <c r="U273" s="22"/>
      <c r="V273" s="22"/>
      <c r="W273" s="23"/>
      <c r="X273" s="23"/>
      <c r="Y273" s="23"/>
      <c r="Z273" s="23"/>
      <c r="AA273" s="23">
        <v>6</v>
      </c>
      <c r="AB273" s="23">
        <v>6</v>
      </c>
      <c r="AC273" s="23">
        <v>6</v>
      </c>
      <c r="AD273" s="23">
        <v>6</v>
      </c>
      <c r="AE273" s="23">
        <v>12</v>
      </c>
      <c r="AF273" s="23">
        <v>18</v>
      </c>
      <c r="AG273" s="23">
        <v>24</v>
      </c>
      <c r="AH273" s="23">
        <v>18</v>
      </c>
      <c r="AI273" s="23">
        <v>12</v>
      </c>
      <c r="AJ273" s="23">
        <v>12</v>
      </c>
      <c r="AK273" s="23">
        <v>6</v>
      </c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</row>
    <row r="274" spans="1:52" s="25" customFormat="1" ht="15" customHeight="1" outlineLevel="2" x14ac:dyDescent="0.45">
      <c r="A274" s="12">
        <v>4509562323</v>
      </c>
      <c r="B274" s="13">
        <v>40</v>
      </c>
      <c r="C274" s="13" t="s">
        <v>877</v>
      </c>
      <c r="D274" s="14"/>
      <c r="E274" s="14"/>
      <c r="F274" s="15" t="s">
        <v>833</v>
      </c>
      <c r="G274" s="15">
        <v>467424</v>
      </c>
      <c r="H274" s="15" t="s">
        <v>690</v>
      </c>
      <c r="I274" s="15" t="s">
        <v>152</v>
      </c>
      <c r="J274" s="14"/>
      <c r="K274" s="14">
        <v>45199</v>
      </c>
      <c r="L274" s="16" t="s">
        <v>878</v>
      </c>
      <c r="M274" s="14">
        <v>45105</v>
      </c>
      <c r="N274" s="17" t="str">
        <f t="shared" si="99"/>
        <v>T3KA5</v>
      </c>
      <c r="O274" s="18" t="s">
        <v>862</v>
      </c>
      <c r="P274" s="19" t="s">
        <v>837</v>
      </c>
      <c r="Q274" s="20" t="s">
        <v>677</v>
      </c>
      <c r="R274" s="21" t="s">
        <v>225</v>
      </c>
      <c r="S274" s="22">
        <f t="shared" si="80"/>
        <v>264</v>
      </c>
      <c r="T274" s="22"/>
      <c r="U274" s="22"/>
      <c r="V274" s="22"/>
      <c r="W274" s="23"/>
      <c r="X274" s="23"/>
      <c r="Y274" s="23"/>
      <c r="Z274" s="23"/>
      <c r="AA274" s="23">
        <v>18</v>
      </c>
      <c r="AB274" s="23">
        <v>12</v>
      </c>
      <c r="AC274" s="23">
        <v>36</v>
      </c>
      <c r="AD274" s="23">
        <v>36</v>
      </c>
      <c r="AE274" s="23">
        <v>36</v>
      </c>
      <c r="AF274" s="23">
        <v>42</v>
      </c>
      <c r="AG274" s="23">
        <v>30</v>
      </c>
      <c r="AH274" s="23">
        <v>24</v>
      </c>
      <c r="AI274" s="23">
        <v>18</v>
      </c>
      <c r="AJ274" s="23">
        <v>6</v>
      </c>
      <c r="AK274" s="23">
        <v>6</v>
      </c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</row>
    <row r="275" spans="1:52" s="25" customFormat="1" ht="15" customHeight="1" outlineLevel="2" x14ac:dyDescent="0.45">
      <c r="A275" s="12">
        <v>4509557489</v>
      </c>
      <c r="B275" s="13">
        <v>20</v>
      </c>
      <c r="C275" s="13" t="s">
        <v>879</v>
      </c>
      <c r="D275" s="14"/>
      <c r="E275" s="14"/>
      <c r="F275" s="15" t="s">
        <v>833</v>
      </c>
      <c r="G275" s="15">
        <v>1042</v>
      </c>
      <c r="H275" s="15" t="s">
        <v>151</v>
      </c>
      <c r="I275" s="15" t="s">
        <v>152</v>
      </c>
      <c r="J275" s="14"/>
      <c r="K275" s="14">
        <v>45192</v>
      </c>
      <c r="L275" s="16" t="s">
        <v>880</v>
      </c>
      <c r="M275" s="14">
        <v>45105</v>
      </c>
      <c r="N275" s="17" t="str">
        <f t="shared" si="99"/>
        <v>T3KA5</v>
      </c>
      <c r="O275" s="18" t="s">
        <v>862</v>
      </c>
      <c r="P275" s="19" t="s">
        <v>837</v>
      </c>
      <c r="Q275" s="20" t="s">
        <v>677</v>
      </c>
      <c r="R275" s="21" t="s">
        <v>225</v>
      </c>
      <c r="S275" s="22">
        <f t="shared" si="80"/>
        <v>108</v>
      </c>
      <c r="T275" s="22"/>
      <c r="U275" s="22"/>
      <c r="V275" s="22"/>
      <c r="W275" s="23"/>
      <c r="X275" s="23"/>
      <c r="Y275" s="23"/>
      <c r="Z275" s="23"/>
      <c r="AA275" s="23"/>
      <c r="AB275" s="23">
        <v>6</v>
      </c>
      <c r="AC275" s="23">
        <v>12</v>
      </c>
      <c r="AD275" s="23">
        <v>6</v>
      </c>
      <c r="AE275" s="23">
        <v>18</v>
      </c>
      <c r="AF275" s="23">
        <v>12</v>
      </c>
      <c r="AG275" s="23">
        <v>12</v>
      </c>
      <c r="AH275" s="23">
        <v>12</v>
      </c>
      <c r="AI275" s="23">
        <v>12</v>
      </c>
      <c r="AJ275" s="23">
        <v>6</v>
      </c>
      <c r="AK275" s="23">
        <v>6</v>
      </c>
      <c r="AL275" s="24"/>
      <c r="AM275" s="24">
        <v>6</v>
      </c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</row>
    <row r="276" spans="1:52" s="25" customFormat="1" ht="15" customHeight="1" outlineLevel="2" x14ac:dyDescent="0.45">
      <c r="A276" s="12">
        <v>3503412858</v>
      </c>
      <c r="B276" s="13">
        <v>10</v>
      </c>
      <c r="C276" s="13" t="s">
        <v>881</v>
      </c>
      <c r="D276" s="14"/>
      <c r="E276" s="14"/>
      <c r="F276" s="15" t="s">
        <v>833</v>
      </c>
      <c r="G276" s="15">
        <v>1086</v>
      </c>
      <c r="H276" s="15" t="s">
        <v>882</v>
      </c>
      <c r="I276" s="15" t="s">
        <v>152</v>
      </c>
      <c r="J276" s="14"/>
      <c r="K276" s="14">
        <v>45199</v>
      </c>
      <c r="L276" s="16" t="s">
        <v>883</v>
      </c>
      <c r="M276" s="14">
        <v>45105</v>
      </c>
      <c r="N276" s="17" t="str">
        <f t="shared" si="99"/>
        <v>T3KA5</v>
      </c>
      <c r="O276" s="18" t="s">
        <v>862</v>
      </c>
      <c r="P276" s="19" t="s">
        <v>837</v>
      </c>
      <c r="Q276" s="20" t="s">
        <v>677</v>
      </c>
      <c r="R276" s="21" t="s">
        <v>225</v>
      </c>
      <c r="S276" s="22">
        <f t="shared" si="80"/>
        <v>192</v>
      </c>
      <c r="T276" s="22"/>
      <c r="U276" s="22"/>
      <c r="V276" s="22"/>
      <c r="W276" s="23"/>
      <c r="X276" s="23"/>
      <c r="Y276" s="23"/>
      <c r="Z276" s="23"/>
      <c r="AA276" s="23">
        <v>12</v>
      </c>
      <c r="AB276" s="23"/>
      <c r="AC276" s="23">
        <v>18</v>
      </c>
      <c r="AD276" s="23"/>
      <c r="AE276" s="23">
        <v>30</v>
      </c>
      <c r="AF276" s="23"/>
      <c r="AG276" s="23">
        <v>36</v>
      </c>
      <c r="AH276" s="23"/>
      <c r="AI276" s="23">
        <v>36</v>
      </c>
      <c r="AJ276" s="23"/>
      <c r="AK276" s="23">
        <v>30</v>
      </c>
      <c r="AL276" s="24"/>
      <c r="AM276" s="24">
        <v>18</v>
      </c>
      <c r="AN276" s="24"/>
      <c r="AO276" s="24">
        <v>12</v>
      </c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</row>
    <row r="277" spans="1:52" s="26" customFormat="1" ht="15" customHeight="1" outlineLevel="1" x14ac:dyDescent="0.45">
      <c r="A277" s="38"/>
      <c r="B277" s="39"/>
      <c r="C277" s="39"/>
      <c r="D277" s="40"/>
      <c r="E277" s="40"/>
      <c r="F277" s="16"/>
      <c r="G277" s="16"/>
      <c r="H277" s="16"/>
      <c r="I277" s="16"/>
      <c r="J277" s="40"/>
      <c r="K277" s="40"/>
      <c r="L277" s="16"/>
      <c r="M277" s="40"/>
      <c r="N277" s="41" t="s">
        <v>884</v>
      </c>
      <c r="O277" s="42"/>
      <c r="P277" s="43"/>
      <c r="Q277" s="44"/>
      <c r="R277" s="45"/>
      <c r="S277" s="46">
        <f t="shared" ref="S277:AZ277" si="100">SUBTOTAL(9,S267:S276)</f>
        <v>6357</v>
      </c>
      <c r="T277" s="46">
        <f t="shared" si="100"/>
        <v>0</v>
      </c>
      <c r="U277" s="46">
        <f t="shared" si="100"/>
        <v>0</v>
      </c>
      <c r="V277" s="46">
        <f t="shared" si="100"/>
        <v>0</v>
      </c>
      <c r="W277" s="85">
        <f t="shared" si="100"/>
        <v>0</v>
      </c>
      <c r="X277" s="85">
        <f t="shared" si="100"/>
        <v>0</v>
      </c>
      <c r="Y277" s="85">
        <f t="shared" si="100"/>
        <v>0</v>
      </c>
      <c r="Z277" s="85">
        <f t="shared" si="100"/>
        <v>18</v>
      </c>
      <c r="AA277" s="85">
        <f t="shared" si="100"/>
        <v>386</v>
      </c>
      <c r="AB277" s="85">
        <f t="shared" si="100"/>
        <v>186</v>
      </c>
      <c r="AC277" s="85">
        <f t="shared" si="100"/>
        <v>703</v>
      </c>
      <c r="AD277" s="85">
        <f t="shared" si="100"/>
        <v>835</v>
      </c>
      <c r="AE277" s="85">
        <f t="shared" si="100"/>
        <v>794</v>
      </c>
      <c r="AF277" s="85">
        <f t="shared" si="100"/>
        <v>1083</v>
      </c>
      <c r="AG277" s="85">
        <f t="shared" si="100"/>
        <v>999</v>
      </c>
      <c r="AH277" s="85">
        <f t="shared" si="100"/>
        <v>258</v>
      </c>
      <c r="AI277" s="85">
        <f t="shared" si="100"/>
        <v>628</v>
      </c>
      <c r="AJ277" s="85">
        <f t="shared" si="100"/>
        <v>126</v>
      </c>
      <c r="AK277" s="85">
        <f t="shared" si="100"/>
        <v>260</v>
      </c>
      <c r="AL277" s="86">
        <f t="shared" si="100"/>
        <v>24</v>
      </c>
      <c r="AM277" s="86">
        <f t="shared" si="100"/>
        <v>39</v>
      </c>
      <c r="AN277" s="86">
        <f t="shared" si="100"/>
        <v>0</v>
      </c>
      <c r="AO277" s="86">
        <f t="shared" si="100"/>
        <v>18</v>
      </c>
      <c r="AP277" s="86">
        <f t="shared" si="100"/>
        <v>0</v>
      </c>
      <c r="AQ277" s="86">
        <f t="shared" si="100"/>
        <v>0</v>
      </c>
      <c r="AR277" s="86">
        <f t="shared" si="100"/>
        <v>0</v>
      </c>
      <c r="AS277" s="86">
        <f t="shared" si="100"/>
        <v>0</v>
      </c>
      <c r="AT277" s="86">
        <f t="shared" si="100"/>
        <v>0</v>
      </c>
      <c r="AU277" s="86">
        <f t="shared" si="100"/>
        <v>0</v>
      </c>
      <c r="AV277" s="86">
        <f t="shared" si="100"/>
        <v>0</v>
      </c>
      <c r="AW277" s="86">
        <f t="shared" si="100"/>
        <v>0</v>
      </c>
      <c r="AX277" s="86">
        <f t="shared" si="100"/>
        <v>0</v>
      </c>
      <c r="AY277" s="86">
        <f t="shared" si="100"/>
        <v>0</v>
      </c>
      <c r="AZ277" s="86">
        <f t="shared" si="100"/>
        <v>0</v>
      </c>
    </row>
    <row r="278" spans="1:52" s="25" customFormat="1" ht="15" customHeight="1" outlineLevel="2" x14ac:dyDescent="0.45">
      <c r="A278" s="12">
        <v>4509554209</v>
      </c>
      <c r="B278" s="13">
        <v>20</v>
      </c>
      <c r="C278" s="13" t="s">
        <v>885</v>
      </c>
      <c r="D278" s="14"/>
      <c r="E278" s="14"/>
      <c r="F278" s="15" t="s">
        <v>255</v>
      </c>
      <c r="G278" s="15">
        <v>1098</v>
      </c>
      <c r="H278" s="15" t="s">
        <v>381</v>
      </c>
      <c r="I278" s="15" t="s">
        <v>152</v>
      </c>
      <c r="J278" s="14"/>
      <c r="K278" s="14">
        <v>45213</v>
      </c>
      <c r="L278" s="16" t="s">
        <v>886</v>
      </c>
      <c r="M278" s="14">
        <v>45105</v>
      </c>
      <c r="N278" s="17" t="str">
        <f>+LEFT(L278,5)</f>
        <v>T3M29</v>
      </c>
      <c r="O278" s="18" t="s">
        <v>276</v>
      </c>
      <c r="P278" s="19" t="s">
        <v>258</v>
      </c>
      <c r="Q278" s="20" t="s">
        <v>677</v>
      </c>
      <c r="R278" s="21" t="s">
        <v>225</v>
      </c>
      <c r="S278" s="22">
        <f t="shared" si="80"/>
        <v>1368</v>
      </c>
      <c r="T278" s="22"/>
      <c r="U278" s="22"/>
      <c r="V278" s="22"/>
      <c r="W278" s="23"/>
      <c r="X278" s="23"/>
      <c r="Y278" s="23">
        <v>6</v>
      </c>
      <c r="Z278" s="23">
        <v>6</v>
      </c>
      <c r="AA278" s="23">
        <v>48</v>
      </c>
      <c r="AB278" s="23">
        <v>60</v>
      </c>
      <c r="AC278" s="23">
        <v>168</v>
      </c>
      <c r="AD278" s="23">
        <v>132</v>
      </c>
      <c r="AE278" s="23">
        <v>270</v>
      </c>
      <c r="AF278" s="23">
        <v>186</v>
      </c>
      <c r="AG278" s="23">
        <v>210</v>
      </c>
      <c r="AH278" s="23">
        <v>114</v>
      </c>
      <c r="AI278" s="23">
        <v>96</v>
      </c>
      <c r="AJ278" s="23">
        <v>6</v>
      </c>
      <c r="AK278" s="23">
        <v>54</v>
      </c>
      <c r="AL278" s="24">
        <v>6</v>
      </c>
      <c r="AM278" s="24">
        <v>6</v>
      </c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</row>
    <row r="279" spans="1:52" s="26" customFormat="1" ht="15" customHeight="1" outlineLevel="1" x14ac:dyDescent="0.45">
      <c r="A279" s="38"/>
      <c r="B279" s="39"/>
      <c r="C279" s="39"/>
      <c r="D279" s="40"/>
      <c r="E279" s="40"/>
      <c r="F279" s="16"/>
      <c r="G279" s="16"/>
      <c r="H279" s="16"/>
      <c r="I279" s="16"/>
      <c r="J279" s="40"/>
      <c r="K279" s="40"/>
      <c r="L279" s="16"/>
      <c r="M279" s="40"/>
      <c r="N279" s="41" t="s">
        <v>887</v>
      </c>
      <c r="O279" s="42"/>
      <c r="P279" s="43"/>
      <c r="Q279" s="44"/>
      <c r="R279" s="45"/>
      <c r="S279" s="46">
        <f t="shared" ref="S279:AZ279" si="101">SUBTOTAL(9,S278:S278)</f>
        <v>1368</v>
      </c>
      <c r="T279" s="46">
        <f t="shared" si="101"/>
        <v>0</v>
      </c>
      <c r="U279" s="46">
        <f t="shared" si="101"/>
        <v>0</v>
      </c>
      <c r="V279" s="46">
        <f t="shared" si="101"/>
        <v>0</v>
      </c>
      <c r="W279" s="85">
        <f t="shared" si="101"/>
        <v>0</v>
      </c>
      <c r="X279" s="85">
        <f t="shared" si="101"/>
        <v>0</v>
      </c>
      <c r="Y279" s="85">
        <f t="shared" si="101"/>
        <v>6</v>
      </c>
      <c r="Z279" s="85">
        <f t="shared" si="101"/>
        <v>6</v>
      </c>
      <c r="AA279" s="85">
        <f t="shared" si="101"/>
        <v>48</v>
      </c>
      <c r="AB279" s="85">
        <f t="shared" si="101"/>
        <v>60</v>
      </c>
      <c r="AC279" s="85">
        <f t="shared" si="101"/>
        <v>168</v>
      </c>
      <c r="AD279" s="85">
        <f t="shared" si="101"/>
        <v>132</v>
      </c>
      <c r="AE279" s="85">
        <f t="shared" si="101"/>
        <v>270</v>
      </c>
      <c r="AF279" s="85">
        <f t="shared" si="101"/>
        <v>186</v>
      </c>
      <c r="AG279" s="85">
        <f t="shared" si="101"/>
        <v>210</v>
      </c>
      <c r="AH279" s="85">
        <f t="shared" si="101"/>
        <v>114</v>
      </c>
      <c r="AI279" s="85">
        <f t="shared" si="101"/>
        <v>96</v>
      </c>
      <c r="AJ279" s="85">
        <f t="shared" si="101"/>
        <v>6</v>
      </c>
      <c r="AK279" s="85">
        <f t="shared" si="101"/>
        <v>54</v>
      </c>
      <c r="AL279" s="86">
        <f t="shared" si="101"/>
        <v>6</v>
      </c>
      <c r="AM279" s="86">
        <f t="shared" si="101"/>
        <v>6</v>
      </c>
      <c r="AN279" s="86">
        <f t="shared" si="101"/>
        <v>0</v>
      </c>
      <c r="AO279" s="86">
        <f t="shared" si="101"/>
        <v>0</v>
      </c>
      <c r="AP279" s="86">
        <f t="shared" si="101"/>
        <v>0</v>
      </c>
      <c r="AQ279" s="86">
        <f t="shared" si="101"/>
        <v>0</v>
      </c>
      <c r="AR279" s="86">
        <f t="shared" si="101"/>
        <v>0</v>
      </c>
      <c r="AS279" s="86">
        <f t="shared" si="101"/>
        <v>0</v>
      </c>
      <c r="AT279" s="86">
        <f t="shared" si="101"/>
        <v>0</v>
      </c>
      <c r="AU279" s="86">
        <f t="shared" si="101"/>
        <v>0</v>
      </c>
      <c r="AV279" s="86">
        <f t="shared" si="101"/>
        <v>0</v>
      </c>
      <c r="AW279" s="86">
        <f t="shared" si="101"/>
        <v>0</v>
      </c>
      <c r="AX279" s="86">
        <f t="shared" si="101"/>
        <v>0</v>
      </c>
      <c r="AY279" s="86">
        <f t="shared" si="101"/>
        <v>0</v>
      </c>
      <c r="AZ279" s="86">
        <f t="shared" si="101"/>
        <v>0</v>
      </c>
    </row>
    <row r="280" spans="1:52" s="25" customFormat="1" ht="15" customHeight="1" outlineLevel="2" x14ac:dyDescent="0.45">
      <c r="A280" s="12">
        <v>4509553978</v>
      </c>
      <c r="B280" s="13">
        <v>10</v>
      </c>
      <c r="C280" s="13" t="s">
        <v>888</v>
      </c>
      <c r="D280" s="14"/>
      <c r="E280" s="14"/>
      <c r="F280" s="15" t="s">
        <v>889</v>
      </c>
      <c r="G280" s="15">
        <v>1064</v>
      </c>
      <c r="H280" s="15" t="s">
        <v>5</v>
      </c>
      <c r="I280" s="15" t="s">
        <v>152</v>
      </c>
      <c r="J280" s="14"/>
      <c r="K280" s="14">
        <v>45213</v>
      </c>
      <c r="L280" s="16" t="s">
        <v>890</v>
      </c>
      <c r="M280" s="14">
        <v>45105</v>
      </c>
      <c r="N280" s="17" t="str">
        <f>+LEFT(L280,5)</f>
        <v>T3M30</v>
      </c>
      <c r="O280" s="18" t="s">
        <v>891</v>
      </c>
      <c r="P280" s="19" t="s">
        <v>892</v>
      </c>
      <c r="Q280" s="20" t="s">
        <v>677</v>
      </c>
      <c r="R280" s="21" t="s">
        <v>893</v>
      </c>
      <c r="S280" s="22">
        <f t="shared" si="80"/>
        <v>5772</v>
      </c>
      <c r="T280" s="22"/>
      <c r="U280" s="22"/>
      <c r="V280" s="22"/>
      <c r="W280" s="23"/>
      <c r="X280" s="23"/>
      <c r="Y280" s="23"/>
      <c r="Z280" s="23"/>
      <c r="AA280" s="23">
        <v>228</v>
      </c>
      <c r="AB280" s="23">
        <v>174</v>
      </c>
      <c r="AC280" s="23">
        <v>522</v>
      </c>
      <c r="AD280" s="23">
        <v>456</v>
      </c>
      <c r="AE280" s="23">
        <v>750</v>
      </c>
      <c r="AF280" s="23">
        <v>750</v>
      </c>
      <c r="AG280" s="23">
        <v>804</v>
      </c>
      <c r="AH280" s="23">
        <v>576</v>
      </c>
      <c r="AI280" s="23">
        <v>522</v>
      </c>
      <c r="AJ280" s="23">
        <v>234</v>
      </c>
      <c r="AK280" s="23">
        <v>348</v>
      </c>
      <c r="AL280" s="24">
        <v>120</v>
      </c>
      <c r="AM280" s="24">
        <v>288</v>
      </c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</row>
    <row r="281" spans="1:52" s="25" customFormat="1" ht="15" customHeight="1" outlineLevel="2" x14ac:dyDescent="0.45">
      <c r="A281" s="12">
        <v>4509561946</v>
      </c>
      <c r="B281" s="13">
        <v>10</v>
      </c>
      <c r="C281" s="13" t="s">
        <v>894</v>
      </c>
      <c r="D281" s="14"/>
      <c r="E281" s="14"/>
      <c r="F281" s="15" t="s">
        <v>889</v>
      </c>
      <c r="G281" s="15">
        <v>271402</v>
      </c>
      <c r="H281" s="15" t="s">
        <v>895</v>
      </c>
      <c r="I281" s="15" t="s">
        <v>152</v>
      </c>
      <c r="J281" s="14"/>
      <c r="K281" s="14">
        <v>45213</v>
      </c>
      <c r="L281" s="16" t="s">
        <v>896</v>
      </c>
      <c r="M281" s="14">
        <v>45105</v>
      </c>
      <c r="N281" s="17" t="str">
        <f>+LEFT(L281,5)</f>
        <v>T3M30</v>
      </c>
      <c r="O281" s="18" t="s">
        <v>891</v>
      </c>
      <c r="P281" s="19" t="s">
        <v>892</v>
      </c>
      <c r="Q281" s="20" t="s">
        <v>677</v>
      </c>
      <c r="R281" s="21" t="s">
        <v>893</v>
      </c>
      <c r="S281" s="22">
        <f t="shared" si="80"/>
        <v>504</v>
      </c>
      <c r="T281" s="22"/>
      <c r="U281" s="22"/>
      <c r="V281" s="22"/>
      <c r="W281" s="23"/>
      <c r="X281" s="23"/>
      <c r="Y281" s="23"/>
      <c r="Z281" s="23"/>
      <c r="AA281" s="23"/>
      <c r="AB281" s="23"/>
      <c r="AC281" s="23">
        <v>30</v>
      </c>
      <c r="AD281" s="23">
        <v>48</v>
      </c>
      <c r="AE281" s="23">
        <v>60</v>
      </c>
      <c r="AF281" s="23">
        <v>30</v>
      </c>
      <c r="AG281" s="23">
        <v>78</v>
      </c>
      <c r="AH281" s="23">
        <v>72</v>
      </c>
      <c r="AI281" s="23">
        <v>54</v>
      </c>
      <c r="AJ281" s="23">
        <v>54</v>
      </c>
      <c r="AK281" s="23">
        <v>30</v>
      </c>
      <c r="AL281" s="24">
        <v>24</v>
      </c>
      <c r="AM281" s="24">
        <v>24</v>
      </c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</row>
    <row r="282" spans="1:52" s="25" customFormat="1" ht="15" customHeight="1" outlineLevel="2" x14ac:dyDescent="0.45">
      <c r="A282" s="12">
        <v>4509554210</v>
      </c>
      <c r="B282" s="13">
        <v>10</v>
      </c>
      <c r="C282" s="13" t="s">
        <v>897</v>
      </c>
      <c r="D282" s="14"/>
      <c r="E282" s="14"/>
      <c r="F282" s="15" t="s">
        <v>889</v>
      </c>
      <c r="G282" s="15">
        <v>1098</v>
      </c>
      <c r="H282" s="15" t="s">
        <v>381</v>
      </c>
      <c r="I282" s="15" t="s">
        <v>152</v>
      </c>
      <c r="J282" s="14"/>
      <c r="K282" s="14">
        <v>45213</v>
      </c>
      <c r="L282" s="16" t="s">
        <v>898</v>
      </c>
      <c r="M282" s="14">
        <v>45105</v>
      </c>
      <c r="N282" s="17" t="str">
        <f>+LEFT(L282,5)</f>
        <v>T3M30</v>
      </c>
      <c r="O282" s="18" t="s">
        <v>891</v>
      </c>
      <c r="P282" s="19" t="s">
        <v>892</v>
      </c>
      <c r="Q282" s="20" t="s">
        <v>677</v>
      </c>
      <c r="R282" s="21" t="s">
        <v>893</v>
      </c>
      <c r="S282" s="22">
        <f t="shared" si="80"/>
        <v>1578</v>
      </c>
      <c r="T282" s="22"/>
      <c r="U282" s="22">
        <v>42</v>
      </c>
      <c r="V282" s="22">
        <v>18</v>
      </c>
      <c r="W282" s="23">
        <v>42</v>
      </c>
      <c r="X282" s="23">
        <v>18</v>
      </c>
      <c r="Y282" s="23">
        <v>42</v>
      </c>
      <c r="Z282" s="23">
        <v>18</v>
      </c>
      <c r="AA282" s="23">
        <v>42</v>
      </c>
      <c r="AB282" s="23">
        <v>42</v>
      </c>
      <c r="AC282" s="23">
        <v>198</v>
      </c>
      <c r="AD282" s="23">
        <v>174</v>
      </c>
      <c r="AE282" s="23">
        <v>198</v>
      </c>
      <c r="AF282" s="23">
        <v>156</v>
      </c>
      <c r="AG282" s="23">
        <v>234</v>
      </c>
      <c r="AH282" s="23">
        <v>156</v>
      </c>
      <c r="AI282" s="23">
        <v>78</v>
      </c>
      <c r="AJ282" s="23">
        <v>18</v>
      </c>
      <c r="AK282" s="23">
        <v>42</v>
      </c>
      <c r="AL282" s="24">
        <v>18</v>
      </c>
      <c r="AM282" s="24">
        <v>42</v>
      </c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</row>
    <row r="283" spans="1:52" s="25" customFormat="1" ht="15" customHeight="1" outlineLevel="2" x14ac:dyDescent="0.45">
      <c r="A283" s="12">
        <v>4509554210</v>
      </c>
      <c r="B283" s="13">
        <v>20</v>
      </c>
      <c r="C283" s="13" t="s">
        <v>899</v>
      </c>
      <c r="D283" s="14"/>
      <c r="E283" s="14"/>
      <c r="F283" s="15" t="s">
        <v>889</v>
      </c>
      <c r="G283" s="15">
        <v>1098</v>
      </c>
      <c r="H283" s="15" t="s">
        <v>381</v>
      </c>
      <c r="I283" s="15" t="s">
        <v>152</v>
      </c>
      <c r="J283" s="14"/>
      <c r="K283" s="14">
        <v>45213</v>
      </c>
      <c r="L283" s="16" t="s">
        <v>900</v>
      </c>
      <c r="M283" s="14">
        <v>45105</v>
      </c>
      <c r="N283" s="17" t="str">
        <f>+LEFT(L283,5)</f>
        <v>T3M30</v>
      </c>
      <c r="O283" s="18" t="s">
        <v>891</v>
      </c>
      <c r="P283" s="19" t="s">
        <v>892</v>
      </c>
      <c r="Q283" s="20" t="s">
        <v>677</v>
      </c>
      <c r="R283" s="21" t="s">
        <v>893</v>
      </c>
      <c r="S283" s="22">
        <f t="shared" ref="S283:S319" si="102">SUM(T283:AZ283)</f>
        <v>1578</v>
      </c>
      <c r="T283" s="22"/>
      <c r="U283" s="22">
        <v>42</v>
      </c>
      <c r="V283" s="22">
        <v>18</v>
      </c>
      <c r="W283" s="23">
        <v>42</v>
      </c>
      <c r="X283" s="23">
        <v>18</v>
      </c>
      <c r="Y283" s="23">
        <v>42</v>
      </c>
      <c r="Z283" s="23">
        <v>18</v>
      </c>
      <c r="AA283" s="23">
        <v>42</v>
      </c>
      <c r="AB283" s="23">
        <v>42</v>
      </c>
      <c r="AC283" s="23">
        <v>198</v>
      </c>
      <c r="AD283" s="23">
        <v>174</v>
      </c>
      <c r="AE283" s="23">
        <v>198</v>
      </c>
      <c r="AF283" s="23">
        <v>156</v>
      </c>
      <c r="AG283" s="23">
        <v>234</v>
      </c>
      <c r="AH283" s="23">
        <v>156</v>
      </c>
      <c r="AI283" s="23">
        <v>78</v>
      </c>
      <c r="AJ283" s="23">
        <v>18</v>
      </c>
      <c r="AK283" s="23">
        <v>42</v>
      </c>
      <c r="AL283" s="24">
        <v>18</v>
      </c>
      <c r="AM283" s="24">
        <v>42</v>
      </c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</row>
    <row r="284" spans="1:52" s="26" customFormat="1" ht="15" customHeight="1" outlineLevel="1" x14ac:dyDescent="0.45">
      <c r="A284" s="38"/>
      <c r="B284" s="39"/>
      <c r="C284" s="39"/>
      <c r="D284" s="40"/>
      <c r="E284" s="40"/>
      <c r="F284" s="16"/>
      <c r="G284" s="16"/>
      <c r="H284" s="16"/>
      <c r="I284" s="16"/>
      <c r="J284" s="40"/>
      <c r="K284" s="40"/>
      <c r="L284" s="16"/>
      <c r="M284" s="40"/>
      <c r="N284" s="41" t="s">
        <v>901</v>
      </c>
      <c r="O284" s="42"/>
      <c r="P284" s="43"/>
      <c r="Q284" s="44"/>
      <c r="R284" s="45"/>
      <c r="S284" s="46">
        <f t="shared" ref="S284:AZ284" si="103">SUBTOTAL(9,S280:S283)</f>
        <v>9432</v>
      </c>
      <c r="T284" s="46">
        <f t="shared" si="103"/>
        <v>0</v>
      </c>
      <c r="U284" s="46">
        <f t="shared" si="103"/>
        <v>84</v>
      </c>
      <c r="V284" s="46">
        <f t="shared" si="103"/>
        <v>36</v>
      </c>
      <c r="W284" s="85">
        <f t="shared" si="103"/>
        <v>84</v>
      </c>
      <c r="X284" s="85">
        <f t="shared" si="103"/>
        <v>36</v>
      </c>
      <c r="Y284" s="85">
        <f t="shared" si="103"/>
        <v>84</v>
      </c>
      <c r="Z284" s="85">
        <f t="shared" si="103"/>
        <v>36</v>
      </c>
      <c r="AA284" s="85">
        <f t="shared" si="103"/>
        <v>312</v>
      </c>
      <c r="AB284" s="85">
        <f t="shared" si="103"/>
        <v>258</v>
      </c>
      <c r="AC284" s="85">
        <f t="shared" si="103"/>
        <v>948</v>
      </c>
      <c r="AD284" s="85">
        <f t="shared" si="103"/>
        <v>852</v>
      </c>
      <c r="AE284" s="85">
        <f t="shared" si="103"/>
        <v>1206</v>
      </c>
      <c r="AF284" s="85">
        <f t="shared" si="103"/>
        <v>1092</v>
      </c>
      <c r="AG284" s="85">
        <f t="shared" si="103"/>
        <v>1350</v>
      </c>
      <c r="AH284" s="85">
        <f t="shared" si="103"/>
        <v>960</v>
      </c>
      <c r="AI284" s="85">
        <f t="shared" si="103"/>
        <v>732</v>
      </c>
      <c r="AJ284" s="85">
        <f t="shared" si="103"/>
        <v>324</v>
      </c>
      <c r="AK284" s="85">
        <f t="shared" si="103"/>
        <v>462</v>
      </c>
      <c r="AL284" s="86">
        <f t="shared" si="103"/>
        <v>180</v>
      </c>
      <c r="AM284" s="86">
        <f t="shared" si="103"/>
        <v>396</v>
      </c>
      <c r="AN284" s="86">
        <f t="shared" si="103"/>
        <v>0</v>
      </c>
      <c r="AO284" s="86">
        <f t="shared" si="103"/>
        <v>0</v>
      </c>
      <c r="AP284" s="86">
        <f t="shared" si="103"/>
        <v>0</v>
      </c>
      <c r="AQ284" s="86">
        <f t="shared" si="103"/>
        <v>0</v>
      </c>
      <c r="AR284" s="86">
        <f t="shared" si="103"/>
        <v>0</v>
      </c>
      <c r="AS284" s="86">
        <f t="shared" si="103"/>
        <v>0</v>
      </c>
      <c r="AT284" s="86">
        <f t="shared" si="103"/>
        <v>0</v>
      </c>
      <c r="AU284" s="86">
        <f t="shared" si="103"/>
        <v>0</v>
      </c>
      <c r="AV284" s="86">
        <f t="shared" si="103"/>
        <v>0</v>
      </c>
      <c r="AW284" s="86">
        <f t="shared" si="103"/>
        <v>0</v>
      </c>
      <c r="AX284" s="86">
        <f t="shared" si="103"/>
        <v>0</v>
      </c>
      <c r="AY284" s="86">
        <f t="shared" si="103"/>
        <v>0</v>
      </c>
      <c r="AZ284" s="86">
        <f t="shared" si="103"/>
        <v>0</v>
      </c>
    </row>
    <row r="285" spans="1:52" s="25" customFormat="1" ht="15" customHeight="1" outlineLevel="2" x14ac:dyDescent="0.45">
      <c r="A285" s="12">
        <v>3503411226</v>
      </c>
      <c r="B285" s="13">
        <v>10</v>
      </c>
      <c r="C285" s="13" t="s">
        <v>902</v>
      </c>
      <c r="D285" s="14"/>
      <c r="E285" s="14"/>
      <c r="F285" s="15" t="s">
        <v>243</v>
      </c>
      <c r="G285" s="15">
        <v>1024</v>
      </c>
      <c r="H285" s="15" t="s">
        <v>355</v>
      </c>
      <c r="I285" s="15" t="s">
        <v>98</v>
      </c>
      <c r="J285" s="14"/>
      <c r="K285" s="14">
        <v>45227</v>
      </c>
      <c r="L285" s="16" t="s">
        <v>903</v>
      </c>
      <c r="M285" s="14">
        <v>45105</v>
      </c>
      <c r="N285" s="17" t="str">
        <f>+LEFT(L285,5)</f>
        <v>T3M31</v>
      </c>
      <c r="O285" s="18" t="s">
        <v>245</v>
      </c>
      <c r="P285" s="19" t="s">
        <v>246</v>
      </c>
      <c r="Q285" s="20" t="s">
        <v>677</v>
      </c>
      <c r="R285" s="21" t="s">
        <v>225</v>
      </c>
      <c r="S285" s="22">
        <f t="shared" si="102"/>
        <v>348</v>
      </c>
      <c r="T285" s="22"/>
      <c r="U285" s="22"/>
      <c r="V285" s="22"/>
      <c r="W285" s="23"/>
      <c r="X285" s="23"/>
      <c r="Y285" s="23"/>
      <c r="Z285" s="23"/>
      <c r="AA285" s="23">
        <v>6</v>
      </c>
      <c r="AB285" s="23">
        <v>6</v>
      </c>
      <c r="AC285" s="23">
        <v>30</v>
      </c>
      <c r="AD285" s="23">
        <v>30</v>
      </c>
      <c r="AE285" s="23">
        <v>54</v>
      </c>
      <c r="AF285" s="23">
        <v>42</v>
      </c>
      <c r="AG285" s="23">
        <v>60</v>
      </c>
      <c r="AH285" s="23">
        <v>30</v>
      </c>
      <c r="AI285" s="23">
        <v>42</v>
      </c>
      <c r="AJ285" s="23">
        <v>6</v>
      </c>
      <c r="AK285" s="23">
        <v>24</v>
      </c>
      <c r="AL285" s="24"/>
      <c r="AM285" s="24">
        <v>18</v>
      </c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</row>
    <row r="286" spans="1:52" s="25" customFormat="1" ht="15" customHeight="1" outlineLevel="2" x14ac:dyDescent="0.45">
      <c r="A286" s="12">
        <v>3503412174</v>
      </c>
      <c r="B286" s="13">
        <v>20</v>
      </c>
      <c r="C286" s="13" t="s">
        <v>904</v>
      </c>
      <c r="D286" s="14"/>
      <c r="E286" s="14"/>
      <c r="F286" s="15" t="s">
        <v>243</v>
      </c>
      <c r="G286" s="15">
        <v>1041</v>
      </c>
      <c r="H286" s="15" t="s">
        <v>221</v>
      </c>
      <c r="I286" s="15" t="s">
        <v>98</v>
      </c>
      <c r="J286" s="14"/>
      <c r="K286" s="14">
        <v>45213</v>
      </c>
      <c r="L286" s="16" t="s">
        <v>905</v>
      </c>
      <c r="M286" s="14">
        <v>45105</v>
      </c>
      <c r="N286" s="17" t="str">
        <f>+LEFT(L286,5)</f>
        <v>T3M31</v>
      </c>
      <c r="O286" s="18" t="s">
        <v>245</v>
      </c>
      <c r="P286" s="19" t="s">
        <v>246</v>
      </c>
      <c r="Q286" s="20" t="s">
        <v>677</v>
      </c>
      <c r="R286" s="21" t="s">
        <v>225</v>
      </c>
      <c r="S286" s="22">
        <f t="shared" si="102"/>
        <v>1620</v>
      </c>
      <c r="T286" s="22"/>
      <c r="U286" s="22"/>
      <c r="V286" s="22"/>
      <c r="W286" s="23">
        <v>6</v>
      </c>
      <c r="X286" s="23">
        <v>6</v>
      </c>
      <c r="Y286" s="23">
        <v>6</v>
      </c>
      <c r="Z286" s="23">
        <v>12</v>
      </c>
      <c r="AA286" s="23">
        <v>66</v>
      </c>
      <c r="AB286" s="23">
        <v>66</v>
      </c>
      <c r="AC286" s="23">
        <v>144</v>
      </c>
      <c r="AD286" s="23">
        <v>156</v>
      </c>
      <c r="AE286" s="23">
        <v>252</v>
      </c>
      <c r="AF286" s="23">
        <v>210</v>
      </c>
      <c r="AG286" s="23">
        <v>240</v>
      </c>
      <c r="AH286" s="23">
        <v>150</v>
      </c>
      <c r="AI286" s="23">
        <v>156</v>
      </c>
      <c r="AJ286" s="23">
        <v>12</v>
      </c>
      <c r="AK286" s="23">
        <v>114</v>
      </c>
      <c r="AL286" s="24">
        <v>6</v>
      </c>
      <c r="AM286" s="24">
        <v>18</v>
      </c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</row>
    <row r="287" spans="1:52" s="26" customFormat="1" ht="15" customHeight="1" outlineLevel="1" x14ac:dyDescent="0.45">
      <c r="A287" s="38"/>
      <c r="B287" s="39"/>
      <c r="C287" s="39"/>
      <c r="D287" s="40"/>
      <c r="E287" s="40"/>
      <c r="F287" s="16"/>
      <c r="G287" s="16"/>
      <c r="H287" s="16"/>
      <c r="I287" s="16"/>
      <c r="J287" s="40"/>
      <c r="K287" s="40"/>
      <c r="L287" s="16"/>
      <c r="M287" s="40"/>
      <c r="N287" s="41" t="s">
        <v>906</v>
      </c>
      <c r="O287" s="42"/>
      <c r="P287" s="43"/>
      <c r="Q287" s="44"/>
      <c r="R287" s="45"/>
      <c r="S287" s="46">
        <f t="shared" ref="S287:AZ287" si="104">SUBTOTAL(9,S285:S286)</f>
        <v>1968</v>
      </c>
      <c r="T287" s="46">
        <f t="shared" si="104"/>
        <v>0</v>
      </c>
      <c r="U287" s="46">
        <f t="shared" si="104"/>
        <v>0</v>
      </c>
      <c r="V287" s="46">
        <f t="shared" si="104"/>
        <v>0</v>
      </c>
      <c r="W287" s="85">
        <f t="shared" si="104"/>
        <v>6</v>
      </c>
      <c r="X287" s="85">
        <f t="shared" si="104"/>
        <v>6</v>
      </c>
      <c r="Y287" s="85">
        <f t="shared" si="104"/>
        <v>6</v>
      </c>
      <c r="Z287" s="85">
        <f t="shared" si="104"/>
        <v>12</v>
      </c>
      <c r="AA287" s="85">
        <f t="shared" si="104"/>
        <v>72</v>
      </c>
      <c r="AB287" s="85">
        <f t="shared" si="104"/>
        <v>72</v>
      </c>
      <c r="AC287" s="85">
        <f t="shared" si="104"/>
        <v>174</v>
      </c>
      <c r="AD287" s="85">
        <f t="shared" si="104"/>
        <v>186</v>
      </c>
      <c r="AE287" s="85">
        <f t="shared" si="104"/>
        <v>306</v>
      </c>
      <c r="AF287" s="85">
        <f t="shared" si="104"/>
        <v>252</v>
      </c>
      <c r="AG287" s="85">
        <f t="shared" si="104"/>
        <v>300</v>
      </c>
      <c r="AH287" s="85">
        <f t="shared" si="104"/>
        <v>180</v>
      </c>
      <c r="AI287" s="85">
        <f t="shared" si="104"/>
        <v>198</v>
      </c>
      <c r="AJ287" s="85">
        <f t="shared" si="104"/>
        <v>18</v>
      </c>
      <c r="AK287" s="85">
        <f t="shared" si="104"/>
        <v>138</v>
      </c>
      <c r="AL287" s="86">
        <f t="shared" si="104"/>
        <v>6</v>
      </c>
      <c r="AM287" s="86">
        <f t="shared" si="104"/>
        <v>36</v>
      </c>
      <c r="AN287" s="86">
        <f t="shared" si="104"/>
        <v>0</v>
      </c>
      <c r="AO287" s="86">
        <f t="shared" si="104"/>
        <v>0</v>
      </c>
      <c r="AP287" s="86">
        <f t="shared" si="104"/>
        <v>0</v>
      </c>
      <c r="AQ287" s="86">
        <f t="shared" si="104"/>
        <v>0</v>
      </c>
      <c r="AR287" s="86">
        <f t="shared" si="104"/>
        <v>0</v>
      </c>
      <c r="AS287" s="86">
        <f t="shared" si="104"/>
        <v>0</v>
      </c>
      <c r="AT287" s="86">
        <f t="shared" si="104"/>
        <v>0</v>
      </c>
      <c r="AU287" s="86">
        <f t="shared" si="104"/>
        <v>0</v>
      </c>
      <c r="AV287" s="86">
        <f t="shared" si="104"/>
        <v>0</v>
      </c>
      <c r="AW287" s="86">
        <f t="shared" si="104"/>
        <v>0</v>
      </c>
      <c r="AX287" s="86">
        <f t="shared" si="104"/>
        <v>0</v>
      </c>
      <c r="AY287" s="86">
        <f t="shared" si="104"/>
        <v>0</v>
      </c>
      <c r="AZ287" s="86">
        <f t="shared" si="104"/>
        <v>0</v>
      </c>
    </row>
    <row r="288" spans="1:52" s="25" customFormat="1" ht="15" customHeight="1" outlineLevel="2" x14ac:dyDescent="0.45">
      <c r="A288" s="12">
        <v>3503411501</v>
      </c>
      <c r="B288" s="13">
        <v>20</v>
      </c>
      <c r="C288" s="13" t="s">
        <v>907</v>
      </c>
      <c r="D288" s="14"/>
      <c r="E288" s="14"/>
      <c r="F288" s="15" t="s">
        <v>243</v>
      </c>
      <c r="G288" s="15">
        <v>1036</v>
      </c>
      <c r="H288" s="15" t="s">
        <v>231</v>
      </c>
      <c r="I288" s="15" t="s">
        <v>98</v>
      </c>
      <c r="J288" s="14"/>
      <c r="K288" s="14">
        <v>45234</v>
      </c>
      <c r="L288" s="16" t="s">
        <v>908</v>
      </c>
      <c r="M288" s="14">
        <v>45105</v>
      </c>
      <c r="N288" s="17" t="str">
        <f>+LEFT(L288,5)</f>
        <v>T3M32</v>
      </c>
      <c r="O288" s="18" t="s">
        <v>245</v>
      </c>
      <c r="P288" s="19" t="s">
        <v>246</v>
      </c>
      <c r="Q288" s="20" t="s">
        <v>677</v>
      </c>
      <c r="R288" s="21" t="s">
        <v>225</v>
      </c>
      <c r="S288" s="22">
        <f t="shared" si="102"/>
        <v>252</v>
      </c>
      <c r="T288" s="22"/>
      <c r="U288" s="22"/>
      <c r="V288" s="22"/>
      <c r="W288" s="23"/>
      <c r="X288" s="23"/>
      <c r="Y288" s="23"/>
      <c r="Z288" s="23"/>
      <c r="AA288" s="23"/>
      <c r="AB288" s="23"/>
      <c r="AC288" s="23">
        <v>42</v>
      </c>
      <c r="AD288" s="23">
        <v>12</v>
      </c>
      <c r="AE288" s="23">
        <v>42</v>
      </c>
      <c r="AF288" s="23">
        <v>30</v>
      </c>
      <c r="AG288" s="23">
        <v>54</v>
      </c>
      <c r="AH288" s="23"/>
      <c r="AI288" s="23">
        <v>42</v>
      </c>
      <c r="AJ288" s="23"/>
      <c r="AK288" s="23">
        <v>24</v>
      </c>
      <c r="AL288" s="24"/>
      <c r="AM288" s="24">
        <v>6</v>
      </c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</row>
    <row r="289" spans="1:52" s="26" customFormat="1" ht="15" customHeight="1" outlineLevel="1" x14ac:dyDescent="0.45">
      <c r="A289" s="38"/>
      <c r="B289" s="39"/>
      <c r="C289" s="39"/>
      <c r="D289" s="40"/>
      <c r="E289" s="40"/>
      <c r="F289" s="16"/>
      <c r="G289" s="16"/>
      <c r="H289" s="16"/>
      <c r="I289" s="16"/>
      <c r="J289" s="40"/>
      <c r="K289" s="40"/>
      <c r="L289" s="16"/>
      <c r="M289" s="40"/>
      <c r="N289" s="41" t="s">
        <v>909</v>
      </c>
      <c r="O289" s="42"/>
      <c r="P289" s="43"/>
      <c r="Q289" s="44"/>
      <c r="R289" s="45"/>
      <c r="S289" s="46">
        <f t="shared" ref="S289:AZ289" si="105">SUBTOTAL(9,S288:S288)</f>
        <v>252</v>
      </c>
      <c r="T289" s="46">
        <f t="shared" si="105"/>
        <v>0</v>
      </c>
      <c r="U289" s="46">
        <f t="shared" si="105"/>
        <v>0</v>
      </c>
      <c r="V289" s="46">
        <f t="shared" si="105"/>
        <v>0</v>
      </c>
      <c r="W289" s="85">
        <f t="shared" si="105"/>
        <v>0</v>
      </c>
      <c r="X289" s="85">
        <f t="shared" si="105"/>
        <v>0</v>
      </c>
      <c r="Y289" s="85">
        <f t="shared" si="105"/>
        <v>0</v>
      </c>
      <c r="Z289" s="85">
        <f t="shared" si="105"/>
        <v>0</v>
      </c>
      <c r="AA289" s="85">
        <f t="shared" si="105"/>
        <v>0</v>
      </c>
      <c r="AB289" s="85">
        <f t="shared" si="105"/>
        <v>0</v>
      </c>
      <c r="AC289" s="85">
        <f t="shared" si="105"/>
        <v>42</v>
      </c>
      <c r="AD289" s="85">
        <f t="shared" si="105"/>
        <v>12</v>
      </c>
      <c r="AE289" s="85">
        <f t="shared" si="105"/>
        <v>42</v>
      </c>
      <c r="AF289" s="85">
        <f t="shared" si="105"/>
        <v>30</v>
      </c>
      <c r="AG289" s="85">
        <f t="shared" si="105"/>
        <v>54</v>
      </c>
      <c r="AH289" s="85">
        <f t="shared" si="105"/>
        <v>0</v>
      </c>
      <c r="AI289" s="85">
        <f t="shared" si="105"/>
        <v>42</v>
      </c>
      <c r="AJ289" s="85">
        <f t="shared" si="105"/>
        <v>0</v>
      </c>
      <c r="AK289" s="85">
        <f t="shared" si="105"/>
        <v>24</v>
      </c>
      <c r="AL289" s="86">
        <f t="shared" si="105"/>
        <v>0</v>
      </c>
      <c r="AM289" s="86">
        <f t="shared" si="105"/>
        <v>6</v>
      </c>
      <c r="AN289" s="86">
        <f t="shared" si="105"/>
        <v>0</v>
      </c>
      <c r="AO289" s="86">
        <f t="shared" si="105"/>
        <v>0</v>
      </c>
      <c r="AP289" s="86">
        <f t="shared" si="105"/>
        <v>0</v>
      </c>
      <c r="AQ289" s="86">
        <f t="shared" si="105"/>
        <v>0</v>
      </c>
      <c r="AR289" s="86">
        <f t="shared" si="105"/>
        <v>0</v>
      </c>
      <c r="AS289" s="86">
        <f t="shared" si="105"/>
        <v>0</v>
      </c>
      <c r="AT289" s="86">
        <f t="shared" si="105"/>
        <v>0</v>
      </c>
      <c r="AU289" s="86">
        <f t="shared" si="105"/>
        <v>0</v>
      </c>
      <c r="AV289" s="86">
        <f t="shared" si="105"/>
        <v>0</v>
      </c>
      <c r="AW289" s="86">
        <f t="shared" si="105"/>
        <v>0</v>
      </c>
      <c r="AX289" s="86">
        <f t="shared" si="105"/>
        <v>0</v>
      </c>
      <c r="AY289" s="86">
        <f t="shared" si="105"/>
        <v>0</v>
      </c>
      <c r="AZ289" s="86">
        <f t="shared" si="105"/>
        <v>0</v>
      </c>
    </row>
    <row r="290" spans="1:52" s="25" customFormat="1" ht="15" customHeight="1" outlineLevel="2" x14ac:dyDescent="0.45">
      <c r="A290" s="12">
        <v>4509557943</v>
      </c>
      <c r="B290" s="13">
        <v>20</v>
      </c>
      <c r="C290" s="13" t="s">
        <v>910</v>
      </c>
      <c r="D290" s="14"/>
      <c r="E290" s="14"/>
      <c r="F290" s="15" t="s">
        <v>4</v>
      </c>
      <c r="G290" s="15">
        <v>467867</v>
      </c>
      <c r="H290" s="15" t="s">
        <v>118</v>
      </c>
      <c r="I290" s="15" t="s">
        <v>152</v>
      </c>
      <c r="J290" s="14"/>
      <c r="K290" s="14">
        <v>45220</v>
      </c>
      <c r="L290" s="16" t="s">
        <v>911</v>
      </c>
      <c r="M290" s="14">
        <v>45105</v>
      </c>
      <c r="N290" s="17" t="str">
        <f t="shared" ref="N290:N295" si="106">+LEFT(L290,5)</f>
        <v>T3M33</v>
      </c>
      <c r="O290" s="18" t="s">
        <v>446</v>
      </c>
      <c r="P290" s="19" t="s">
        <v>3</v>
      </c>
      <c r="Q290" s="20" t="s">
        <v>677</v>
      </c>
      <c r="R290" s="21" t="s">
        <v>6</v>
      </c>
      <c r="S290" s="22">
        <f t="shared" si="102"/>
        <v>264</v>
      </c>
      <c r="T290" s="22"/>
      <c r="U290" s="22"/>
      <c r="V290" s="22"/>
      <c r="W290" s="23"/>
      <c r="X290" s="23"/>
      <c r="Y290" s="23"/>
      <c r="Z290" s="23">
        <v>44</v>
      </c>
      <c r="AA290" s="23">
        <v>44</v>
      </c>
      <c r="AB290" s="23">
        <v>44</v>
      </c>
      <c r="AC290" s="23">
        <v>44</v>
      </c>
      <c r="AD290" s="23">
        <v>44</v>
      </c>
      <c r="AE290" s="23">
        <v>44</v>
      </c>
      <c r="AF290" s="23"/>
      <c r="AG290" s="23"/>
      <c r="AH290" s="23"/>
      <c r="AI290" s="23"/>
      <c r="AJ290" s="23"/>
      <c r="AK290" s="23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</row>
    <row r="291" spans="1:52" s="25" customFormat="1" ht="15" customHeight="1" outlineLevel="2" x14ac:dyDescent="0.45">
      <c r="A291" s="12">
        <v>4509557943</v>
      </c>
      <c r="B291" s="13">
        <v>10</v>
      </c>
      <c r="C291" s="13" t="s">
        <v>912</v>
      </c>
      <c r="D291" s="14"/>
      <c r="E291" s="14"/>
      <c r="F291" s="15" t="s">
        <v>4</v>
      </c>
      <c r="G291" s="15">
        <v>467867</v>
      </c>
      <c r="H291" s="15" t="s">
        <v>118</v>
      </c>
      <c r="I291" s="15" t="s">
        <v>152</v>
      </c>
      <c r="J291" s="14"/>
      <c r="K291" s="14">
        <v>45220</v>
      </c>
      <c r="L291" s="16" t="s">
        <v>913</v>
      </c>
      <c r="M291" s="14">
        <v>45105</v>
      </c>
      <c r="N291" s="17" t="str">
        <f t="shared" si="106"/>
        <v>T3M33</v>
      </c>
      <c r="O291" s="18" t="s">
        <v>446</v>
      </c>
      <c r="P291" s="19" t="s">
        <v>3</v>
      </c>
      <c r="Q291" s="20" t="s">
        <v>677</v>
      </c>
      <c r="R291" s="21" t="s">
        <v>6</v>
      </c>
      <c r="S291" s="22">
        <f t="shared" si="102"/>
        <v>2202</v>
      </c>
      <c r="T291" s="22"/>
      <c r="U291" s="22"/>
      <c r="V291" s="22"/>
      <c r="W291" s="23">
        <v>30</v>
      </c>
      <c r="X291" s="23">
        <v>42</v>
      </c>
      <c r="Y291" s="23">
        <v>252</v>
      </c>
      <c r="Z291" s="23">
        <v>84</v>
      </c>
      <c r="AA291" s="23">
        <v>348</v>
      </c>
      <c r="AB291" s="23">
        <v>288</v>
      </c>
      <c r="AC291" s="23">
        <v>432</v>
      </c>
      <c r="AD291" s="23">
        <v>204</v>
      </c>
      <c r="AE291" s="23">
        <v>144</v>
      </c>
      <c r="AF291" s="23">
        <v>180</v>
      </c>
      <c r="AG291" s="23">
        <v>168</v>
      </c>
      <c r="AH291" s="23"/>
      <c r="AI291" s="23">
        <v>30</v>
      </c>
      <c r="AJ291" s="23"/>
      <c r="AK291" s="23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</row>
    <row r="292" spans="1:52" s="25" customFormat="1" ht="15" customHeight="1" outlineLevel="2" x14ac:dyDescent="0.45">
      <c r="A292" s="12">
        <v>4509553977</v>
      </c>
      <c r="B292" s="13">
        <v>20</v>
      </c>
      <c r="C292" s="13" t="s">
        <v>914</v>
      </c>
      <c r="D292" s="14"/>
      <c r="E292" s="14"/>
      <c r="F292" s="15" t="s">
        <v>4</v>
      </c>
      <c r="G292" s="15">
        <v>1064</v>
      </c>
      <c r="H292" s="15" t="s">
        <v>5</v>
      </c>
      <c r="I292" s="15" t="s">
        <v>152</v>
      </c>
      <c r="J292" s="14"/>
      <c r="K292" s="14">
        <v>45213</v>
      </c>
      <c r="L292" s="16" t="s">
        <v>915</v>
      </c>
      <c r="M292" s="14">
        <v>45105</v>
      </c>
      <c r="N292" s="17" t="str">
        <f t="shared" si="106"/>
        <v>T3M33</v>
      </c>
      <c r="O292" s="18" t="s">
        <v>446</v>
      </c>
      <c r="P292" s="19" t="s">
        <v>3</v>
      </c>
      <c r="Q292" s="20" t="s">
        <v>677</v>
      </c>
      <c r="R292" s="21" t="s">
        <v>6</v>
      </c>
      <c r="S292" s="22">
        <f t="shared" si="102"/>
        <v>660</v>
      </c>
      <c r="T292" s="22"/>
      <c r="U292" s="22"/>
      <c r="V292" s="22"/>
      <c r="W292" s="23">
        <v>6</v>
      </c>
      <c r="X292" s="23">
        <v>12</v>
      </c>
      <c r="Y292" s="23">
        <v>18</v>
      </c>
      <c r="Z292" s="23">
        <v>72</v>
      </c>
      <c r="AA292" s="23">
        <v>120</v>
      </c>
      <c r="AB292" s="23">
        <v>66</v>
      </c>
      <c r="AC292" s="23">
        <v>132</v>
      </c>
      <c r="AD292" s="23">
        <v>84</v>
      </c>
      <c r="AE292" s="23">
        <v>48</v>
      </c>
      <c r="AF292" s="23">
        <v>66</v>
      </c>
      <c r="AG292" s="23">
        <v>18</v>
      </c>
      <c r="AH292" s="23">
        <v>6</v>
      </c>
      <c r="AI292" s="23">
        <v>6</v>
      </c>
      <c r="AJ292" s="23">
        <v>6</v>
      </c>
      <c r="AK292" s="23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</row>
    <row r="293" spans="1:52" s="25" customFormat="1" ht="15" customHeight="1" outlineLevel="2" x14ac:dyDescent="0.45">
      <c r="A293" s="12">
        <v>4509553977</v>
      </c>
      <c r="B293" s="13">
        <v>10</v>
      </c>
      <c r="C293" s="13" t="s">
        <v>916</v>
      </c>
      <c r="D293" s="14"/>
      <c r="E293" s="14"/>
      <c r="F293" s="15" t="s">
        <v>4</v>
      </c>
      <c r="G293" s="15">
        <v>1064</v>
      </c>
      <c r="H293" s="15" t="s">
        <v>5</v>
      </c>
      <c r="I293" s="15" t="s">
        <v>152</v>
      </c>
      <c r="J293" s="14"/>
      <c r="K293" s="14">
        <v>45220</v>
      </c>
      <c r="L293" s="16" t="s">
        <v>917</v>
      </c>
      <c r="M293" s="14">
        <v>45105</v>
      </c>
      <c r="N293" s="17" t="str">
        <f t="shared" si="106"/>
        <v>T3M33</v>
      </c>
      <c r="O293" s="18" t="s">
        <v>446</v>
      </c>
      <c r="P293" s="19" t="s">
        <v>3</v>
      </c>
      <c r="Q293" s="20" t="s">
        <v>677</v>
      </c>
      <c r="R293" s="21" t="s">
        <v>6</v>
      </c>
      <c r="S293" s="22">
        <f t="shared" si="102"/>
        <v>918</v>
      </c>
      <c r="T293" s="22"/>
      <c r="U293" s="22"/>
      <c r="V293" s="22"/>
      <c r="W293" s="23">
        <v>6</v>
      </c>
      <c r="X293" s="23">
        <v>24</v>
      </c>
      <c r="Y293" s="23">
        <v>24</v>
      </c>
      <c r="Z293" s="23">
        <v>102</v>
      </c>
      <c r="AA293" s="23">
        <v>168</v>
      </c>
      <c r="AB293" s="23">
        <v>96</v>
      </c>
      <c r="AC293" s="23">
        <v>180</v>
      </c>
      <c r="AD293" s="23">
        <v>120</v>
      </c>
      <c r="AE293" s="23">
        <v>66</v>
      </c>
      <c r="AF293" s="23">
        <v>90</v>
      </c>
      <c r="AG293" s="23">
        <v>24</v>
      </c>
      <c r="AH293" s="23">
        <v>6</v>
      </c>
      <c r="AI293" s="23">
        <v>6</v>
      </c>
      <c r="AJ293" s="23">
        <v>6</v>
      </c>
      <c r="AK293" s="23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</row>
    <row r="294" spans="1:52" s="25" customFormat="1" ht="15" customHeight="1" outlineLevel="2" x14ac:dyDescent="0.45">
      <c r="A294" s="12">
        <v>3503411028</v>
      </c>
      <c r="B294" s="13">
        <v>20</v>
      </c>
      <c r="C294" s="13" t="s">
        <v>918</v>
      </c>
      <c r="D294" s="14"/>
      <c r="E294" s="14"/>
      <c r="F294" s="15" t="s">
        <v>4</v>
      </c>
      <c r="G294" s="15">
        <v>1089</v>
      </c>
      <c r="H294" s="15" t="s">
        <v>239</v>
      </c>
      <c r="I294" s="15" t="s">
        <v>152</v>
      </c>
      <c r="J294" s="14"/>
      <c r="K294" s="14">
        <v>45213</v>
      </c>
      <c r="L294" s="16" t="s">
        <v>919</v>
      </c>
      <c r="M294" s="14">
        <v>45105</v>
      </c>
      <c r="N294" s="17" t="str">
        <f t="shared" si="106"/>
        <v>T3M33</v>
      </c>
      <c r="O294" s="18" t="s">
        <v>446</v>
      </c>
      <c r="P294" s="19" t="s">
        <v>3</v>
      </c>
      <c r="Q294" s="20" t="s">
        <v>677</v>
      </c>
      <c r="R294" s="21" t="s">
        <v>6</v>
      </c>
      <c r="S294" s="22">
        <f t="shared" si="102"/>
        <v>150</v>
      </c>
      <c r="T294" s="22"/>
      <c r="U294" s="22"/>
      <c r="V294" s="22"/>
      <c r="W294" s="23"/>
      <c r="X294" s="23">
        <v>6</v>
      </c>
      <c r="Y294" s="23"/>
      <c r="Z294" s="23">
        <v>24</v>
      </c>
      <c r="AA294" s="23"/>
      <c r="AB294" s="23">
        <v>48</v>
      </c>
      <c r="AC294" s="23"/>
      <c r="AD294" s="23">
        <v>48</v>
      </c>
      <c r="AE294" s="23"/>
      <c r="AF294" s="23">
        <v>24</v>
      </c>
      <c r="AG294" s="23"/>
      <c r="AH294" s="23"/>
      <c r="AI294" s="23"/>
      <c r="AJ294" s="23"/>
      <c r="AK294" s="23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</row>
    <row r="295" spans="1:52" s="25" customFormat="1" ht="15" customHeight="1" outlineLevel="2" x14ac:dyDescent="0.45">
      <c r="A295" s="12">
        <v>3503411028</v>
      </c>
      <c r="B295" s="13">
        <v>10</v>
      </c>
      <c r="C295" s="13" t="s">
        <v>920</v>
      </c>
      <c r="D295" s="14"/>
      <c r="E295" s="14"/>
      <c r="F295" s="15" t="s">
        <v>4</v>
      </c>
      <c r="G295" s="15">
        <v>1089</v>
      </c>
      <c r="H295" s="15" t="s">
        <v>239</v>
      </c>
      <c r="I295" s="15" t="s">
        <v>152</v>
      </c>
      <c r="J295" s="14"/>
      <c r="K295" s="14">
        <v>45220</v>
      </c>
      <c r="L295" s="16" t="s">
        <v>921</v>
      </c>
      <c r="M295" s="14">
        <v>45105</v>
      </c>
      <c r="N295" s="17" t="str">
        <f t="shared" si="106"/>
        <v>T3M33</v>
      </c>
      <c r="O295" s="18" t="s">
        <v>446</v>
      </c>
      <c r="P295" s="19" t="s">
        <v>3</v>
      </c>
      <c r="Q295" s="20" t="s">
        <v>677</v>
      </c>
      <c r="R295" s="21" t="s">
        <v>6</v>
      </c>
      <c r="S295" s="22">
        <f t="shared" si="102"/>
        <v>300</v>
      </c>
      <c r="T295" s="22"/>
      <c r="U295" s="22"/>
      <c r="V295" s="22"/>
      <c r="W295" s="23"/>
      <c r="X295" s="23">
        <v>6</v>
      </c>
      <c r="Y295" s="23"/>
      <c r="Z295" s="23">
        <v>54</v>
      </c>
      <c r="AA295" s="23"/>
      <c r="AB295" s="23">
        <v>90</v>
      </c>
      <c r="AC295" s="23">
        <v>6</v>
      </c>
      <c r="AD295" s="23">
        <v>84</v>
      </c>
      <c r="AE295" s="23"/>
      <c r="AF295" s="23">
        <v>54</v>
      </c>
      <c r="AG295" s="23"/>
      <c r="AH295" s="23">
        <v>6</v>
      </c>
      <c r="AI295" s="23"/>
      <c r="AJ295" s="23"/>
      <c r="AK295" s="23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</row>
    <row r="296" spans="1:52" s="26" customFormat="1" ht="15" customHeight="1" outlineLevel="1" x14ac:dyDescent="0.45">
      <c r="A296" s="38"/>
      <c r="B296" s="39"/>
      <c r="C296" s="39"/>
      <c r="D296" s="40"/>
      <c r="E296" s="40"/>
      <c r="F296" s="16"/>
      <c r="G296" s="16"/>
      <c r="H296" s="16"/>
      <c r="I296" s="16"/>
      <c r="J296" s="40"/>
      <c r="K296" s="40"/>
      <c r="L296" s="16"/>
      <c r="M296" s="40"/>
      <c r="N296" s="41" t="s">
        <v>922</v>
      </c>
      <c r="O296" s="42"/>
      <c r="P296" s="43"/>
      <c r="Q296" s="44"/>
      <c r="R296" s="45"/>
      <c r="S296" s="46">
        <f t="shared" ref="S296:AZ296" si="107">SUBTOTAL(9,S290:S295)</f>
        <v>4494</v>
      </c>
      <c r="T296" s="46">
        <f t="shared" si="107"/>
        <v>0</v>
      </c>
      <c r="U296" s="46">
        <f t="shared" si="107"/>
        <v>0</v>
      </c>
      <c r="V296" s="46">
        <f t="shared" si="107"/>
        <v>0</v>
      </c>
      <c r="W296" s="85">
        <f t="shared" si="107"/>
        <v>42</v>
      </c>
      <c r="X296" s="85">
        <f t="shared" si="107"/>
        <v>90</v>
      </c>
      <c r="Y296" s="85">
        <f t="shared" si="107"/>
        <v>294</v>
      </c>
      <c r="Z296" s="85">
        <f t="shared" si="107"/>
        <v>380</v>
      </c>
      <c r="AA296" s="85">
        <f t="shared" si="107"/>
        <v>680</v>
      </c>
      <c r="AB296" s="85">
        <f t="shared" si="107"/>
        <v>632</v>
      </c>
      <c r="AC296" s="85">
        <f t="shared" si="107"/>
        <v>794</v>
      </c>
      <c r="AD296" s="85">
        <f t="shared" si="107"/>
        <v>584</v>
      </c>
      <c r="AE296" s="85">
        <f t="shared" si="107"/>
        <v>302</v>
      </c>
      <c r="AF296" s="85">
        <f t="shared" si="107"/>
        <v>414</v>
      </c>
      <c r="AG296" s="85">
        <f t="shared" si="107"/>
        <v>210</v>
      </c>
      <c r="AH296" s="85">
        <f t="shared" si="107"/>
        <v>18</v>
      </c>
      <c r="AI296" s="85">
        <f t="shared" si="107"/>
        <v>42</v>
      </c>
      <c r="AJ296" s="85">
        <f t="shared" si="107"/>
        <v>12</v>
      </c>
      <c r="AK296" s="85">
        <f t="shared" si="107"/>
        <v>0</v>
      </c>
      <c r="AL296" s="86">
        <f t="shared" si="107"/>
        <v>0</v>
      </c>
      <c r="AM296" s="86">
        <f t="shared" si="107"/>
        <v>0</v>
      </c>
      <c r="AN296" s="86">
        <f t="shared" si="107"/>
        <v>0</v>
      </c>
      <c r="AO296" s="86">
        <f t="shared" si="107"/>
        <v>0</v>
      </c>
      <c r="AP296" s="86">
        <f t="shared" si="107"/>
        <v>0</v>
      </c>
      <c r="AQ296" s="86">
        <f t="shared" si="107"/>
        <v>0</v>
      </c>
      <c r="AR296" s="86">
        <f t="shared" si="107"/>
        <v>0</v>
      </c>
      <c r="AS296" s="86">
        <f t="shared" si="107"/>
        <v>0</v>
      </c>
      <c r="AT296" s="86">
        <f t="shared" si="107"/>
        <v>0</v>
      </c>
      <c r="AU296" s="86">
        <f t="shared" si="107"/>
        <v>0</v>
      </c>
      <c r="AV296" s="86">
        <f t="shared" si="107"/>
        <v>0</v>
      </c>
      <c r="AW296" s="86">
        <f t="shared" si="107"/>
        <v>0</v>
      </c>
      <c r="AX296" s="86">
        <f t="shared" si="107"/>
        <v>0</v>
      </c>
      <c r="AY296" s="86">
        <f t="shared" si="107"/>
        <v>0</v>
      </c>
      <c r="AZ296" s="86">
        <f t="shared" si="107"/>
        <v>0</v>
      </c>
    </row>
    <row r="297" spans="1:52" s="25" customFormat="1" ht="15" customHeight="1" outlineLevel="2" x14ac:dyDescent="0.45">
      <c r="A297" s="12">
        <v>4509555113</v>
      </c>
      <c r="B297" s="13">
        <v>10</v>
      </c>
      <c r="C297" s="13" t="s">
        <v>923</v>
      </c>
      <c r="D297" s="14"/>
      <c r="E297" s="14"/>
      <c r="F297" s="15" t="s">
        <v>366</v>
      </c>
      <c r="G297" s="15">
        <v>1014</v>
      </c>
      <c r="H297" s="15" t="s">
        <v>118</v>
      </c>
      <c r="I297" s="15" t="s">
        <v>152</v>
      </c>
      <c r="J297" s="14"/>
      <c r="K297" s="14">
        <v>45213</v>
      </c>
      <c r="L297" s="16" t="s">
        <v>924</v>
      </c>
      <c r="M297" s="14">
        <v>45105</v>
      </c>
      <c r="N297" s="17" t="str">
        <f>+LEFT(L297,5)</f>
        <v>T3M34</v>
      </c>
      <c r="O297" s="18" t="s">
        <v>455</v>
      </c>
      <c r="P297" s="19" t="s">
        <v>369</v>
      </c>
      <c r="Q297" s="20" t="s">
        <v>677</v>
      </c>
      <c r="R297" s="21" t="s">
        <v>225</v>
      </c>
      <c r="S297" s="22">
        <f t="shared" si="102"/>
        <v>456</v>
      </c>
      <c r="T297" s="22"/>
      <c r="U297" s="22"/>
      <c r="V297" s="22"/>
      <c r="W297" s="23"/>
      <c r="X297" s="23"/>
      <c r="Y297" s="23"/>
      <c r="Z297" s="23">
        <v>6</v>
      </c>
      <c r="AA297" s="23">
        <v>12</v>
      </c>
      <c r="AB297" s="23">
        <v>12</v>
      </c>
      <c r="AC297" s="23">
        <v>24</v>
      </c>
      <c r="AD297" s="23">
        <v>30</v>
      </c>
      <c r="AE297" s="23">
        <v>42</v>
      </c>
      <c r="AF297" s="23">
        <v>48</v>
      </c>
      <c r="AG297" s="23">
        <v>54</v>
      </c>
      <c r="AH297" s="23">
        <v>54</v>
      </c>
      <c r="AI297" s="23">
        <v>48</v>
      </c>
      <c r="AJ297" s="23">
        <v>30</v>
      </c>
      <c r="AK297" s="23">
        <v>42</v>
      </c>
      <c r="AL297" s="24">
        <v>6</v>
      </c>
      <c r="AM297" s="24">
        <v>30</v>
      </c>
      <c r="AN297" s="24"/>
      <c r="AO297" s="24">
        <v>12</v>
      </c>
      <c r="AP297" s="24"/>
      <c r="AQ297" s="24">
        <v>6</v>
      </c>
      <c r="AR297" s="24"/>
      <c r="AS297" s="24"/>
      <c r="AT297" s="24"/>
      <c r="AU297" s="24"/>
      <c r="AV297" s="24"/>
      <c r="AW297" s="24"/>
      <c r="AX297" s="24"/>
      <c r="AY297" s="24"/>
      <c r="AZ297" s="24"/>
    </row>
    <row r="298" spans="1:52" s="26" customFormat="1" ht="15" customHeight="1" outlineLevel="1" x14ac:dyDescent="0.45">
      <c r="A298" s="38"/>
      <c r="B298" s="39"/>
      <c r="C298" s="39"/>
      <c r="D298" s="40"/>
      <c r="E298" s="40"/>
      <c r="F298" s="16"/>
      <c r="G298" s="16"/>
      <c r="H298" s="16"/>
      <c r="I298" s="16"/>
      <c r="J298" s="40"/>
      <c r="K298" s="40"/>
      <c r="L298" s="16"/>
      <c r="M298" s="40"/>
      <c r="N298" s="41" t="s">
        <v>925</v>
      </c>
      <c r="O298" s="42"/>
      <c r="P298" s="43"/>
      <c r="Q298" s="44"/>
      <c r="R298" s="45"/>
      <c r="S298" s="46">
        <f t="shared" ref="S298:AZ298" si="108">SUBTOTAL(9,S297:S297)</f>
        <v>456</v>
      </c>
      <c r="T298" s="46">
        <f t="shared" si="108"/>
        <v>0</v>
      </c>
      <c r="U298" s="46">
        <f t="shared" si="108"/>
        <v>0</v>
      </c>
      <c r="V298" s="46">
        <f t="shared" si="108"/>
        <v>0</v>
      </c>
      <c r="W298" s="85">
        <f t="shared" si="108"/>
        <v>0</v>
      </c>
      <c r="X298" s="85">
        <f t="shared" si="108"/>
        <v>0</v>
      </c>
      <c r="Y298" s="85">
        <f t="shared" si="108"/>
        <v>0</v>
      </c>
      <c r="Z298" s="85">
        <f t="shared" si="108"/>
        <v>6</v>
      </c>
      <c r="AA298" s="85">
        <f t="shared" si="108"/>
        <v>12</v>
      </c>
      <c r="AB298" s="85">
        <f t="shared" si="108"/>
        <v>12</v>
      </c>
      <c r="AC298" s="85">
        <f t="shared" si="108"/>
        <v>24</v>
      </c>
      <c r="AD298" s="85">
        <f t="shared" si="108"/>
        <v>30</v>
      </c>
      <c r="AE298" s="85">
        <f t="shared" si="108"/>
        <v>42</v>
      </c>
      <c r="AF298" s="85">
        <f t="shared" si="108"/>
        <v>48</v>
      </c>
      <c r="AG298" s="85">
        <f t="shared" si="108"/>
        <v>54</v>
      </c>
      <c r="AH298" s="85">
        <f t="shared" si="108"/>
        <v>54</v>
      </c>
      <c r="AI298" s="85">
        <f t="shared" si="108"/>
        <v>48</v>
      </c>
      <c r="AJ298" s="85">
        <f t="shared" si="108"/>
        <v>30</v>
      </c>
      <c r="AK298" s="85">
        <f t="shared" si="108"/>
        <v>42</v>
      </c>
      <c r="AL298" s="86">
        <f t="shared" si="108"/>
        <v>6</v>
      </c>
      <c r="AM298" s="86">
        <f t="shared" si="108"/>
        <v>30</v>
      </c>
      <c r="AN298" s="86">
        <f t="shared" si="108"/>
        <v>0</v>
      </c>
      <c r="AO298" s="86">
        <f t="shared" si="108"/>
        <v>12</v>
      </c>
      <c r="AP298" s="86">
        <f t="shared" si="108"/>
        <v>0</v>
      </c>
      <c r="AQ298" s="86">
        <f t="shared" si="108"/>
        <v>6</v>
      </c>
      <c r="AR298" s="86">
        <f t="shared" si="108"/>
        <v>0</v>
      </c>
      <c r="AS298" s="86">
        <f t="shared" si="108"/>
        <v>0</v>
      </c>
      <c r="AT298" s="86">
        <f t="shared" si="108"/>
        <v>0</v>
      </c>
      <c r="AU298" s="86">
        <f t="shared" si="108"/>
        <v>0</v>
      </c>
      <c r="AV298" s="86">
        <f t="shared" si="108"/>
        <v>0</v>
      </c>
      <c r="AW298" s="86">
        <f t="shared" si="108"/>
        <v>0</v>
      </c>
      <c r="AX298" s="86">
        <f t="shared" si="108"/>
        <v>0</v>
      </c>
      <c r="AY298" s="86">
        <f t="shared" si="108"/>
        <v>0</v>
      </c>
      <c r="AZ298" s="86">
        <f t="shared" si="108"/>
        <v>0</v>
      </c>
    </row>
    <row r="299" spans="1:52" s="25" customFormat="1" ht="15" customHeight="1" outlineLevel="2" x14ac:dyDescent="0.45">
      <c r="A299" s="12">
        <v>4509555113</v>
      </c>
      <c r="B299" s="13">
        <v>40</v>
      </c>
      <c r="C299" s="13" t="s">
        <v>926</v>
      </c>
      <c r="D299" s="14"/>
      <c r="E299" s="14"/>
      <c r="F299" s="15" t="s">
        <v>366</v>
      </c>
      <c r="G299" s="15">
        <v>1014</v>
      </c>
      <c r="H299" s="15" t="s">
        <v>118</v>
      </c>
      <c r="I299" s="15" t="s">
        <v>152</v>
      </c>
      <c r="J299" s="14"/>
      <c r="K299" s="14">
        <v>45213</v>
      </c>
      <c r="L299" s="16" t="s">
        <v>927</v>
      </c>
      <c r="M299" s="14">
        <v>45105</v>
      </c>
      <c r="N299" s="17" t="str">
        <f>+LEFT(L299,5)</f>
        <v>T3M35</v>
      </c>
      <c r="O299" s="18" t="s">
        <v>462</v>
      </c>
      <c r="P299" s="19" t="s">
        <v>369</v>
      </c>
      <c r="Q299" s="20" t="s">
        <v>677</v>
      </c>
      <c r="R299" s="21" t="s">
        <v>225</v>
      </c>
      <c r="S299" s="22">
        <f t="shared" si="102"/>
        <v>288</v>
      </c>
      <c r="T299" s="22"/>
      <c r="U299" s="22"/>
      <c r="V299" s="22"/>
      <c r="W299" s="23"/>
      <c r="X299" s="23"/>
      <c r="Y299" s="23"/>
      <c r="Z299" s="23"/>
      <c r="AA299" s="23"/>
      <c r="AB299" s="23">
        <v>6</v>
      </c>
      <c r="AC299" s="23">
        <v>12</v>
      </c>
      <c r="AD299" s="23">
        <v>18</v>
      </c>
      <c r="AE299" s="23">
        <v>24</v>
      </c>
      <c r="AF299" s="23">
        <v>24</v>
      </c>
      <c r="AG299" s="23">
        <v>30</v>
      </c>
      <c r="AH299" s="23">
        <v>36</v>
      </c>
      <c r="AI299" s="23">
        <v>36</v>
      </c>
      <c r="AJ299" s="23">
        <v>24</v>
      </c>
      <c r="AK299" s="23">
        <v>36</v>
      </c>
      <c r="AL299" s="24"/>
      <c r="AM299" s="24">
        <v>24</v>
      </c>
      <c r="AN299" s="24"/>
      <c r="AO299" s="24">
        <v>18</v>
      </c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</row>
    <row r="300" spans="1:52" s="26" customFormat="1" ht="15" customHeight="1" outlineLevel="1" x14ac:dyDescent="0.45">
      <c r="A300" s="38"/>
      <c r="B300" s="39"/>
      <c r="C300" s="39"/>
      <c r="D300" s="40"/>
      <c r="E300" s="40"/>
      <c r="F300" s="16"/>
      <c r="G300" s="16"/>
      <c r="H300" s="16"/>
      <c r="I300" s="16"/>
      <c r="J300" s="40"/>
      <c r="K300" s="40"/>
      <c r="L300" s="16"/>
      <c r="M300" s="40"/>
      <c r="N300" s="41" t="s">
        <v>928</v>
      </c>
      <c r="O300" s="42"/>
      <c r="P300" s="43"/>
      <c r="Q300" s="44"/>
      <c r="R300" s="45"/>
      <c r="S300" s="46">
        <f t="shared" ref="S300:AZ300" si="109">SUBTOTAL(9,S299:S299)</f>
        <v>288</v>
      </c>
      <c r="T300" s="46">
        <f t="shared" si="109"/>
        <v>0</v>
      </c>
      <c r="U300" s="46">
        <f t="shared" si="109"/>
        <v>0</v>
      </c>
      <c r="V300" s="46">
        <f t="shared" si="109"/>
        <v>0</v>
      </c>
      <c r="W300" s="85">
        <f t="shared" si="109"/>
        <v>0</v>
      </c>
      <c r="X300" s="85">
        <f t="shared" si="109"/>
        <v>0</v>
      </c>
      <c r="Y300" s="85">
        <f t="shared" si="109"/>
        <v>0</v>
      </c>
      <c r="Z300" s="85">
        <f t="shared" si="109"/>
        <v>0</v>
      </c>
      <c r="AA300" s="85">
        <f t="shared" si="109"/>
        <v>0</v>
      </c>
      <c r="AB300" s="85">
        <f t="shared" si="109"/>
        <v>6</v>
      </c>
      <c r="AC300" s="85">
        <f t="shared" si="109"/>
        <v>12</v>
      </c>
      <c r="AD300" s="85">
        <f t="shared" si="109"/>
        <v>18</v>
      </c>
      <c r="AE300" s="85">
        <f t="shared" si="109"/>
        <v>24</v>
      </c>
      <c r="AF300" s="85">
        <f t="shared" si="109"/>
        <v>24</v>
      </c>
      <c r="AG300" s="85">
        <f t="shared" si="109"/>
        <v>30</v>
      </c>
      <c r="AH300" s="85">
        <f t="shared" si="109"/>
        <v>36</v>
      </c>
      <c r="AI300" s="85">
        <f t="shared" si="109"/>
        <v>36</v>
      </c>
      <c r="AJ300" s="85">
        <f t="shared" si="109"/>
        <v>24</v>
      </c>
      <c r="AK300" s="85">
        <f t="shared" si="109"/>
        <v>36</v>
      </c>
      <c r="AL300" s="86">
        <f t="shared" si="109"/>
        <v>0</v>
      </c>
      <c r="AM300" s="86">
        <f t="shared" si="109"/>
        <v>24</v>
      </c>
      <c r="AN300" s="86">
        <f t="shared" si="109"/>
        <v>0</v>
      </c>
      <c r="AO300" s="86">
        <f t="shared" si="109"/>
        <v>18</v>
      </c>
      <c r="AP300" s="86">
        <f t="shared" si="109"/>
        <v>0</v>
      </c>
      <c r="AQ300" s="86">
        <f t="shared" si="109"/>
        <v>0</v>
      </c>
      <c r="AR300" s="86">
        <f t="shared" si="109"/>
        <v>0</v>
      </c>
      <c r="AS300" s="86">
        <f t="shared" si="109"/>
        <v>0</v>
      </c>
      <c r="AT300" s="86">
        <f t="shared" si="109"/>
        <v>0</v>
      </c>
      <c r="AU300" s="86">
        <f t="shared" si="109"/>
        <v>0</v>
      </c>
      <c r="AV300" s="86">
        <f t="shared" si="109"/>
        <v>0</v>
      </c>
      <c r="AW300" s="86">
        <f t="shared" si="109"/>
        <v>0</v>
      </c>
      <c r="AX300" s="86">
        <f t="shared" si="109"/>
        <v>0</v>
      </c>
      <c r="AY300" s="86">
        <f t="shared" si="109"/>
        <v>0</v>
      </c>
      <c r="AZ300" s="86">
        <f t="shared" si="109"/>
        <v>0</v>
      </c>
    </row>
    <row r="301" spans="1:52" s="25" customFormat="1" ht="15" customHeight="1" outlineLevel="2" x14ac:dyDescent="0.45">
      <c r="A301" s="12">
        <v>4509560226</v>
      </c>
      <c r="B301" s="13">
        <v>10</v>
      </c>
      <c r="C301" s="13" t="s">
        <v>929</v>
      </c>
      <c r="D301" s="14"/>
      <c r="E301" s="14"/>
      <c r="F301" s="15" t="s">
        <v>366</v>
      </c>
      <c r="G301" s="15">
        <v>265358</v>
      </c>
      <c r="H301" s="15" t="s">
        <v>674</v>
      </c>
      <c r="I301" s="15" t="s">
        <v>152</v>
      </c>
      <c r="J301" s="14"/>
      <c r="K301" s="14">
        <v>45213</v>
      </c>
      <c r="L301" s="16" t="s">
        <v>930</v>
      </c>
      <c r="M301" s="14">
        <v>45105</v>
      </c>
      <c r="N301" s="17" t="str">
        <f t="shared" ref="N301:N307" si="110">+LEFT(L301,5)</f>
        <v>T3M36</v>
      </c>
      <c r="O301" s="18" t="s">
        <v>475</v>
      </c>
      <c r="P301" s="19" t="s">
        <v>393</v>
      </c>
      <c r="Q301" s="20" t="s">
        <v>677</v>
      </c>
      <c r="R301" s="21" t="s">
        <v>6</v>
      </c>
      <c r="S301" s="22">
        <f t="shared" si="102"/>
        <v>1764</v>
      </c>
      <c r="T301" s="22"/>
      <c r="U301" s="22"/>
      <c r="V301" s="22"/>
      <c r="W301" s="23"/>
      <c r="X301" s="23"/>
      <c r="Y301" s="23"/>
      <c r="Z301" s="23">
        <v>196</v>
      </c>
      <c r="AA301" s="23">
        <v>196</v>
      </c>
      <c r="AB301" s="23">
        <v>196</v>
      </c>
      <c r="AC301" s="23">
        <v>392</v>
      </c>
      <c r="AD301" s="23">
        <v>392</v>
      </c>
      <c r="AE301" s="23">
        <v>196</v>
      </c>
      <c r="AF301" s="23">
        <v>196</v>
      </c>
      <c r="AG301" s="23"/>
      <c r="AH301" s="23"/>
      <c r="AI301" s="23"/>
      <c r="AJ301" s="23"/>
      <c r="AK301" s="23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</row>
    <row r="302" spans="1:52" s="25" customFormat="1" ht="15" customHeight="1" outlineLevel="2" x14ac:dyDescent="0.45">
      <c r="A302" s="12">
        <v>4509560224</v>
      </c>
      <c r="B302" s="13">
        <v>10</v>
      </c>
      <c r="C302" s="13" t="s">
        <v>931</v>
      </c>
      <c r="D302" s="14"/>
      <c r="E302" s="14"/>
      <c r="F302" s="15" t="s">
        <v>366</v>
      </c>
      <c r="G302" s="15">
        <v>149438</v>
      </c>
      <c r="H302" s="15" t="s">
        <v>932</v>
      </c>
      <c r="I302" s="15" t="s">
        <v>152</v>
      </c>
      <c r="J302" s="14"/>
      <c r="K302" s="14">
        <v>45213</v>
      </c>
      <c r="L302" s="16" t="s">
        <v>933</v>
      </c>
      <c r="M302" s="14">
        <v>45105</v>
      </c>
      <c r="N302" s="17" t="str">
        <f t="shared" si="110"/>
        <v>T3M36</v>
      </c>
      <c r="O302" s="18" t="s">
        <v>475</v>
      </c>
      <c r="P302" s="19" t="s">
        <v>393</v>
      </c>
      <c r="Q302" s="20" t="s">
        <v>677</v>
      </c>
      <c r="R302" s="21" t="s">
        <v>6</v>
      </c>
      <c r="S302" s="22">
        <f t="shared" si="102"/>
        <v>660</v>
      </c>
      <c r="T302" s="22"/>
      <c r="U302" s="22"/>
      <c r="V302" s="22"/>
      <c r="W302" s="23"/>
      <c r="X302" s="23"/>
      <c r="Y302" s="23">
        <v>22</v>
      </c>
      <c r="Z302" s="23">
        <v>60</v>
      </c>
      <c r="AA302" s="23">
        <v>108</v>
      </c>
      <c r="AB302" s="23">
        <v>60</v>
      </c>
      <c r="AC302" s="23">
        <v>120</v>
      </c>
      <c r="AD302" s="23">
        <v>120</v>
      </c>
      <c r="AE302" s="23">
        <v>76</v>
      </c>
      <c r="AF302" s="23">
        <v>76</v>
      </c>
      <c r="AG302" s="23">
        <v>18</v>
      </c>
      <c r="AH302" s="23"/>
      <c r="AI302" s="23"/>
      <c r="AJ302" s="23"/>
      <c r="AK302" s="23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</row>
    <row r="303" spans="1:52" s="25" customFormat="1" ht="15" customHeight="1" outlineLevel="2" x14ac:dyDescent="0.45">
      <c r="A303" s="12">
        <v>4509560225</v>
      </c>
      <c r="B303" s="13">
        <v>10</v>
      </c>
      <c r="C303" s="13" t="s">
        <v>934</v>
      </c>
      <c r="D303" s="14"/>
      <c r="E303" s="14"/>
      <c r="F303" s="15" t="s">
        <v>366</v>
      </c>
      <c r="G303" s="15">
        <v>181091</v>
      </c>
      <c r="H303" s="15" t="s">
        <v>935</v>
      </c>
      <c r="I303" s="15" t="s">
        <v>152</v>
      </c>
      <c r="J303" s="14"/>
      <c r="K303" s="14">
        <v>45213</v>
      </c>
      <c r="L303" s="16" t="s">
        <v>936</v>
      </c>
      <c r="M303" s="14">
        <v>45105</v>
      </c>
      <c r="N303" s="17" t="str">
        <f t="shared" si="110"/>
        <v>T3M36</v>
      </c>
      <c r="O303" s="18" t="s">
        <v>475</v>
      </c>
      <c r="P303" s="19" t="s">
        <v>393</v>
      </c>
      <c r="Q303" s="20" t="s">
        <v>677</v>
      </c>
      <c r="R303" s="21" t="s">
        <v>6</v>
      </c>
      <c r="S303" s="22">
        <f t="shared" si="102"/>
        <v>300</v>
      </c>
      <c r="T303" s="22"/>
      <c r="U303" s="22"/>
      <c r="V303" s="22"/>
      <c r="W303" s="23"/>
      <c r="X303" s="23"/>
      <c r="Y303" s="23"/>
      <c r="Z303" s="23">
        <v>30</v>
      </c>
      <c r="AA303" s="23">
        <v>36</v>
      </c>
      <c r="AB303" s="23">
        <v>48</v>
      </c>
      <c r="AC303" s="23">
        <v>66</v>
      </c>
      <c r="AD303" s="23">
        <v>48</v>
      </c>
      <c r="AE303" s="23">
        <v>30</v>
      </c>
      <c r="AF303" s="23">
        <v>24</v>
      </c>
      <c r="AG303" s="23">
        <v>18</v>
      </c>
      <c r="AH303" s="23"/>
      <c r="AI303" s="23"/>
      <c r="AJ303" s="23"/>
      <c r="AK303" s="23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spans="1:52" s="25" customFormat="1" ht="15" customHeight="1" outlineLevel="2" x14ac:dyDescent="0.45">
      <c r="A304" s="12">
        <v>4509560229</v>
      </c>
      <c r="B304" s="13">
        <v>10</v>
      </c>
      <c r="C304" s="13" t="s">
        <v>937</v>
      </c>
      <c r="D304" s="14"/>
      <c r="E304" s="14"/>
      <c r="F304" s="15" t="s">
        <v>366</v>
      </c>
      <c r="G304" s="15">
        <v>495269</v>
      </c>
      <c r="H304" s="15" t="s">
        <v>674</v>
      </c>
      <c r="I304" s="15" t="s">
        <v>152</v>
      </c>
      <c r="J304" s="14"/>
      <c r="K304" s="14">
        <v>45213</v>
      </c>
      <c r="L304" s="16" t="s">
        <v>938</v>
      </c>
      <c r="M304" s="14">
        <v>45105</v>
      </c>
      <c r="N304" s="17" t="str">
        <f t="shared" si="110"/>
        <v>T3M36</v>
      </c>
      <c r="O304" s="18" t="s">
        <v>475</v>
      </c>
      <c r="P304" s="19" t="s">
        <v>393</v>
      </c>
      <c r="Q304" s="20" t="s">
        <v>677</v>
      </c>
      <c r="R304" s="21" t="s">
        <v>6</v>
      </c>
      <c r="S304" s="22">
        <f t="shared" si="102"/>
        <v>258</v>
      </c>
      <c r="T304" s="22"/>
      <c r="U304" s="22"/>
      <c r="V304" s="22"/>
      <c r="W304" s="23"/>
      <c r="X304" s="23">
        <v>12</v>
      </c>
      <c r="Y304" s="23">
        <v>12</v>
      </c>
      <c r="Z304" s="23">
        <v>24</v>
      </c>
      <c r="AA304" s="23">
        <v>30</v>
      </c>
      <c r="AB304" s="23">
        <v>30</v>
      </c>
      <c r="AC304" s="23">
        <v>48</v>
      </c>
      <c r="AD304" s="23">
        <v>36</v>
      </c>
      <c r="AE304" s="23">
        <v>18</v>
      </c>
      <c r="AF304" s="23">
        <v>24</v>
      </c>
      <c r="AG304" s="23">
        <v>12</v>
      </c>
      <c r="AH304" s="23">
        <v>6</v>
      </c>
      <c r="AI304" s="23">
        <v>6</v>
      </c>
      <c r="AJ304" s="23"/>
      <c r="AK304" s="23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spans="1:52" s="25" customFormat="1" ht="15" customHeight="1" outlineLevel="2" x14ac:dyDescent="0.45">
      <c r="A305" s="12">
        <v>4509560230</v>
      </c>
      <c r="B305" s="13">
        <v>10</v>
      </c>
      <c r="C305" s="13" t="s">
        <v>939</v>
      </c>
      <c r="D305" s="14"/>
      <c r="E305" s="14"/>
      <c r="F305" s="15" t="s">
        <v>366</v>
      </c>
      <c r="G305" s="15">
        <v>511340</v>
      </c>
      <c r="H305" s="15" t="s">
        <v>940</v>
      </c>
      <c r="I305" s="15" t="s">
        <v>152</v>
      </c>
      <c r="J305" s="14"/>
      <c r="K305" s="14">
        <v>45213</v>
      </c>
      <c r="L305" s="16" t="s">
        <v>941</v>
      </c>
      <c r="M305" s="14">
        <v>45105</v>
      </c>
      <c r="N305" s="17" t="str">
        <f t="shared" si="110"/>
        <v>T3M36</v>
      </c>
      <c r="O305" s="18" t="s">
        <v>475</v>
      </c>
      <c r="P305" s="19" t="s">
        <v>393</v>
      </c>
      <c r="Q305" s="20" t="s">
        <v>677</v>
      </c>
      <c r="R305" s="21" t="s">
        <v>6</v>
      </c>
      <c r="S305" s="22">
        <f t="shared" si="102"/>
        <v>300</v>
      </c>
      <c r="T305" s="22"/>
      <c r="U305" s="22"/>
      <c r="V305" s="22"/>
      <c r="W305" s="23"/>
      <c r="X305" s="23"/>
      <c r="Y305" s="23">
        <v>10</v>
      </c>
      <c r="Z305" s="23">
        <v>30</v>
      </c>
      <c r="AA305" s="23">
        <v>10</v>
      </c>
      <c r="AB305" s="23">
        <v>70</v>
      </c>
      <c r="AC305" s="23">
        <v>20</v>
      </c>
      <c r="AD305" s="23">
        <v>80</v>
      </c>
      <c r="AE305" s="23">
        <v>20</v>
      </c>
      <c r="AF305" s="23">
        <v>40</v>
      </c>
      <c r="AG305" s="23">
        <v>10</v>
      </c>
      <c r="AH305" s="23">
        <v>10</v>
      </c>
      <c r="AI305" s="23"/>
      <c r="AJ305" s="23"/>
      <c r="AK305" s="23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spans="1:52" s="25" customFormat="1" ht="15" customHeight="1" outlineLevel="2" x14ac:dyDescent="0.45">
      <c r="A306" s="12">
        <v>4509560231</v>
      </c>
      <c r="B306" s="13">
        <v>10</v>
      </c>
      <c r="C306" s="13" t="s">
        <v>942</v>
      </c>
      <c r="D306" s="14"/>
      <c r="E306" s="14"/>
      <c r="F306" s="15" t="s">
        <v>366</v>
      </c>
      <c r="G306" s="15">
        <v>517963</v>
      </c>
      <c r="H306" s="15" t="s">
        <v>409</v>
      </c>
      <c r="I306" s="15" t="s">
        <v>152</v>
      </c>
      <c r="J306" s="14"/>
      <c r="K306" s="14">
        <v>45213</v>
      </c>
      <c r="L306" s="16" t="s">
        <v>943</v>
      </c>
      <c r="M306" s="14">
        <v>45105</v>
      </c>
      <c r="N306" s="17" t="str">
        <f t="shared" si="110"/>
        <v>T3M36</v>
      </c>
      <c r="O306" s="18" t="s">
        <v>475</v>
      </c>
      <c r="P306" s="19" t="s">
        <v>393</v>
      </c>
      <c r="Q306" s="20" t="s">
        <v>677</v>
      </c>
      <c r="R306" s="21" t="s">
        <v>6</v>
      </c>
      <c r="S306" s="22">
        <f t="shared" si="102"/>
        <v>258</v>
      </c>
      <c r="T306" s="22"/>
      <c r="U306" s="22"/>
      <c r="V306" s="22"/>
      <c r="W306" s="23">
        <v>6</v>
      </c>
      <c r="X306" s="23">
        <v>6</v>
      </c>
      <c r="Y306" s="23">
        <v>12</v>
      </c>
      <c r="Z306" s="23">
        <v>24</v>
      </c>
      <c r="AA306" s="23">
        <v>30</v>
      </c>
      <c r="AB306" s="23">
        <v>24</v>
      </c>
      <c r="AC306" s="23">
        <v>48</v>
      </c>
      <c r="AD306" s="23">
        <v>30</v>
      </c>
      <c r="AE306" s="23">
        <v>18</v>
      </c>
      <c r="AF306" s="23">
        <v>24</v>
      </c>
      <c r="AG306" s="23">
        <v>12</v>
      </c>
      <c r="AH306" s="23">
        <v>6</v>
      </c>
      <c r="AI306" s="23">
        <v>6</v>
      </c>
      <c r="AJ306" s="23">
        <v>6</v>
      </c>
      <c r="AK306" s="23">
        <v>6</v>
      </c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spans="1:52" s="25" customFormat="1" ht="15" customHeight="1" outlineLevel="2" x14ac:dyDescent="0.45">
      <c r="A307" s="12">
        <v>4509560718</v>
      </c>
      <c r="B307" s="13">
        <v>10</v>
      </c>
      <c r="C307" s="13" t="s">
        <v>944</v>
      </c>
      <c r="D307" s="14"/>
      <c r="E307" s="14"/>
      <c r="F307" s="15" t="s">
        <v>366</v>
      </c>
      <c r="G307" s="15">
        <v>517646</v>
      </c>
      <c r="H307" s="15" t="s">
        <v>945</v>
      </c>
      <c r="I307" s="15" t="s">
        <v>152</v>
      </c>
      <c r="J307" s="14"/>
      <c r="K307" s="14">
        <v>45213</v>
      </c>
      <c r="L307" s="16" t="s">
        <v>946</v>
      </c>
      <c r="M307" s="14">
        <v>45105</v>
      </c>
      <c r="N307" s="17" t="str">
        <f t="shared" si="110"/>
        <v>T3M36</v>
      </c>
      <c r="O307" s="18" t="s">
        <v>475</v>
      </c>
      <c r="P307" s="19" t="s">
        <v>393</v>
      </c>
      <c r="Q307" s="20" t="s">
        <v>677</v>
      </c>
      <c r="R307" s="21" t="s">
        <v>6</v>
      </c>
      <c r="S307" s="22">
        <f t="shared" si="102"/>
        <v>1788</v>
      </c>
      <c r="T307" s="22"/>
      <c r="U307" s="22"/>
      <c r="V307" s="22"/>
      <c r="W307" s="23"/>
      <c r="X307" s="23"/>
      <c r="Y307" s="23">
        <v>120</v>
      </c>
      <c r="Z307" s="23">
        <v>192</v>
      </c>
      <c r="AA307" s="23">
        <v>276</v>
      </c>
      <c r="AB307" s="23">
        <v>276</v>
      </c>
      <c r="AC307" s="23">
        <v>276</v>
      </c>
      <c r="AD307" s="23">
        <v>192</v>
      </c>
      <c r="AE307" s="23">
        <v>192</v>
      </c>
      <c r="AF307" s="23">
        <v>138</v>
      </c>
      <c r="AG307" s="23">
        <v>84</v>
      </c>
      <c r="AH307" s="23">
        <v>42</v>
      </c>
      <c r="AI307" s="23"/>
      <c r="AJ307" s="23"/>
      <c r="AK307" s="23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spans="1:52" s="26" customFormat="1" ht="15" customHeight="1" outlineLevel="1" x14ac:dyDescent="0.45">
      <c r="A308" s="38"/>
      <c r="B308" s="39"/>
      <c r="C308" s="39"/>
      <c r="D308" s="40"/>
      <c r="E308" s="40"/>
      <c r="F308" s="16"/>
      <c r="G308" s="16"/>
      <c r="H308" s="16"/>
      <c r="I308" s="16"/>
      <c r="J308" s="40"/>
      <c r="K308" s="40"/>
      <c r="L308" s="16"/>
      <c r="M308" s="40"/>
      <c r="N308" s="41" t="s">
        <v>947</v>
      </c>
      <c r="O308" s="42"/>
      <c r="P308" s="43"/>
      <c r="Q308" s="44"/>
      <c r="R308" s="45"/>
      <c r="S308" s="46">
        <f t="shared" ref="S308:AZ308" si="111">SUBTOTAL(9,S301:S307)</f>
        <v>5328</v>
      </c>
      <c r="T308" s="46">
        <f t="shared" si="111"/>
        <v>0</v>
      </c>
      <c r="U308" s="46">
        <f t="shared" si="111"/>
        <v>0</v>
      </c>
      <c r="V308" s="46">
        <f t="shared" si="111"/>
        <v>0</v>
      </c>
      <c r="W308" s="85">
        <f t="shared" si="111"/>
        <v>6</v>
      </c>
      <c r="X308" s="85">
        <f t="shared" si="111"/>
        <v>18</v>
      </c>
      <c r="Y308" s="85">
        <f t="shared" si="111"/>
        <v>176</v>
      </c>
      <c r="Z308" s="85">
        <f t="shared" si="111"/>
        <v>556</v>
      </c>
      <c r="AA308" s="85">
        <f t="shared" si="111"/>
        <v>686</v>
      </c>
      <c r="AB308" s="85">
        <f t="shared" si="111"/>
        <v>704</v>
      </c>
      <c r="AC308" s="85">
        <f t="shared" si="111"/>
        <v>970</v>
      </c>
      <c r="AD308" s="85">
        <f t="shared" si="111"/>
        <v>898</v>
      </c>
      <c r="AE308" s="85">
        <f t="shared" si="111"/>
        <v>550</v>
      </c>
      <c r="AF308" s="85">
        <f t="shared" si="111"/>
        <v>522</v>
      </c>
      <c r="AG308" s="85">
        <f t="shared" si="111"/>
        <v>154</v>
      </c>
      <c r="AH308" s="85">
        <f t="shared" si="111"/>
        <v>64</v>
      </c>
      <c r="AI308" s="85">
        <f t="shared" si="111"/>
        <v>12</v>
      </c>
      <c r="AJ308" s="85">
        <f t="shared" si="111"/>
        <v>6</v>
      </c>
      <c r="AK308" s="85">
        <f t="shared" si="111"/>
        <v>6</v>
      </c>
      <c r="AL308" s="86">
        <f t="shared" si="111"/>
        <v>0</v>
      </c>
      <c r="AM308" s="86">
        <f t="shared" si="111"/>
        <v>0</v>
      </c>
      <c r="AN308" s="86">
        <f t="shared" si="111"/>
        <v>0</v>
      </c>
      <c r="AO308" s="86">
        <f t="shared" si="111"/>
        <v>0</v>
      </c>
      <c r="AP308" s="86">
        <f t="shared" si="111"/>
        <v>0</v>
      </c>
      <c r="AQ308" s="86">
        <f t="shared" si="111"/>
        <v>0</v>
      </c>
      <c r="AR308" s="86">
        <f t="shared" si="111"/>
        <v>0</v>
      </c>
      <c r="AS308" s="86">
        <f t="shared" si="111"/>
        <v>0</v>
      </c>
      <c r="AT308" s="86">
        <f t="shared" si="111"/>
        <v>0</v>
      </c>
      <c r="AU308" s="86">
        <f t="shared" si="111"/>
        <v>0</v>
      </c>
      <c r="AV308" s="86">
        <f t="shared" si="111"/>
        <v>0</v>
      </c>
      <c r="AW308" s="86">
        <f t="shared" si="111"/>
        <v>0</v>
      </c>
      <c r="AX308" s="86">
        <f t="shared" si="111"/>
        <v>0</v>
      </c>
      <c r="AY308" s="86">
        <f t="shared" si="111"/>
        <v>0</v>
      </c>
      <c r="AZ308" s="86">
        <f t="shared" si="111"/>
        <v>0</v>
      </c>
    </row>
    <row r="309" spans="1:52" s="25" customFormat="1" ht="15" customHeight="1" outlineLevel="2" x14ac:dyDescent="0.45">
      <c r="A309" s="12">
        <v>4509558135</v>
      </c>
      <c r="B309" s="13">
        <v>10</v>
      </c>
      <c r="C309" s="13" t="s">
        <v>948</v>
      </c>
      <c r="D309" s="14"/>
      <c r="E309" s="14"/>
      <c r="F309" s="15" t="s">
        <v>366</v>
      </c>
      <c r="G309" s="15">
        <v>525593</v>
      </c>
      <c r="H309" s="15" t="s">
        <v>118</v>
      </c>
      <c r="I309" s="15" t="s">
        <v>152</v>
      </c>
      <c r="J309" s="14"/>
      <c r="K309" s="14">
        <v>45213</v>
      </c>
      <c r="L309" s="16" t="s">
        <v>949</v>
      </c>
      <c r="M309" s="14">
        <v>45105</v>
      </c>
      <c r="N309" s="17" t="str">
        <f t="shared" ref="N309:N315" si="112">+LEFT(L309,5)</f>
        <v>T3M37</v>
      </c>
      <c r="O309" s="18" t="s">
        <v>485</v>
      </c>
      <c r="P309" s="19" t="s">
        <v>393</v>
      </c>
      <c r="Q309" s="20" t="s">
        <v>677</v>
      </c>
      <c r="R309" s="21" t="s">
        <v>6</v>
      </c>
      <c r="S309" s="22">
        <f t="shared" si="102"/>
        <v>450</v>
      </c>
      <c r="T309" s="22"/>
      <c r="U309" s="22"/>
      <c r="V309" s="22"/>
      <c r="W309" s="23"/>
      <c r="X309" s="23"/>
      <c r="Y309" s="23">
        <v>75</v>
      </c>
      <c r="Z309" s="23">
        <v>75</v>
      </c>
      <c r="AA309" s="23">
        <v>75</v>
      </c>
      <c r="AB309" s="23">
        <v>75</v>
      </c>
      <c r="AC309" s="23">
        <v>75</v>
      </c>
      <c r="AD309" s="23">
        <v>75</v>
      </c>
      <c r="AE309" s="23"/>
      <c r="AF309" s="23"/>
      <c r="AG309" s="23"/>
      <c r="AH309" s="23"/>
      <c r="AI309" s="23"/>
      <c r="AJ309" s="23"/>
      <c r="AK309" s="23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spans="1:52" s="25" customFormat="1" ht="15" customHeight="1" outlineLevel="2" x14ac:dyDescent="0.45">
      <c r="A310" s="12">
        <v>4509555115</v>
      </c>
      <c r="B310" s="13">
        <v>20</v>
      </c>
      <c r="C310" s="13" t="s">
        <v>950</v>
      </c>
      <c r="D310" s="14"/>
      <c r="E310" s="14"/>
      <c r="F310" s="15" t="s">
        <v>366</v>
      </c>
      <c r="G310" s="15">
        <v>1014</v>
      </c>
      <c r="H310" s="15" t="s">
        <v>118</v>
      </c>
      <c r="I310" s="15" t="s">
        <v>152</v>
      </c>
      <c r="J310" s="14"/>
      <c r="K310" s="14">
        <v>45213</v>
      </c>
      <c r="L310" s="16" t="s">
        <v>951</v>
      </c>
      <c r="M310" s="14">
        <v>45105</v>
      </c>
      <c r="N310" s="17" t="str">
        <f t="shared" si="112"/>
        <v>T3M37</v>
      </c>
      <c r="O310" s="18" t="s">
        <v>485</v>
      </c>
      <c r="P310" s="19" t="s">
        <v>393</v>
      </c>
      <c r="Q310" s="20" t="s">
        <v>677</v>
      </c>
      <c r="R310" s="21" t="s">
        <v>6</v>
      </c>
      <c r="S310" s="22">
        <f t="shared" si="102"/>
        <v>30</v>
      </c>
      <c r="T310" s="22"/>
      <c r="U310" s="22"/>
      <c r="V310" s="22"/>
      <c r="W310" s="23"/>
      <c r="X310" s="23"/>
      <c r="Y310" s="23"/>
      <c r="Z310" s="23"/>
      <c r="AA310" s="23">
        <v>6</v>
      </c>
      <c r="AB310" s="23">
        <v>6</v>
      </c>
      <c r="AC310" s="23">
        <v>6</v>
      </c>
      <c r="AD310" s="23">
        <v>6</v>
      </c>
      <c r="AE310" s="23">
        <v>6</v>
      </c>
      <c r="AF310" s="23"/>
      <c r="AG310" s="23"/>
      <c r="AH310" s="23"/>
      <c r="AI310" s="23"/>
      <c r="AJ310" s="23"/>
      <c r="AK310" s="23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spans="1:52" s="25" customFormat="1" ht="15" customHeight="1" outlineLevel="2" x14ac:dyDescent="0.45">
      <c r="A311" s="12">
        <v>4509558135</v>
      </c>
      <c r="B311" s="13">
        <v>20</v>
      </c>
      <c r="C311" s="13" t="s">
        <v>952</v>
      </c>
      <c r="D311" s="14"/>
      <c r="E311" s="14"/>
      <c r="F311" s="15" t="s">
        <v>366</v>
      </c>
      <c r="G311" s="15">
        <v>525593</v>
      </c>
      <c r="H311" s="15" t="s">
        <v>118</v>
      </c>
      <c r="I311" s="15" t="s">
        <v>152</v>
      </c>
      <c r="J311" s="14"/>
      <c r="K311" s="14">
        <v>45213</v>
      </c>
      <c r="L311" s="16" t="s">
        <v>953</v>
      </c>
      <c r="M311" s="14">
        <v>45105</v>
      </c>
      <c r="N311" s="17" t="str">
        <f t="shared" si="112"/>
        <v>T3M37</v>
      </c>
      <c r="O311" s="18" t="s">
        <v>485</v>
      </c>
      <c r="P311" s="19" t="s">
        <v>393</v>
      </c>
      <c r="Q311" s="20" t="s">
        <v>677</v>
      </c>
      <c r="R311" s="21" t="s">
        <v>6</v>
      </c>
      <c r="S311" s="22">
        <f t="shared" si="102"/>
        <v>450</v>
      </c>
      <c r="T311" s="22"/>
      <c r="U311" s="22"/>
      <c r="V311" s="22"/>
      <c r="W311" s="23"/>
      <c r="X311" s="23"/>
      <c r="Y311" s="23"/>
      <c r="Z311" s="23"/>
      <c r="AA311" s="23"/>
      <c r="AB311" s="23"/>
      <c r="AC311" s="23">
        <v>75</v>
      </c>
      <c r="AD311" s="23">
        <v>75</v>
      </c>
      <c r="AE311" s="23">
        <v>75</v>
      </c>
      <c r="AF311" s="23">
        <v>75</v>
      </c>
      <c r="AG311" s="23">
        <v>75</v>
      </c>
      <c r="AH311" s="23"/>
      <c r="AI311" s="23">
        <v>75</v>
      </c>
      <c r="AJ311" s="23"/>
      <c r="AK311" s="23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spans="1:52" s="25" customFormat="1" ht="15" customHeight="1" outlineLevel="2" x14ac:dyDescent="0.45">
      <c r="A312" s="12">
        <v>4509558134</v>
      </c>
      <c r="B312" s="13">
        <v>10</v>
      </c>
      <c r="C312" s="13" t="s">
        <v>954</v>
      </c>
      <c r="D312" s="14"/>
      <c r="E312" s="14"/>
      <c r="F312" s="15" t="s">
        <v>366</v>
      </c>
      <c r="G312" s="15">
        <v>428674</v>
      </c>
      <c r="H312" s="15" t="s">
        <v>118</v>
      </c>
      <c r="I312" s="15" t="s">
        <v>152</v>
      </c>
      <c r="J312" s="14"/>
      <c r="K312" s="14">
        <v>45213</v>
      </c>
      <c r="L312" s="16" t="s">
        <v>955</v>
      </c>
      <c r="M312" s="14">
        <v>45105</v>
      </c>
      <c r="N312" s="17" t="str">
        <f t="shared" si="112"/>
        <v>T3M37</v>
      </c>
      <c r="O312" s="18" t="s">
        <v>485</v>
      </c>
      <c r="P312" s="19" t="s">
        <v>393</v>
      </c>
      <c r="Q312" s="20" t="s">
        <v>677</v>
      </c>
      <c r="R312" s="21" t="s">
        <v>6</v>
      </c>
      <c r="S312" s="22">
        <f t="shared" si="102"/>
        <v>432</v>
      </c>
      <c r="T312" s="22"/>
      <c r="U312" s="22"/>
      <c r="V312" s="22"/>
      <c r="W312" s="23"/>
      <c r="X312" s="23"/>
      <c r="Y312" s="23"/>
      <c r="Z312" s="23"/>
      <c r="AA312" s="23">
        <v>42</v>
      </c>
      <c r="AB312" s="23">
        <v>54</v>
      </c>
      <c r="AC312" s="23">
        <v>72</v>
      </c>
      <c r="AD312" s="23">
        <v>84</v>
      </c>
      <c r="AE312" s="23">
        <v>84</v>
      </c>
      <c r="AF312" s="23">
        <v>54</v>
      </c>
      <c r="AG312" s="23">
        <v>42</v>
      </c>
      <c r="AH312" s="23"/>
      <c r="AI312" s="23"/>
      <c r="AJ312" s="23"/>
      <c r="AK312" s="23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spans="1:52" s="25" customFormat="1" ht="15" customHeight="1" outlineLevel="2" x14ac:dyDescent="0.45">
      <c r="A313" s="12">
        <v>4509558135</v>
      </c>
      <c r="B313" s="13">
        <v>30</v>
      </c>
      <c r="C313" s="13" t="s">
        <v>956</v>
      </c>
      <c r="D313" s="14"/>
      <c r="E313" s="14"/>
      <c r="F313" s="15" t="s">
        <v>366</v>
      </c>
      <c r="G313" s="15">
        <v>525593</v>
      </c>
      <c r="H313" s="15" t="s">
        <v>118</v>
      </c>
      <c r="I313" s="15" t="s">
        <v>152</v>
      </c>
      <c r="J313" s="14"/>
      <c r="K313" s="14">
        <v>45213</v>
      </c>
      <c r="L313" s="16" t="s">
        <v>957</v>
      </c>
      <c r="M313" s="14">
        <v>45105</v>
      </c>
      <c r="N313" s="17" t="str">
        <f t="shared" si="112"/>
        <v>T3M37</v>
      </c>
      <c r="O313" s="18" t="s">
        <v>485</v>
      </c>
      <c r="P313" s="19" t="s">
        <v>393</v>
      </c>
      <c r="Q313" s="20" t="s">
        <v>677</v>
      </c>
      <c r="R313" s="21" t="s">
        <v>6</v>
      </c>
      <c r="S313" s="22">
        <f t="shared" si="102"/>
        <v>300</v>
      </c>
      <c r="T313" s="22"/>
      <c r="U313" s="22"/>
      <c r="V313" s="22"/>
      <c r="W313" s="23"/>
      <c r="X313" s="23"/>
      <c r="Y313" s="23"/>
      <c r="Z313" s="23">
        <v>12</v>
      </c>
      <c r="AA313" s="23">
        <v>66</v>
      </c>
      <c r="AB313" s="23">
        <v>78</v>
      </c>
      <c r="AC313" s="23">
        <v>48</v>
      </c>
      <c r="AD313" s="23">
        <v>24</v>
      </c>
      <c r="AE313" s="23">
        <v>60</v>
      </c>
      <c r="AF313" s="23">
        <v>12</v>
      </c>
      <c r="AG313" s="23"/>
      <c r="AH313" s="23"/>
      <c r="AI313" s="23"/>
      <c r="AJ313" s="23"/>
      <c r="AK313" s="23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spans="1:52" s="25" customFormat="1" ht="15" customHeight="1" outlineLevel="2" x14ac:dyDescent="0.45">
      <c r="A314" s="12">
        <v>4509562240</v>
      </c>
      <c r="B314" s="13">
        <v>10</v>
      </c>
      <c r="C314" s="13" t="s">
        <v>958</v>
      </c>
      <c r="D314" s="14"/>
      <c r="E314" s="14"/>
      <c r="F314" s="15" t="s">
        <v>366</v>
      </c>
      <c r="G314" s="15">
        <v>271402</v>
      </c>
      <c r="H314" s="15" t="s">
        <v>895</v>
      </c>
      <c r="I314" s="15" t="s">
        <v>152</v>
      </c>
      <c r="J314" s="14"/>
      <c r="K314" s="14">
        <v>45213</v>
      </c>
      <c r="L314" s="16" t="s">
        <v>959</v>
      </c>
      <c r="M314" s="14">
        <v>45105</v>
      </c>
      <c r="N314" s="17" t="str">
        <f t="shared" si="112"/>
        <v>T3M37</v>
      </c>
      <c r="O314" s="18" t="s">
        <v>485</v>
      </c>
      <c r="P314" s="19" t="s">
        <v>393</v>
      </c>
      <c r="Q314" s="20" t="s">
        <v>677</v>
      </c>
      <c r="R314" s="21" t="s">
        <v>6</v>
      </c>
      <c r="S314" s="22">
        <f t="shared" si="102"/>
        <v>120</v>
      </c>
      <c r="T314" s="22"/>
      <c r="U314" s="22"/>
      <c r="V314" s="22"/>
      <c r="W314" s="23"/>
      <c r="X314" s="23"/>
      <c r="Y314" s="23">
        <v>12</v>
      </c>
      <c r="Z314" s="23">
        <v>12</v>
      </c>
      <c r="AA314" s="23">
        <v>12</v>
      </c>
      <c r="AB314" s="23">
        <v>18</v>
      </c>
      <c r="AC314" s="23">
        <v>6</v>
      </c>
      <c r="AD314" s="23">
        <v>18</v>
      </c>
      <c r="AE314" s="23">
        <v>12</v>
      </c>
      <c r="AF314" s="23">
        <v>18</v>
      </c>
      <c r="AG314" s="23">
        <v>12</v>
      </c>
      <c r="AH314" s="23"/>
      <c r="AI314" s="23"/>
      <c r="AJ314" s="23"/>
      <c r="AK314" s="23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spans="1:52" s="25" customFormat="1" ht="15" customHeight="1" outlineLevel="2" x14ac:dyDescent="0.45">
      <c r="A315" s="12">
        <v>4509554212</v>
      </c>
      <c r="B315" s="13">
        <v>10</v>
      </c>
      <c r="C315" s="13" t="s">
        <v>960</v>
      </c>
      <c r="D315" s="14"/>
      <c r="E315" s="14"/>
      <c r="F315" s="15" t="s">
        <v>366</v>
      </c>
      <c r="G315" s="15">
        <v>1098</v>
      </c>
      <c r="H315" s="15" t="s">
        <v>381</v>
      </c>
      <c r="I315" s="15" t="s">
        <v>152</v>
      </c>
      <c r="J315" s="14"/>
      <c r="K315" s="14">
        <v>45213</v>
      </c>
      <c r="L315" s="16" t="s">
        <v>961</v>
      </c>
      <c r="M315" s="14">
        <v>45105</v>
      </c>
      <c r="N315" s="17" t="str">
        <f t="shared" si="112"/>
        <v>T3M37</v>
      </c>
      <c r="O315" s="18" t="s">
        <v>485</v>
      </c>
      <c r="P315" s="19" t="s">
        <v>393</v>
      </c>
      <c r="Q315" s="20" t="s">
        <v>677</v>
      </c>
      <c r="R315" s="21" t="s">
        <v>6</v>
      </c>
      <c r="S315" s="22">
        <f t="shared" si="102"/>
        <v>1914</v>
      </c>
      <c r="T315" s="22"/>
      <c r="U315" s="22"/>
      <c r="V315" s="22"/>
      <c r="W315" s="23">
        <v>90</v>
      </c>
      <c r="X315" s="23">
        <v>60</v>
      </c>
      <c r="Y315" s="23">
        <v>198</v>
      </c>
      <c r="Z315" s="23">
        <v>180</v>
      </c>
      <c r="AA315" s="23">
        <v>342</v>
      </c>
      <c r="AB315" s="23">
        <v>282</v>
      </c>
      <c r="AC315" s="23">
        <v>348</v>
      </c>
      <c r="AD315" s="23">
        <v>180</v>
      </c>
      <c r="AE315" s="23">
        <v>180</v>
      </c>
      <c r="AF315" s="23"/>
      <c r="AG315" s="23">
        <v>54</v>
      </c>
      <c r="AH315" s="23"/>
      <c r="AI315" s="23"/>
      <c r="AJ315" s="23"/>
      <c r="AK315" s="23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spans="1:52" s="26" customFormat="1" ht="15" customHeight="1" outlineLevel="1" x14ac:dyDescent="0.45">
      <c r="A316" s="38"/>
      <c r="B316" s="39"/>
      <c r="C316" s="39"/>
      <c r="D316" s="40"/>
      <c r="E316" s="40"/>
      <c r="F316" s="16"/>
      <c r="G316" s="16"/>
      <c r="H316" s="16"/>
      <c r="I316" s="16"/>
      <c r="J316" s="40"/>
      <c r="K316" s="40"/>
      <c r="L316" s="16"/>
      <c r="M316" s="40"/>
      <c r="N316" s="41" t="s">
        <v>962</v>
      </c>
      <c r="O316" s="42"/>
      <c r="P316" s="43"/>
      <c r="Q316" s="44"/>
      <c r="R316" s="45"/>
      <c r="S316" s="46">
        <f t="shared" ref="S316:AZ316" si="113">SUBTOTAL(9,S309:S315)</f>
        <v>3696</v>
      </c>
      <c r="T316" s="46">
        <f t="shared" si="113"/>
        <v>0</v>
      </c>
      <c r="U316" s="46">
        <f t="shared" si="113"/>
        <v>0</v>
      </c>
      <c r="V316" s="46">
        <f t="shared" si="113"/>
        <v>0</v>
      </c>
      <c r="W316" s="85">
        <f t="shared" si="113"/>
        <v>90</v>
      </c>
      <c r="X316" s="85">
        <f t="shared" si="113"/>
        <v>60</v>
      </c>
      <c r="Y316" s="85">
        <f t="shared" si="113"/>
        <v>285</v>
      </c>
      <c r="Z316" s="85">
        <f t="shared" si="113"/>
        <v>279</v>
      </c>
      <c r="AA316" s="85">
        <f t="shared" si="113"/>
        <v>543</v>
      </c>
      <c r="AB316" s="85">
        <f t="shared" si="113"/>
        <v>513</v>
      </c>
      <c r="AC316" s="85">
        <f t="shared" si="113"/>
        <v>630</v>
      </c>
      <c r="AD316" s="85">
        <f t="shared" si="113"/>
        <v>462</v>
      </c>
      <c r="AE316" s="85">
        <f t="shared" si="113"/>
        <v>417</v>
      </c>
      <c r="AF316" s="85">
        <f t="shared" si="113"/>
        <v>159</v>
      </c>
      <c r="AG316" s="85">
        <f t="shared" si="113"/>
        <v>183</v>
      </c>
      <c r="AH316" s="85">
        <f t="shared" si="113"/>
        <v>0</v>
      </c>
      <c r="AI316" s="85">
        <f t="shared" si="113"/>
        <v>75</v>
      </c>
      <c r="AJ316" s="85">
        <f t="shared" si="113"/>
        <v>0</v>
      </c>
      <c r="AK316" s="85">
        <f t="shared" si="113"/>
        <v>0</v>
      </c>
      <c r="AL316" s="86">
        <f t="shared" si="113"/>
        <v>0</v>
      </c>
      <c r="AM316" s="86">
        <f t="shared" si="113"/>
        <v>0</v>
      </c>
      <c r="AN316" s="86">
        <f t="shared" si="113"/>
        <v>0</v>
      </c>
      <c r="AO316" s="86">
        <f t="shared" si="113"/>
        <v>0</v>
      </c>
      <c r="AP316" s="86">
        <f t="shared" si="113"/>
        <v>0</v>
      </c>
      <c r="AQ316" s="86">
        <f t="shared" si="113"/>
        <v>0</v>
      </c>
      <c r="AR316" s="86">
        <f t="shared" si="113"/>
        <v>0</v>
      </c>
      <c r="AS316" s="86">
        <f t="shared" si="113"/>
        <v>0</v>
      </c>
      <c r="AT316" s="86">
        <f t="shared" si="113"/>
        <v>0</v>
      </c>
      <c r="AU316" s="86">
        <f t="shared" si="113"/>
        <v>0</v>
      </c>
      <c r="AV316" s="86">
        <f t="shared" si="113"/>
        <v>0</v>
      </c>
      <c r="AW316" s="86">
        <f t="shared" si="113"/>
        <v>0</v>
      </c>
      <c r="AX316" s="86">
        <f t="shared" si="113"/>
        <v>0</v>
      </c>
      <c r="AY316" s="86">
        <f t="shared" si="113"/>
        <v>0</v>
      </c>
      <c r="AZ316" s="86">
        <f t="shared" si="113"/>
        <v>0</v>
      </c>
    </row>
    <row r="317" spans="1:52" s="25" customFormat="1" ht="15" customHeight="1" outlineLevel="2" x14ac:dyDescent="0.45">
      <c r="A317" s="12">
        <v>4509561848</v>
      </c>
      <c r="B317" s="13">
        <v>20</v>
      </c>
      <c r="C317" s="13" t="s">
        <v>963</v>
      </c>
      <c r="D317" s="14"/>
      <c r="E317" s="14" t="s">
        <v>165</v>
      </c>
      <c r="F317" s="15" t="s">
        <v>366</v>
      </c>
      <c r="G317" s="15">
        <v>1014</v>
      </c>
      <c r="H317" s="15" t="s">
        <v>118</v>
      </c>
      <c r="I317" s="15" t="s">
        <v>152</v>
      </c>
      <c r="J317" s="14"/>
      <c r="K317" s="14">
        <v>45213</v>
      </c>
      <c r="L317" s="16" t="s">
        <v>964</v>
      </c>
      <c r="M317" s="14">
        <v>45106</v>
      </c>
      <c r="N317" s="17" t="str">
        <f>+LEFT(L317,5)</f>
        <v>T3M38</v>
      </c>
      <c r="O317" s="18" t="s">
        <v>827</v>
      </c>
      <c r="P317" s="19" t="s">
        <v>393</v>
      </c>
      <c r="Q317" s="20" t="s">
        <v>677</v>
      </c>
      <c r="R317" s="21" t="s">
        <v>6</v>
      </c>
      <c r="S317" s="22">
        <f t="shared" si="102"/>
        <v>469</v>
      </c>
      <c r="T317" s="22"/>
      <c r="U317" s="22"/>
      <c r="V317" s="22"/>
      <c r="W317" s="23">
        <v>4</v>
      </c>
      <c r="X317" s="23">
        <v>6</v>
      </c>
      <c r="Y317" s="23">
        <v>26</v>
      </c>
      <c r="Z317" s="23">
        <v>33</v>
      </c>
      <c r="AA317" s="23">
        <v>54</v>
      </c>
      <c r="AB317" s="23">
        <v>61</v>
      </c>
      <c r="AC317" s="23">
        <v>75</v>
      </c>
      <c r="AD317" s="23">
        <v>64</v>
      </c>
      <c r="AE317" s="23">
        <v>54</v>
      </c>
      <c r="AF317" s="23">
        <v>34</v>
      </c>
      <c r="AG317" s="23">
        <v>32</v>
      </c>
      <c r="AH317" s="23">
        <v>7</v>
      </c>
      <c r="AI317" s="23">
        <v>13</v>
      </c>
      <c r="AJ317" s="23">
        <v>3</v>
      </c>
      <c r="AK317" s="23">
        <v>3</v>
      </c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spans="1:52" s="26" customFormat="1" ht="15" customHeight="1" outlineLevel="1" x14ac:dyDescent="0.45">
      <c r="A318" s="38"/>
      <c r="B318" s="39"/>
      <c r="C318" s="39"/>
      <c r="D318" s="40"/>
      <c r="E318" s="40"/>
      <c r="F318" s="16"/>
      <c r="G318" s="16"/>
      <c r="H318" s="16"/>
      <c r="I318" s="16"/>
      <c r="J318" s="40"/>
      <c r="K318" s="40"/>
      <c r="L318" s="16"/>
      <c r="M318" s="40"/>
      <c r="N318" s="41" t="s">
        <v>965</v>
      </c>
      <c r="O318" s="42"/>
      <c r="P318" s="43"/>
      <c r="Q318" s="44"/>
      <c r="R318" s="45"/>
      <c r="S318" s="46">
        <f t="shared" ref="S318:AZ318" si="114">SUBTOTAL(9,S317:S317)</f>
        <v>469</v>
      </c>
      <c r="T318" s="46">
        <f t="shared" si="114"/>
        <v>0</v>
      </c>
      <c r="U318" s="46">
        <f t="shared" si="114"/>
        <v>0</v>
      </c>
      <c r="V318" s="46">
        <f t="shared" si="114"/>
        <v>0</v>
      </c>
      <c r="W318" s="85">
        <f t="shared" si="114"/>
        <v>4</v>
      </c>
      <c r="X318" s="85">
        <f t="shared" si="114"/>
        <v>6</v>
      </c>
      <c r="Y318" s="85">
        <f t="shared" si="114"/>
        <v>26</v>
      </c>
      <c r="Z318" s="85">
        <f t="shared" si="114"/>
        <v>33</v>
      </c>
      <c r="AA318" s="85">
        <f t="shared" si="114"/>
        <v>54</v>
      </c>
      <c r="AB318" s="85">
        <f t="shared" si="114"/>
        <v>61</v>
      </c>
      <c r="AC318" s="85">
        <f t="shared" si="114"/>
        <v>75</v>
      </c>
      <c r="AD318" s="85">
        <f t="shared" si="114"/>
        <v>64</v>
      </c>
      <c r="AE318" s="85">
        <f t="shared" si="114"/>
        <v>54</v>
      </c>
      <c r="AF318" s="85">
        <f t="shared" si="114"/>
        <v>34</v>
      </c>
      <c r="AG318" s="85">
        <f t="shared" si="114"/>
        <v>32</v>
      </c>
      <c r="AH318" s="85">
        <f t="shared" si="114"/>
        <v>7</v>
      </c>
      <c r="AI318" s="85">
        <f t="shared" si="114"/>
        <v>13</v>
      </c>
      <c r="AJ318" s="85">
        <f t="shared" si="114"/>
        <v>3</v>
      </c>
      <c r="AK318" s="85">
        <f t="shared" si="114"/>
        <v>3</v>
      </c>
      <c r="AL318" s="86">
        <f t="shared" si="114"/>
        <v>0</v>
      </c>
      <c r="AM318" s="86">
        <f t="shared" si="114"/>
        <v>0</v>
      </c>
      <c r="AN318" s="86">
        <f t="shared" si="114"/>
        <v>0</v>
      </c>
      <c r="AO318" s="86">
        <f t="shared" si="114"/>
        <v>0</v>
      </c>
      <c r="AP318" s="86">
        <f t="shared" si="114"/>
        <v>0</v>
      </c>
      <c r="AQ318" s="86">
        <f t="shared" si="114"/>
        <v>0</v>
      </c>
      <c r="AR318" s="86">
        <f t="shared" si="114"/>
        <v>0</v>
      </c>
      <c r="AS318" s="86">
        <f t="shared" si="114"/>
        <v>0</v>
      </c>
      <c r="AT318" s="86">
        <f t="shared" si="114"/>
        <v>0</v>
      </c>
      <c r="AU318" s="86">
        <f t="shared" si="114"/>
        <v>0</v>
      </c>
      <c r="AV318" s="86">
        <f t="shared" si="114"/>
        <v>0</v>
      </c>
      <c r="AW318" s="86">
        <f t="shared" si="114"/>
        <v>0</v>
      </c>
      <c r="AX318" s="86">
        <f t="shared" si="114"/>
        <v>0</v>
      </c>
      <c r="AY318" s="86">
        <f t="shared" si="114"/>
        <v>0</v>
      </c>
      <c r="AZ318" s="86">
        <f t="shared" si="114"/>
        <v>0</v>
      </c>
    </row>
    <row r="319" spans="1:52" s="25" customFormat="1" ht="15" customHeight="1" outlineLevel="2" x14ac:dyDescent="0.45">
      <c r="A319" s="12">
        <v>4509555863</v>
      </c>
      <c r="B319" s="13">
        <v>10</v>
      </c>
      <c r="C319" s="13" t="s">
        <v>966</v>
      </c>
      <c r="D319" s="14"/>
      <c r="E319" s="14"/>
      <c r="F319" s="15" t="s">
        <v>243</v>
      </c>
      <c r="G319" s="15">
        <v>8806006</v>
      </c>
      <c r="H319" s="15" t="s">
        <v>967</v>
      </c>
      <c r="I319" s="15" t="s">
        <v>98</v>
      </c>
      <c r="J319" s="14"/>
      <c r="K319" s="14">
        <v>45248</v>
      </c>
      <c r="L319" s="16" t="s">
        <v>968</v>
      </c>
      <c r="M319" s="14">
        <v>45105</v>
      </c>
      <c r="N319" s="17" t="str">
        <f>+LEFT(L319,5)</f>
        <v>T3N01</v>
      </c>
      <c r="O319" s="18" t="s">
        <v>245</v>
      </c>
      <c r="P319" s="19" t="s">
        <v>246</v>
      </c>
      <c r="Q319" s="20" t="s">
        <v>677</v>
      </c>
      <c r="R319" s="21" t="s">
        <v>225</v>
      </c>
      <c r="S319" s="22">
        <f t="shared" si="102"/>
        <v>258</v>
      </c>
      <c r="T319" s="22"/>
      <c r="U319" s="22"/>
      <c r="V319" s="22"/>
      <c r="W319" s="23"/>
      <c r="X319" s="23"/>
      <c r="Y319" s="23"/>
      <c r="Z319" s="23"/>
      <c r="AA319" s="23">
        <v>18</v>
      </c>
      <c r="AB319" s="23">
        <v>18</v>
      </c>
      <c r="AC319" s="23">
        <v>24</v>
      </c>
      <c r="AD319" s="23">
        <v>24</v>
      </c>
      <c r="AE319" s="23">
        <v>30</v>
      </c>
      <c r="AF319" s="23">
        <v>24</v>
      </c>
      <c r="AG319" s="23">
        <v>30</v>
      </c>
      <c r="AH319" s="23">
        <v>30</v>
      </c>
      <c r="AI319" s="23">
        <v>24</v>
      </c>
      <c r="AJ319" s="23"/>
      <c r="AK319" s="23">
        <v>18</v>
      </c>
      <c r="AL319" s="24"/>
      <c r="AM319" s="24">
        <v>18</v>
      </c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spans="1:52" s="26" customFormat="1" ht="15" customHeight="1" outlineLevel="1" x14ac:dyDescent="0.45">
      <c r="A320" s="38"/>
      <c r="B320" s="39"/>
      <c r="C320" s="39"/>
      <c r="D320" s="40"/>
      <c r="E320" s="40"/>
      <c r="F320" s="16"/>
      <c r="G320" s="16"/>
      <c r="H320" s="16"/>
      <c r="I320" s="16"/>
      <c r="J320" s="40"/>
      <c r="K320" s="40"/>
      <c r="L320" s="16"/>
      <c r="M320" s="40"/>
      <c r="N320" s="41" t="s">
        <v>969</v>
      </c>
      <c r="O320" s="42"/>
      <c r="P320" s="43"/>
      <c r="Q320" s="44"/>
      <c r="R320" s="45"/>
      <c r="S320" s="46">
        <f t="shared" ref="S320:AZ320" si="115">SUBTOTAL(9,S319:S319)</f>
        <v>258</v>
      </c>
      <c r="T320" s="46">
        <f t="shared" si="115"/>
        <v>0</v>
      </c>
      <c r="U320" s="46">
        <f t="shared" si="115"/>
        <v>0</v>
      </c>
      <c r="V320" s="46">
        <f t="shared" si="115"/>
        <v>0</v>
      </c>
      <c r="W320" s="85">
        <f t="shared" si="115"/>
        <v>0</v>
      </c>
      <c r="X320" s="85">
        <f t="shared" si="115"/>
        <v>0</v>
      </c>
      <c r="Y320" s="85">
        <f t="shared" si="115"/>
        <v>0</v>
      </c>
      <c r="Z320" s="85">
        <f t="shared" si="115"/>
        <v>0</v>
      </c>
      <c r="AA320" s="85">
        <f t="shared" si="115"/>
        <v>18</v>
      </c>
      <c r="AB320" s="85">
        <f t="shared" si="115"/>
        <v>18</v>
      </c>
      <c r="AC320" s="85">
        <f t="shared" si="115"/>
        <v>24</v>
      </c>
      <c r="AD320" s="85">
        <f t="shared" si="115"/>
        <v>24</v>
      </c>
      <c r="AE320" s="85">
        <f t="shared" si="115"/>
        <v>30</v>
      </c>
      <c r="AF320" s="85">
        <f t="shared" si="115"/>
        <v>24</v>
      </c>
      <c r="AG320" s="85">
        <f t="shared" si="115"/>
        <v>30</v>
      </c>
      <c r="AH320" s="85">
        <f t="shared" si="115"/>
        <v>30</v>
      </c>
      <c r="AI320" s="85">
        <f t="shared" si="115"/>
        <v>24</v>
      </c>
      <c r="AJ320" s="85">
        <f t="shared" si="115"/>
        <v>0</v>
      </c>
      <c r="AK320" s="85">
        <f t="shared" si="115"/>
        <v>18</v>
      </c>
      <c r="AL320" s="86">
        <f t="shared" si="115"/>
        <v>0</v>
      </c>
      <c r="AM320" s="86">
        <f t="shared" si="115"/>
        <v>18</v>
      </c>
      <c r="AN320" s="86">
        <f t="shared" si="115"/>
        <v>0</v>
      </c>
      <c r="AO320" s="86">
        <f t="shared" si="115"/>
        <v>0</v>
      </c>
      <c r="AP320" s="86">
        <f t="shared" si="115"/>
        <v>0</v>
      </c>
      <c r="AQ320" s="86">
        <f t="shared" si="115"/>
        <v>0</v>
      </c>
      <c r="AR320" s="86">
        <f t="shared" si="115"/>
        <v>0</v>
      </c>
      <c r="AS320" s="86">
        <f t="shared" si="115"/>
        <v>0</v>
      </c>
      <c r="AT320" s="86">
        <f t="shared" si="115"/>
        <v>0</v>
      </c>
      <c r="AU320" s="86">
        <f t="shared" si="115"/>
        <v>0</v>
      </c>
      <c r="AV320" s="86">
        <f t="shared" si="115"/>
        <v>0</v>
      </c>
      <c r="AW320" s="86">
        <f t="shared" si="115"/>
        <v>0</v>
      </c>
      <c r="AX320" s="86">
        <f t="shared" si="115"/>
        <v>0</v>
      </c>
      <c r="AY320" s="86">
        <f t="shared" si="115"/>
        <v>0</v>
      </c>
      <c r="AZ320" s="86">
        <f t="shared" si="115"/>
        <v>0</v>
      </c>
    </row>
    <row r="321" spans="1:52" s="25" customFormat="1" ht="15" customHeight="1" outlineLevel="2" x14ac:dyDescent="0.45">
      <c r="A321" s="12">
        <v>4509584295</v>
      </c>
      <c r="B321" s="13">
        <v>10</v>
      </c>
      <c r="C321" s="13" t="s">
        <v>1010</v>
      </c>
      <c r="D321" s="14"/>
      <c r="E321" s="14"/>
      <c r="F321" s="15" t="s">
        <v>4</v>
      </c>
      <c r="G321" s="15">
        <v>1014</v>
      </c>
      <c r="H321" s="15" t="s">
        <v>118</v>
      </c>
      <c r="I321" s="15" t="s">
        <v>152</v>
      </c>
      <c r="J321" s="14"/>
      <c r="K321" s="14">
        <v>45206</v>
      </c>
      <c r="L321" s="16" t="s">
        <v>1002</v>
      </c>
      <c r="M321" s="14">
        <v>45107</v>
      </c>
      <c r="N321" s="17" t="str">
        <f>+LEFT(L321,5)</f>
        <v>T3KAF</v>
      </c>
      <c r="O321" s="18" t="s">
        <v>1003</v>
      </c>
      <c r="P321" s="19" t="s">
        <v>3</v>
      </c>
      <c r="Q321" s="20" t="s">
        <v>1000</v>
      </c>
      <c r="R321" s="21" t="s">
        <v>6</v>
      </c>
      <c r="S321" s="22">
        <f>SUM(T321:AZ321)</f>
        <v>426</v>
      </c>
      <c r="T321" s="22"/>
      <c r="U321" s="22"/>
      <c r="V321" s="22"/>
      <c r="W321" s="23">
        <v>4</v>
      </c>
      <c r="X321" s="23">
        <v>8</v>
      </c>
      <c r="Y321" s="23">
        <v>24</v>
      </c>
      <c r="Z321" s="23">
        <v>27</v>
      </c>
      <c r="AA321" s="23">
        <v>60</v>
      </c>
      <c r="AB321" s="23">
        <v>60</v>
      </c>
      <c r="AC321" s="23">
        <v>78</v>
      </c>
      <c r="AD321" s="23">
        <v>59</v>
      </c>
      <c r="AE321" s="23">
        <v>53</v>
      </c>
      <c r="AF321" s="23">
        <v>21</v>
      </c>
      <c r="AG321" s="23">
        <v>25</v>
      </c>
      <c r="AH321" s="23">
        <v>3</v>
      </c>
      <c r="AI321" s="23">
        <v>4</v>
      </c>
      <c r="AJ321" s="23"/>
      <c r="AK321" s="23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spans="1:52" s="26" customFormat="1" ht="15" customHeight="1" outlineLevel="1" x14ac:dyDescent="0.45">
      <c r="A322" s="38"/>
      <c r="B322" s="39"/>
      <c r="C322" s="39"/>
      <c r="D322" s="40"/>
      <c r="E322" s="40"/>
      <c r="F322" s="16"/>
      <c r="G322" s="16"/>
      <c r="H322" s="16"/>
      <c r="I322" s="16"/>
      <c r="J322" s="40"/>
      <c r="K322" s="40"/>
      <c r="L322" s="16"/>
      <c r="M322" s="40"/>
      <c r="N322" s="126" t="s">
        <v>1004</v>
      </c>
      <c r="O322" s="42"/>
      <c r="P322" s="43"/>
      <c r="Q322" s="44"/>
      <c r="R322" s="45"/>
      <c r="S322" s="46">
        <f t="shared" ref="S322:AZ322" si="116">SUBTOTAL(9,S321:S321)</f>
        <v>426</v>
      </c>
      <c r="T322" s="46">
        <f t="shared" si="116"/>
        <v>0</v>
      </c>
      <c r="U322" s="46">
        <f t="shared" si="116"/>
        <v>0</v>
      </c>
      <c r="V322" s="46">
        <f t="shared" si="116"/>
        <v>0</v>
      </c>
      <c r="W322" s="85">
        <f t="shared" si="116"/>
        <v>4</v>
      </c>
      <c r="X322" s="85">
        <f t="shared" si="116"/>
        <v>8</v>
      </c>
      <c r="Y322" s="85">
        <f t="shared" si="116"/>
        <v>24</v>
      </c>
      <c r="Z322" s="85">
        <f t="shared" si="116"/>
        <v>27</v>
      </c>
      <c r="AA322" s="85">
        <f t="shared" si="116"/>
        <v>60</v>
      </c>
      <c r="AB322" s="85">
        <f t="shared" si="116"/>
        <v>60</v>
      </c>
      <c r="AC322" s="85">
        <f t="shared" si="116"/>
        <v>78</v>
      </c>
      <c r="AD322" s="85">
        <f t="shared" si="116"/>
        <v>59</v>
      </c>
      <c r="AE322" s="85">
        <f t="shared" si="116"/>
        <v>53</v>
      </c>
      <c r="AF322" s="85">
        <f t="shared" si="116"/>
        <v>21</v>
      </c>
      <c r="AG322" s="85">
        <f t="shared" si="116"/>
        <v>25</v>
      </c>
      <c r="AH322" s="85">
        <f t="shared" si="116"/>
        <v>3</v>
      </c>
      <c r="AI322" s="85">
        <f t="shared" si="116"/>
        <v>4</v>
      </c>
      <c r="AJ322" s="85">
        <f t="shared" si="116"/>
        <v>0</v>
      </c>
      <c r="AK322" s="85">
        <f t="shared" si="116"/>
        <v>0</v>
      </c>
      <c r="AL322" s="86">
        <f t="shared" si="116"/>
        <v>0</v>
      </c>
      <c r="AM322" s="86">
        <f t="shared" si="116"/>
        <v>0</v>
      </c>
      <c r="AN322" s="86">
        <f t="shared" si="116"/>
        <v>0</v>
      </c>
      <c r="AO322" s="86">
        <f t="shared" si="116"/>
        <v>0</v>
      </c>
      <c r="AP322" s="86">
        <f t="shared" si="116"/>
        <v>0</v>
      </c>
      <c r="AQ322" s="86">
        <f t="shared" si="116"/>
        <v>0</v>
      </c>
      <c r="AR322" s="86">
        <f t="shared" si="116"/>
        <v>0</v>
      </c>
      <c r="AS322" s="86">
        <f t="shared" si="116"/>
        <v>0</v>
      </c>
      <c r="AT322" s="86">
        <f t="shared" si="116"/>
        <v>0</v>
      </c>
      <c r="AU322" s="86">
        <f t="shared" si="116"/>
        <v>0</v>
      </c>
      <c r="AV322" s="86">
        <f t="shared" si="116"/>
        <v>0</v>
      </c>
      <c r="AW322" s="86">
        <f t="shared" si="116"/>
        <v>0</v>
      </c>
      <c r="AX322" s="86">
        <f t="shared" si="116"/>
        <v>0</v>
      </c>
      <c r="AY322" s="86">
        <f t="shared" si="116"/>
        <v>0</v>
      </c>
      <c r="AZ322" s="86">
        <f t="shared" si="116"/>
        <v>0</v>
      </c>
    </row>
    <row r="323" spans="1:52" s="25" customFormat="1" ht="15" customHeight="1" outlineLevel="2" x14ac:dyDescent="0.45">
      <c r="A323" s="12">
        <v>4509584295</v>
      </c>
      <c r="B323" s="13">
        <v>20</v>
      </c>
      <c r="C323" s="13" t="s">
        <v>1011</v>
      </c>
      <c r="D323" s="14"/>
      <c r="E323" s="14"/>
      <c r="F323" s="15" t="s">
        <v>4</v>
      </c>
      <c r="G323" s="15">
        <v>1014</v>
      </c>
      <c r="H323" s="15" t="s">
        <v>118</v>
      </c>
      <c r="I323" s="15" t="s">
        <v>152</v>
      </c>
      <c r="J323" s="14"/>
      <c r="K323" s="14">
        <v>45213</v>
      </c>
      <c r="L323" s="16" t="s">
        <v>1005</v>
      </c>
      <c r="M323" s="14">
        <v>45107</v>
      </c>
      <c r="N323" s="17" t="str">
        <f t="shared" ref="N323:N324" si="117">+LEFT(L323,5)</f>
        <v>T3M41</v>
      </c>
      <c r="O323" s="18" t="s">
        <v>1003</v>
      </c>
      <c r="P323" s="19" t="s">
        <v>3</v>
      </c>
      <c r="Q323" s="20" t="s">
        <v>1000</v>
      </c>
      <c r="R323" s="21" t="s">
        <v>6</v>
      </c>
      <c r="S323" s="22">
        <f t="shared" ref="S323:S324" si="118">SUM(T323:AZ323)</f>
        <v>780</v>
      </c>
      <c r="T323" s="22"/>
      <c r="U323" s="22"/>
      <c r="V323" s="22"/>
      <c r="W323" s="23">
        <v>7</v>
      </c>
      <c r="X323" s="23">
        <v>15</v>
      </c>
      <c r="Y323" s="23">
        <v>44</v>
      </c>
      <c r="Z323" s="23">
        <v>49</v>
      </c>
      <c r="AA323" s="23">
        <v>109</v>
      </c>
      <c r="AB323" s="23">
        <v>108</v>
      </c>
      <c r="AC323" s="23">
        <v>144</v>
      </c>
      <c r="AD323" s="23">
        <v>109</v>
      </c>
      <c r="AE323" s="23">
        <v>98</v>
      </c>
      <c r="AF323" s="23">
        <v>39</v>
      </c>
      <c r="AG323" s="23">
        <v>45</v>
      </c>
      <c r="AH323" s="23">
        <v>6</v>
      </c>
      <c r="AI323" s="23">
        <v>7</v>
      </c>
      <c r="AJ323" s="23"/>
      <c r="AK323" s="23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spans="1:52" s="25" customFormat="1" ht="15" customHeight="1" outlineLevel="2" x14ac:dyDescent="0.45">
      <c r="A324" s="12">
        <v>4509584295</v>
      </c>
      <c r="B324" s="13">
        <v>30</v>
      </c>
      <c r="C324" s="13" t="s">
        <v>1012</v>
      </c>
      <c r="D324" s="14"/>
      <c r="E324" s="14"/>
      <c r="F324" s="15" t="s">
        <v>4</v>
      </c>
      <c r="G324" s="15">
        <v>1014</v>
      </c>
      <c r="H324" s="15" t="s">
        <v>118</v>
      </c>
      <c r="I324" s="15" t="s">
        <v>152</v>
      </c>
      <c r="J324" s="14"/>
      <c r="K324" s="14">
        <v>45220</v>
      </c>
      <c r="L324" s="16" t="s">
        <v>1006</v>
      </c>
      <c r="M324" s="14">
        <v>45107</v>
      </c>
      <c r="N324" s="17" t="str">
        <f t="shared" si="117"/>
        <v>T3M41</v>
      </c>
      <c r="O324" s="18" t="s">
        <v>1003</v>
      </c>
      <c r="P324" s="19" t="s">
        <v>3</v>
      </c>
      <c r="Q324" s="20" t="s">
        <v>1000</v>
      </c>
      <c r="R324" s="21" t="s">
        <v>6</v>
      </c>
      <c r="S324" s="22">
        <f t="shared" si="118"/>
        <v>2034</v>
      </c>
      <c r="T324" s="22"/>
      <c r="U324" s="22"/>
      <c r="V324" s="22"/>
      <c r="W324" s="23">
        <v>18</v>
      </c>
      <c r="X324" s="23">
        <v>39</v>
      </c>
      <c r="Y324" s="23">
        <v>115</v>
      </c>
      <c r="Z324" s="23">
        <v>127</v>
      </c>
      <c r="AA324" s="23">
        <v>285</v>
      </c>
      <c r="AB324" s="23">
        <v>281</v>
      </c>
      <c r="AC324" s="23">
        <v>375</v>
      </c>
      <c r="AD324" s="23">
        <v>284</v>
      </c>
      <c r="AE324" s="23">
        <v>255</v>
      </c>
      <c r="AF324" s="23">
        <v>102</v>
      </c>
      <c r="AG324" s="23">
        <v>118</v>
      </c>
      <c r="AH324" s="23">
        <v>16</v>
      </c>
      <c r="AI324" s="23">
        <v>19</v>
      </c>
      <c r="AJ324" s="23"/>
      <c r="AK324" s="23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spans="1:52" s="26" customFormat="1" ht="15" customHeight="1" outlineLevel="1" x14ac:dyDescent="0.45">
      <c r="A325" s="38"/>
      <c r="B325" s="39"/>
      <c r="C325" s="39"/>
      <c r="D325" s="40"/>
      <c r="E325" s="40"/>
      <c r="F325" s="16"/>
      <c r="G325" s="16"/>
      <c r="H325" s="16"/>
      <c r="I325" s="16"/>
      <c r="J325" s="40"/>
      <c r="K325" s="40"/>
      <c r="L325" s="16"/>
      <c r="M325" s="40"/>
      <c r="N325" s="126" t="s">
        <v>1007</v>
      </c>
      <c r="O325" s="42"/>
      <c r="P325" s="43"/>
      <c r="Q325" s="44"/>
      <c r="R325" s="45"/>
      <c r="S325" s="46">
        <f t="shared" ref="S325:AZ325" si="119">SUBTOTAL(9,S323:S324)</f>
        <v>2814</v>
      </c>
      <c r="T325" s="46">
        <f t="shared" si="119"/>
        <v>0</v>
      </c>
      <c r="U325" s="46">
        <f t="shared" si="119"/>
        <v>0</v>
      </c>
      <c r="V325" s="46">
        <f t="shared" si="119"/>
        <v>0</v>
      </c>
      <c r="W325" s="85">
        <f t="shared" si="119"/>
        <v>25</v>
      </c>
      <c r="X325" s="85">
        <f t="shared" si="119"/>
        <v>54</v>
      </c>
      <c r="Y325" s="85">
        <f t="shared" si="119"/>
        <v>159</v>
      </c>
      <c r="Z325" s="85">
        <f t="shared" si="119"/>
        <v>176</v>
      </c>
      <c r="AA325" s="85">
        <f t="shared" si="119"/>
        <v>394</v>
      </c>
      <c r="AB325" s="85">
        <f t="shared" si="119"/>
        <v>389</v>
      </c>
      <c r="AC325" s="85">
        <f t="shared" si="119"/>
        <v>519</v>
      </c>
      <c r="AD325" s="85">
        <f t="shared" si="119"/>
        <v>393</v>
      </c>
      <c r="AE325" s="85">
        <f t="shared" si="119"/>
        <v>353</v>
      </c>
      <c r="AF325" s="85">
        <f t="shared" si="119"/>
        <v>141</v>
      </c>
      <c r="AG325" s="85">
        <f t="shared" si="119"/>
        <v>163</v>
      </c>
      <c r="AH325" s="85">
        <f t="shared" si="119"/>
        <v>22</v>
      </c>
      <c r="AI325" s="85">
        <f t="shared" si="119"/>
        <v>26</v>
      </c>
      <c r="AJ325" s="85">
        <f t="shared" si="119"/>
        <v>0</v>
      </c>
      <c r="AK325" s="85">
        <f t="shared" si="119"/>
        <v>0</v>
      </c>
      <c r="AL325" s="86">
        <f t="shared" si="119"/>
        <v>0</v>
      </c>
      <c r="AM325" s="86">
        <f t="shared" si="119"/>
        <v>0</v>
      </c>
      <c r="AN325" s="86">
        <f t="shared" si="119"/>
        <v>0</v>
      </c>
      <c r="AO325" s="86">
        <f t="shared" si="119"/>
        <v>0</v>
      </c>
      <c r="AP325" s="86">
        <f t="shared" si="119"/>
        <v>0</v>
      </c>
      <c r="AQ325" s="86">
        <f t="shared" si="119"/>
        <v>0</v>
      </c>
      <c r="AR325" s="86">
        <f t="shared" si="119"/>
        <v>0</v>
      </c>
      <c r="AS325" s="86">
        <f t="shared" si="119"/>
        <v>0</v>
      </c>
      <c r="AT325" s="86">
        <f t="shared" si="119"/>
        <v>0</v>
      </c>
      <c r="AU325" s="86">
        <f t="shared" si="119"/>
        <v>0</v>
      </c>
      <c r="AV325" s="86">
        <f t="shared" si="119"/>
        <v>0</v>
      </c>
      <c r="AW325" s="86">
        <f t="shared" si="119"/>
        <v>0</v>
      </c>
      <c r="AX325" s="86">
        <f t="shared" si="119"/>
        <v>0</v>
      </c>
      <c r="AY325" s="86">
        <f t="shared" si="119"/>
        <v>0</v>
      </c>
      <c r="AZ325" s="86">
        <f t="shared" si="119"/>
        <v>0</v>
      </c>
    </row>
    <row r="326" spans="1:52" s="25" customFormat="1" ht="15" customHeight="1" outlineLevel="2" x14ac:dyDescent="0.45">
      <c r="A326" s="12">
        <v>4509584898</v>
      </c>
      <c r="B326" s="13">
        <v>10</v>
      </c>
      <c r="C326" s="13" t="s">
        <v>1026</v>
      </c>
      <c r="D326" s="14"/>
      <c r="E326" s="14"/>
      <c r="F326" s="15" t="s">
        <v>366</v>
      </c>
      <c r="G326" s="15">
        <v>526079</v>
      </c>
      <c r="H326" s="15" t="s">
        <v>118</v>
      </c>
      <c r="I326" s="15" t="s">
        <v>152</v>
      </c>
      <c r="J326" s="14"/>
      <c r="K326" s="14">
        <v>45199</v>
      </c>
      <c r="L326" s="16" t="s">
        <v>1027</v>
      </c>
      <c r="M326" s="14">
        <v>45112</v>
      </c>
      <c r="N326" s="17" t="str">
        <f>+LEFT(L326,5)</f>
        <v>T3KAH</v>
      </c>
      <c r="O326" s="18" t="s">
        <v>455</v>
      </c>
      <c r="P326" s="19" t="s">
        <v>369</v>
      </c>
      <c r="Q326" s="20" t="s">
        <v>1000</v>
      </c>
      <c r="R326" s="21" t="s">
        <v>225</v>
      </c>
      <c r="S326" s="22">
        <f>SUM(T326:AZ326)</f>
        <v>1</v>
      </c>
      <c r="T326" s="22"/>
      <c r="U326" s="22"/>
      <c r="V326" s="22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>
        <v>1</v>
      </c>
      <c r="AJ326" s="23"/>
      <c r="AK326" s="23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spans="1:52" s="26" customFormat="1" ht="15" customHeight="1" outlineLevel="1" x14ac:dyDescent="0.45">
      <c r="A327" s="38"/>
      <c r="B327" s="39"/>
      <c r="C327" s="39"/>
      <c r="D327" s="40"/>
      <c r="E327" s="40"/>
      <c r="F327" s="16"/>
      <c r="G327" s="16"/>
      <c r="H327" s="16"/>
      <c r="I327" s="16"/>
      <c r="J327" s="40"/>
      <c r="K327" s="40"/>
      <c r="L327" s="16"/>
      <c r="M327" s="40"/>
      <c r="N327" s="84" t="s">
        <v>1028</v>
      </c>
      <c r="O327" s="42"/>
      <c r="P327" s="43"/>
      <c r="Q327" s="44"/>
      <c r="R327" s="45"/>
      <c r="S327" s="46">
        <f t="shared" ref="S327:AZ327" si="120">SUBTOTAL(9,S326:S326)</f>
        <v>1</v>
      </c>
      <c r="T327" s="46">
        <f t="shared" si="120"/>
        <v>0</v>
      </c>
      <c r="U327" s="46">
        <f t="shared" si="120"/>
        <v>0</v>
      </c>
      <c r="V327" s="46">
        <f t="shared" si="120"/>
        <v>0</v>
      </c>
      <c r="W327" s="85">
        <f t="shared" si="120"/>
        <v>0</v>
      </c>
      <c r="X327" s="85">
        <f t="shared" si="120"/>
        <v>0</v>
      </c>
      <c r="Y327" s="85">
        <f t="shared" si="120"/>
        <v>0</v>
      </c>
      <c r="Z327" s="85">
        <f t="shared" si="120"/>
        <v>0</v>
      </c>
      <c r="AA327" s="85">
        <f t="shared" si="120"/>
        <v>0</v>
      </c>
      <c r="AB327" s="85">
        <f t="shared" si="120"/>
        <v>0</v>
      </c>
      <c r="AC327" s="85">
        <f t="shared" si="120"/>
        <v>0</v>
      </c>
      <c r="AD327" s="85">
        <f t="shared" si="120"/>
        <v>0</v>
      </c>
      <c r="AE327" s="85">
        <f t="shared" si="120"/>
        <v>0</v>
      </c>
      <c r="AF327" s="85">
        <f t="shared" si="120"/>
        <v>0</v>
      </c>
      <c r="AG327" s="85">
        <f t="shared" si="120"/>
        <v>0</v>
      </c>
      <c r="AH327" s="85">
        <f t="shared" si="120"/>
        <v>0</v>
      </c>
      <c r="AI327" s="85">
        <f t="shared" si="120"/>
        <v>1</v>
      </c>
      <c r="AJ327" s="85">
        <f t="shared" si="120"/>
        <v>0</v>
      </c>
      <c r="AK327" s="85">
        <f t="shared" si="120"/>
        <v>0</v>
      </c>
      <c r="AL327" s="86">
        <f t="shared" si="120"/>
        <v>0</v>
      </c>
      <c r="AM327" s="86">
        <f t="shared" si="120"/>
        <v>0</v>
      </c>
      <c r="AN327" s="86">
        <f t="shared" si="120"/>
        <v>0</v>
      </c>
      <c r="AO327" s="86">
        <f t="shared" si="120"/>
        <v>0</v>
      </c>
      <c r="AP327" s="86">
        <f t="shared" si="120"/>
        <v>0</v>
      </c>
      <c r="AQ327" s="86">
        <f t="shared" si="120"/>
        <v>0</v>
      </c>
      <c r="AR327" s="86">
        <f t="shared" si="120"/>
        <v>0</v>
      </c>
      <c r="AS327" s="86">
        <f t="shared" si="120"/>
        <v>0</v>
      </c>
      <c r="AT327" s="86">
        <f t="shared" si="120"/>
        <v>0</v>
      </c>
      <c r="AU327" s="86">
        <f t="shared" si="120"/>
        <v>0</v>
      </c>
      <c r="AV327" s="86">
        <f t="shared" si="120"/>
        <v>0</v>
      </c>
      <c r="AW327" s="86">
        <f t="shared" si="120"/>
        <v>0</v>
      </c>
      <c r="AX327" s="86">
        <f t="shared" si="120"/>
        <v>0</v>
      </c>
      <c r="AY327" s="86">
        <f t="shared" si="120"/>
        <v>0</v>
      </c>
      <c r="AZ327" s="86">
        <f t="shared" si="120"/>
        <v>0</v>
      </c>
    </row>
    <row r="328" spans="1:52" s="25" customFormat="1" ht="15" customHeight="1" outlineLevel="2" x14ac:dyDescent="0.45">
      <c r="A328" s="12">
        <v>4509584898</v>
      </c>
      <c r="B328" s="13">
        <v>20</v>
      </c>
      <c r="C328" s="13" t="s">
        <v>1029</v>
      </c>
      <c r="D328" s="14"/>
      <c r="E328" s="14"/>
      <c r="F328" s="15" t="s">
        <v>366</v>
      </c>
      <c r="G328" s="15">
        <v>526079</v>
      </c>
      <c r="H328" s="15" t="s">
        <v>118</v>
      </c>
      <c r="I328" s="15" t="s">
        <v>152</v>
      </c>
      <c r="J328" s="14"/>
      <c r="K328" s="14">
        <v>45199</v>
      </c>
      <c r="L328" s="16" t="s">
        <v>1030</v>
      </c>
      <c r="M328" s="14">
        <v>45112</v>
      </c>
      <c r="N328" s="17" t="str">
        <f>+LEFT(L328,5)</f>
        <v>T3KAJ</v>
      </c>
      <c r="O328" s="18" t="s">
        <v>462</v>
      </c>
      <c r="P328" s="19" t="s">
        <v>369</v>
      </c>
      <c r="Q328" s="20" t="s">
        <v>1000</v>
      </c>
      <c r="R328" s="21" t="s">
        <v>225</v>
      </c>
      <c r="S328" s="22">
        <f t="shared" ref="S328:S334" si="121">SUM(T328:AZ328)</f>
        <v>1</v>
      </c>
      <c r="T328" s="22"/>
      <c r="U328" s="22"/>
      <c r="V328" s="22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>
        <v>1</v>
      </c>
      <c r="AJ328" s="23"/>
      <c r="AK328" s="23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spans="1:52" s="26" customFormat="1" ht="15" customHeight="1" outlineLevel="1" x14ac:dyDescent="0.45">
      <c r="A329" s="38"/>
      <c r="B329" s="39"/>
      <c r="C329" s="39"/>
      <c r="D329" s="40"/>
      <c r="E329" s="40"/>
      <c r="F329" s="16"/>
      <c r="G329" s="16"/>
      <c r="H329" s="16"/>
      <c r="I329" s="16"/>
      <c r="J329" s="40"/>
      <c r="K329" s="40"/>
      <c r="L329" s="16"/>
      <c r="M329" s="40"/>
      <c r="N329" s="41" t="s">
        <v>1031</v>
      </c>
      <c r="O329" s="42"/>
      <c r="P329" s="43"/>
      <c r="Q329" s="44"/>
      <c r="R329" s="45"/>
      <c r="S329" s="46">
        <f t="shared" ref="S329:AZ329" si="122">SUBTOTAL(9,S328:S328)</f>
        <v>1</v>
      </c>
      <c r="T329" s="46">
        <f t="shared" si="122"/>
        <v>0</v>
      </c>
      <c r="U329" s="46">
        <f t="shared" si="122"/>
        <v>0</v>
      </c>
      <c r="V329" s="46">
        <f t="shared" si="122"/>
        <v>0</v>
      </c>
      <c r="W329" s="85">
        <f t="shared" si="122"/>
        <v>0</v>
      </c>
      <c r="X329" s="85">
        <f t="shared" si="122"/>
        <v>0</v>
      </c>
      <c r="Y329" s="85">
        <f t="shared" si="122"/>
        <v>0</v>
      </c>
      <c r="Z329" s="85">
        <f t="shared" si="122"/>
        <v>0</v>
      </c>
      <c r="AA329" s="85">
        <f t="shared" si="122"/>
        <v>0</v>
      </c>
      <c r="AB329" s="85">
        <f t="shared" si="122"/>
        <v>0</v>
      </c>
      <c r="AC329" s="85">
        <f t="shared" si="122"/>
        <v>0</v>
      </c>
      <c r="AD329" s="85">
        <f t="shared" si="122"/>
        <v>0</v>
      </c>
      <c r="AE329" s="85">
        <f t="shared" si="122"/>
        <v>0</v>
      </c>
      <c r="AF329" s="85">
        <f t="shared" si="122"/>
        <v>0</v>
      </c>
      <c r="AG329" s="85">
        <f t="shared" si="122"/>
        <v>0</v>
      </c>
      <c r="AH329" s="85">
        <f t="shared" si="122"/>
        <v>0</v>
      </c>
      <c r="AI329" s="85">
        <f t="shared" si="122"/>
        <v>1</v>
      </c>
      <c r="AJ329" s="85">
        <f t="shared" si="122"/>
        <v>0</v>
      </c>
      <c r="AK329" s="85">
        <f t="shared" si="122"/>
        <v>0</v>
      </c>
      <c r="AL329" s="86">
        <f t="shared" si="122"/>
        <v>0</v>
      </c>
      <c r="AM329" s="86">
        <f t="shared" si="122"/>
        <v>0</v>
      </c>
      <c r="AN329" s="86">
        <f t="shared" si="122"/>
        <v>0</v>
      </c>
      <c r="AO329" s="86">
        <f t="shared" si="122"/>
        <v>0</v>
      </c>
      <c r="AP329" s="86">
        <f t="shared" si="122"/>
        <v>0</v>
      </c>
      <c r="AQ329" s="86">
        <f t="shared" si="122"/>
        <v>0</v>
      </c>
      <c r="AR329" s="86">
        <f t="shared" si="122"/>
        <v>0</v>
      </c>
      <c r="AS329" s="86">
        <f t="shared" si="122"/>
        <v>0</v>
      </c>
      <c r="AT329" s="86">
        <f t="shared" si="122"/>
        <v>0</v>
      </c>
      <c r="AU329" s="86">
        <f t="shared" si="122"/>
        <v>0</v>
      </c>
      <c r="AV329" s="86">
        <f t="shared" si="122"/>
        <v>0</v>
      </c>
      <c r="AW329" s="86">
        <f t="shared" si="122"/>
        <v>0</v>
      </c>
      <c r="AX329" s="86">
        <f t="shared" si="122"/>
        <v>0</v>
      </c>
      <c r="AY329" s="86">
        <f t="shared" si="122"/>
        <v>0</v>
      </c>
      <c r="AZ329" s="86">
        <f t="shared" si="122"/>
        <v>0</v>
      </c>
    </row>
    <row r="330" spans="1:52" s="25" customFormat="1" ht="15" customHeight="1" outlineLevel="2" x14ac:dyDescent="0.45">
      <c r="A330" s="12">
        <v>4509584898</v>
      </c>
      <c r="B330" s="13">
        <v>30</v>
      </c>
      <c r="C330" s="13" t="s">
        <v>1032</v>
      </c>
      <c r="D330" s="14"/>
      <c r="E330" s="14" t="s">
        <v>165</v>
      </c>
      <c r="F330" s="15" t="s">
        <v>366</v>
      </c>
      <c r="G330" s="15">
        <v>526079</v>
      </c>
      <c r="H330" s="15" t="s">
        <v>118</v>
      </c>
      <c r="I330" s="15" t="s">
        <v>152</v>
      </c>
      <c r="J330" s="14"/>
      <c r="K330" s="14">
        <v>45199</v>
      </c>
      <c r="L330" s="16" t="s">
        <v>1033</v>
      </c>
      <c r="M330" s="14">
        <v>45112</v>
      </c>
      <c r="N330" s="17" t="str">
        <f>+LEFT(L330,5)</f>
        <v>T3KAK</v>
      </c>
      <c r="O330" s="18" t="s">
        <v>827</v>
      </c>
      <c r="P330" s="19" t="s">
        <v>393</v>
      </c>
      <c r="Q330" s="20" t="s">
        <v>1000</v>
      </c>
      <c r="R330" s="21" t="s">
        <v>6</v>
      </c>
      <c r="S330" s="22">
        <f t="shared" si="121"/>
        <v>1</v>
      </c>
      <c r="T330" s="22"/>
      <c r="U330" s="22"/>
      <c r="V330" s="22"/>
      <c r="W330" s="23"/>
      <c r="X330" s="23"/>
      <c r="Y330" s="23"/>
      <c r="Z330" s="23"/>
      <c r="AA330" s="23"/>
      <c r="AB330" s="23"/>
      <c r="AC330" s="23"/>
      <c r="AD330" s="23"/>
      <c r="AE330" s="23">
        <v>1</v>
      </c>
      <c r="AF330" s="23"/>
      <c r="AG330" s="23"/>
      <c r="AH330" s="23"/>
      <c r="AI330" s="23"/>
      <c r="AJ330" s="23"/>
      <c r="AK330" s="23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spans="1:52" s="26" customFormat="1" ht="15" customHeight="1" outlineLevel="1" x14ac:dyDescent="0.45">
      <c r="A331" s="38"/>
      <c r="B331" s="39"/>
      <c r="C331" s="39"/>
      <c r="D331" s="40"/>
      <c r="E331" s="40"/>
      <c r="F331" s="16"/>
      <c r="G331" s="16"/>
      <c r="H331" s="16"/>
      <c r="I331" s="16"/>
      <c r="J331" s="40"/>
      <c r="K331" s="40"/>
      <c r="L331" s="16"/>
      <c r="M331" s="40"/>
      <c r="N331" s="41" t="s">
        <v>1034</v>
      </c>
      <c r="O331" s="42"/>
      <c r="P331" s="43"/>
      <c r="Q331" s="44"/>
      <c r="R331" s="45"/>
      <c r="S331" s="46">
        <f t="shared" ref="S331:AZ331" si="123">SUBTOTAL(9,S330:S330)</f>
        <v>1</v>
      </c>
      <c r="T331" s="46">
        <f t="shared" si="123"/>
        <v>0</v>
      </c>
      <c r="U331" s="46">
        <f t="shared" si="123"/>
        <v>0</v>
      </c>
      <c r="V331" s="46">
        <f t="shared" si="123"/>
        <v>0</v>
      </c>
      <c r="W331" s="85">
        <f t="shared" si="123"/>
        <v>0</v>
      </c>
      <c r="X331" s="85">
        <f t="shared" si="123"/>
        <v>0</v>
      </c>
      <c r="Y331" s="85">
        <f t="shared" si="123"/>
        <v>0</v>
      </c>
      <c r="Z331" s="85">
        <f t="shared" si="123"/>
        <v>0</v>
      </c>
      <c r="AA331" s="85">
        <f t="shared" si="123"/>
        <v>0</v>
      </c>
      <c r="AB331" s="85">
        <f t="shared" si="123"/>
        <v>0</v>
      </c>
      <c r="AC331" s="85">
        <f t="shared" si="123"/>
        <v>0</v>
      </c>
      <c r="AD331" s="85">
        <f t="shared" si="123"/>
        <v>0</v>
      </c>
      <c r="AE331" s="85">
        <f t="shared" si="123"/>
        <v>1</v>
      </c>
      <c r="AF331" s="85">
        <f t="shared" si="123"/>
        <v>0</v>
      </c>
      <c r="AG331" s="85">
        <f t="shared" si="123"/>
        <v>0</v>
      </c>
      <c r="AH331" s="85">
        <f t="shared" si="123"/>
        <v>0</v>
      </c>
      <c r="AI331" s="85">
        <f t="shared" si="123"/>
        <v>0</v>
      </c>
      <c r="AJ331" s="85">
        <f t="shared" si="123"/>
        <v>0</v>
      </c>
      <c r="AK331" s="85">
        <f t="shared" si="123"/>
        <v>0</v>
      </c>
      <c r="AL331" s="86">
        <f t="shared" si="123"/>
        <v>0</v>
      </c>
      <c r="AM331" s="86">
        <f t="shared" si="123"/>
        <v>0</v>
      </c>
      <c r="AN331" s="86">
        <f t="shared" si="123"/>
        <v>0</v>
      </c>
      <c r="AO331" s="86">
        <f t="shared" si="123"/>
        <v>0</v>
      </c>
      <c r="AP331" s="86">
        <f t="shared" si="123"/>
        <v>0</v>
      </c>
      <c r="AQ331" s="86">
        <f t="shared" si="123"/>
        <v>0</v>
      </c>
      <c r="AR331" s="86">
        <f t="shared" si="123"/>
        <v>0</v>
      </c>
      <c r="AS331" s="86">
        <f t="shared" si="123"/>
        <v>0</v>
      </c>
      <c r="AT331" s="86">
        <f t="shared" si="123"/>
        <v>0</v>
      </c>
      <c r="AU331" s="86">
        <f t="shared" si="123"/>
        <v>0</v>
      </c>
      <c r="AV331" s="86">
        <f t="shared" si="123"/>
        <v>0</v>
      </c>
      <c r="AW331" s="86">
        <f t="shared" si="123"/>
        <v>0</v>
      </c>
      <c r="AX331" s="86">
        <f t="shared" si="123"/>
        <v>0</v>
      </c>
      <c r="AY331" s="86">
        <f t="shared" si="123"/>
        <v>0</v>
      </c>
      <c r="AZ331" s="86">
        <f t="shared" si="123"/>
        <v>0</v>
      </c>
    </row>
    <row r="332" spans="1:52" s="25" customFormat="1" ht="15" customHeight="1" outlineLevel="2" x14ac:dyDescent="0.45">
      <c r="A332" s="12">
        <v>4509584898</v>
      </c>
      <c r="B332" s="13">
        <v>120</v>
      </c>
      <c r="C332" s="13" t="s">
        <v>1035</v>
      </c>
      <c r="D332" s="14"/>
      <c r="E332" s="14" t="s">
        <v>165</v>
      </c>
      <c r="F332" s="15" t="s">
        <v>833</v>
      </c>
      <c r="G332" s="15">
        <v>526079</v>
      </c>
      <c r="H332" s="15" t="s">
        <v>118</v>
      </c>
      <c r="I332" s="15" t="s">
        <v>152</v>
      </c>
      <c r="J332" s="14"/>
      <c r="K332" s="14">
        <v>45192</v>
      </c>
      <c r="L332" s="16" t="s">
        <v>1036</v>
      </c>
      <c r="M332" s="14">
        <v>45112</v>
      </c>
      <c r="N332" s="17" t="str">
        <f>+LEFT(L332,5)</f>
        <v>T3KAL</v>
      </c>
      <c r="O332" s="18" t="s">
        <v>849</v>
      </c>
      <c r="P332" s="19" t="s">
        <v>837</v>
      </c>
      <c r="Q332" s="20" t="s">
        <v>1000</v>
      </c>
      <c r="R332" s="21" t="s">
        <v>225</v>
      </c>
      <c r="S332" s="22">
        <f t="shared" si="121"/>
        <v>1</v>
      </c>
      <c r="T332" s="22"/>
      <c r="U332" s="22"/>
      <c r="V332" s="22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>
        <v>1</v>
      </c>
      <c r="AJ332" s="23"/>
      <c r="AK332" s="23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spans="1:52" s="26" customFormat="1" ht="15" customHeight="1" outlineLevel="1" x14ac:dyDescent="0.45">
      <c r="A333" s="38"/>
      <c r="B333" s="39"/>
      <c r="C333" s="39"/>
      <c r="D333" s="40"/>
      <c r="E333" s="40"/>
      <c r="F333" s="16"/>
      <c r="G333" s="16"/>
      <c r="H333" s="16"/>
      <c r="I333" s="16"/>
      <c r="J333" s="40"/>
      <c r="K333" s="40"/>
      <c r="L333" s="16"/>
      <c r="M333" s="40"/>
      <c r="N333" s="41" t="s">
        <v>1037</v>
      </c>
      <c r="O333" s="42"/>
      <c r="P333" s="43"/>
      <c r="Q333" s="44"/>
      <c r="R333" s="45"/>
      <c r="S333" s="46">
        <f t="shared" ref="S333:AZ333" si="124">SUBTOTAL(9,S332:S332)</f>
        <v>1</v>
      </c>
      <c r="T333" s="46">
        <f t="shared" si="124"/>
        <v>0</v>
      </c>
      <c r="U333" s="46">
        <f t="shared" si="124"/>
        <v>0</v>
      </c>
      <c r="V333" s="46">
        <f t="shared" si="124"/>
        <v>0</v>
      </c>
      <c r="W333" s="85">
        <f t="shared" si="124"/>
        <v>0</v>
      </c>
      <c r="X333" s="85">
        <f t="shared" si="124"/>
        <v>0</v>
      </c>
      <c r="Y333" s="85">
        <f t="shared" si="124"/>
        <v>0</v>
      </c>
      <c r="Z333" s="85">
        <f t="shared" si="124"/>
        <v>0</v>
      </c>
      <c r="AA333" s="85">
        <f t="shared" si="124"/>
        <v>0</v>
      </c>
      <c r="AB333" s="85">
        <f t="shared" si="124"/>
        <v>0</v>
      </c>
      <c r="AC333" s="85">
        <f t="shared" si="124"/>
        <v>0</v>
      </c>
      <c r="AD333" s="85">
        <f t="shared" si="124"/>
        <v>0</v>
      </c>
      <c r="AE333" s="85">
        <f t="shared" si="124"/>
        <v>0</v>
      </c>
      <c r="AF333" s="85">
        <f t="shared" si="124"/>
        <v>0</v>
      </c>
      <c r="AG333" s="85">
        <f t="shared" si="124"/>
        <v>0</v>
      </c>
      <c r="AH333" s="85">
        <f t="shared" si="124"/>
        <v>0</v>
      </c>
      <c r="AI333" s="85">
        <f t="shared" si="124"/>
        <v>1</v>
      </c>
      <c r="AJ333" s="85">
        <f t="shared" si="124"/>
        <v>0</v>
      </c>
      <c r="AK333" s="85">
        <f t="shared" si="124"/>
        <v>0</v>
      </c>
      <c r="AL333" s="86">
        <f t="shared" si="124"/>
        <v>0</v>
      </c>
      <c r="AM333" s="86">
        <f t="shared" si="124"/>
        <v>0</v>
      </c>
      <c r="AN333" s="86">
        <f t="shared" si="124"/>
        <v>0</v>
      </c>
      <c r="AO333" s="86">
        <f t="shared" si="124"/>
        <v>0</v>
      </c>
      <c r="AP333" s="86">
        <f t="shared" si="124"/>
        <v>0</v>
      </c>
      <c r="AQ333" s="86">
        <f t="shared" si="124"/>
        <v>0</v>
      </c>
      <c r="AR333" s="86">
        <f t="shared" si="124"/>
        <v>0</v>
      </c>
      <c r="AS333" s="86">
        <f t="shared" si="124"/>
        <v>0</v>
      </c>
      <c r="AT333" s="86">
        <f t="shared" si="124"/>
        <v>0</v>
      </c>
      <c r="AU333" s="86">
        <f t="shared" si="124"/>
        <v>0</v>
      </c>
      <c r="AV333" s="86">
        <f t="shared" si="124"/>
        <v>0</v>
      </c>
      <c r="AW333" s="86">
        <f t="shared" si="124"/>
        <v>0</v>
      </c>
      <c r="AX333" s="86">
        <f t="shared" si="124"/>
        <v>0</v>
      </c>
      <c r="AY333" s="86">
        <f t="shared" si="124"/>
        <v>0</v>
      </c>
      <c r="AZ333" s="86">
        <f t="shared" si="124"/>
        <v>0</v>
      </c>
    </row>
    <row r="334" spans="1:52" s="25" customFormat="1" ht="15" customHeight="1" outlineLevel="2" x14ac:dyDescent="0.45">
      <c r="A334" s="12">
        <v>4509584898</v>
      </c>
      <c r="B334" s="13">
        <v>130</v>
      </c>
      <c r="C334" s="13" t="s">
        <v>1038</v>
      </c>
      <c r="D334" s="14"/>
      <c r="E334" s="14"/>
      <c r="F334" s="15" t="s">
        <v>833</v>
      </c>
      <c r="G334" s="15">
        <v>526079</v>
      </c>
      <c r="H334" s="15" t="s">
        <v>118</v>
      </c>
      <c r="I334" s="15" t="s">
        <v>152</v>
      </c>
      <c r="J334" s="14"/>
      <c r="K334" s="14">
        <v>45192</v>
      </c>
      <c r="L334" s="16" t="s">
        <v>1039</v>
      </c>
      <c r="M334" s="14">
        <v>45112</v>
      </c>
      <c r="N334" s="17" t="str">
        <f>+LEFT(L334,5)</f>
        <v>T3KAM</v>
      </c>
      <c r="O334" s="18" t="s">
        <v>862</v>
      </c>
      <c r="P334" s="19" t="s">
        <v>837</v>
      </c>
      <c r="Q334" s="20" t="s">
        <v>1000</v>
      </c>
      <c r="R334" s="21" t="s">
        <v>225</v>
      </c>
      <c r="S334" s="22">
        <f t="shared" si="121"/>
        <v>1</v>
      </c>
      <c r="T334" s="22"/>
      <c r="U334" s="22"/>
      <c r="V334" s="22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>
        <v>1</v>
      </c>
      <c r="AJ334" s="23"/>
      <c r="AK334" s="23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spans="1:52" s="26" customFormat="1" ht="15" customHeight="1" outlineLevel="1" x14ac:dyDescent="0.45">
      <c r="A335" s="129"/>
      <c r="B335" s="129"/>
      <c r="C335" s="129"/>
      <c r="D335" s="130"/>
      <c r="E335" s="130"/>
      <c r="F335" s="131"/>
      <c r="G335" s="131"/>
      <c r="H335" s="131"/>
      <c r="I335" s="131"/>
      <c r="J335" s="130"/>
      <c r="K335" s="130"/>
      <c r="L335" s="131"/>
      <c r="M335" s="130"/>
      <c r="N335" s="139" t="s">
        <v>1040</v>
      </c>
      <c r="O335" s="132"/>
      <c r="P335" s="133"/>
      <c r="Q335" s="134"/>
      <c r="R335" s="135"/>
      <c r="S335" s="136">
        <f t="shared" ref="S335:AZ335" si="125">SUBTOTAL(9,S334:S334)</f>
        <v>1</v>
      </c>
      <c r="T335" s="136">
        <f t="shared" si="125"/>
        <v>0</v>
      </c>
      <c r="U335" s="136">
        <f t="shared" si="125"/>
        <v>0</v>
      </c>
      <c r="V335" s="136">
        <f t="shared" si="125"/>
        <v>0</v>
      </c>
      <c r="W335" s="137">
        <f t="shared" si="125"/>
        <v>0</v>
      </c>
      <c r="X335" s="137">
        <f t="shared" si="125"/>
        <v>0</v>
      </c>
      <c r="Y335" s="137">
        <f t="shared" si="125"/>
        <v>0</v>
      </c>
      <c r="Z335" s="137">
        <f t="shared" si="125"/>
        <v>0</v>
      </c>
      <c r="AA335" s="137">
        <f t="shared" si="125"/>
        <v>0</v>
      </c>
      <c r="AB335" s="137">
        <f t="shared" si="125"/>
        <v>0</v>
      </c>
      <c r="AC335" s="137">
        <f t="shared" si="125"/>
        <v>0</v>
      </c>
      <c r="AD335" s="137">
        <f t="shared" si="125"/>
        <v>0</v>
      </c>
      <c r="AE335" s="137">
        <f t="shared" si="125"/>
        <v>0</v>
      </c>
      <c r="AF335" s="137">
        <f t="shared" si="125"/>
        <v>0</v>
      </c>
      <c r="AG335" s="137">
        <f t="shared" si="125"/>
        <v>0</v>
      </c>
      <c r="AH335" s="137">
        <f t="shared" si="125"/>
        <v>0</v>
      </c>
      <c r="AI335" s="137">
        <f t="shared" si="125"/>
        <v>1</v>
      </c>
      <c r="AJ335" s="137">
        <f t="shared" si="125"/>
        <v>0</v>
      </c>
      <c r="AK335" s="137">
        <f t="shared" si="125"/>
        <v>0</v>
      </c>
      <c r="AL335" s="138">
        <f t="shared" si="125"/>
        <v>0</v>
      </c>
      <c r="AM335" s="138">
        <f t="shared" si="125"/>
        <v>0</v>
      </c>
      <c r="AN335" s="138">
        <f t="shared" si="125"/>
        <v>0</v>
      </c>
      <c r="AO335" s="138">
        <f t="shared" si="125"/>
        <v>0</v>
      </c>
      <c r="AP335" s="138">
        <f t="shared" si="125"/>
        <v>0</v>
      </c>
      <c r="AQ335" s="138">
        <f t="shared" si="125"/>
        <v>0</v>
      </c>
      <c r="AR335" s="138">
        <f t="shared" si="125"/>
        <v>0</v>
      </c>
      <c r="AS335" s="138">
        <f t="shared" si="125"/>
        <v>0</v>
      </c>
      <c r="AT335" s="138">
        <f t="shared" si="125"/>
        <v>0</v>
      </c>
      <c r="AU335" s="138">
        <f t="shared" si="125"/>
        <v>0</v>
      </c>
      <c r="AV335" s="138">
        <f t="shared" si="125"/>
        <v>0</v>
      </c>
      <c r="AW335" s="138">
        <f t="shared" si="125"/>
        <v>0</v>
      </c>
      <c r="AX335" s="138">
        <f t="shared" si="125"/>
        <v>0</v>
      </c>
      <c r="AY335" s="138">
        <f t="shared" si="125"/>
        <v>0</v>
      </c>
      <c r="AZ335" s="138">
        <f t="shared" si="125"/>
        <v>0</v>
      </c>
    </row>
    <row r="336" spans="1:52" s="36" customFormat="1" ht="15" customHeight="1" x14ac:dyDescent="0.45">
      <c r="A336" s="27"/>
      <c r="B336" s="27"/>
      <c r="C336" s="27"/>
      <c r="D336" s="28"/>
      <c r="E336" s="28"/>
      <c r="F336" s="29"/>
      <c r="G336" s="29"/>
      <c r="H336" s="29"/>
      <c r="I336" s="29"/>
      <c r="J336" s="28"/>
      <c r="K336" s="28"/>
      <c r="L336" s="29"/>
      <c r="M336" s="28"/>
      <c r="N336" s="87" t="s">
        <v>54</v>
      </c>
      <c r="O336" s="31"/>
      <c r="P336" s="32"/>
      <c r="Q336" s="33"/>
      <c r="R336" s="34"/>
      <c r="S336" s="35">
        <f>SUBTOTAL(9,S6:S335)</f>
        <v>208861</v>
      </c>
      <c r="T336" s="35">
        <f t="shared" ref="T336:AZ336" si="126">SUBTOTAL(9,T6:T335)</f>
        <v>1</v>
      </c>
      <c r="U336" s="35">
        <f t="shared" si="126"/>
        <v>87</v>
      </c>
      <c r="V336" s="35">
        <f t="shared" si="126"/>
        <v>38</v>
      </c>
      <c r="W336" s="35">
        <f t="shared" si="126"/>
        <v>882</v>
      </c>
      <c r="X336" s="35">
        <f t="shared" si="126"/>
        <v>1783</v>
      </c>
      <c r="Y336" s="35">
        <f t="shared" si="126"/>
        <v>5506</v>
      </c>
      <c r="Z336" s="35">
        <f t="shared" si="126"/>
        <v>8358</v>
      </c>
      <c r="AA336" s="35">
        <f t="shared" si="126"/>
        <v>16655</v>
      </c>
      <c r="AB336" s="35">
        <f t="shared" si="126"/>
        <v>16127</v>
      </c>
      <c r="AC336" s="35">
        <f t="shared" si="126"/>
        <v>24394</v>
      </c>
      <c r="AD336" s="35">
        <f t="shared" si="126"/>
        <v>23166</v>
      </c>
      <c r="AE336" s="35">
        <f t="shared" si="126"/>
        <v>24496</v>
      </c>
      <c r="AF336" s="35">
        <f t="shared" si="126"/>
        <v>21712</v>
      </c>
      <c r="AG336" s="35">
        <f t="shared" si="126"/>
        <v>21643</v>
      </c>
      <c r="AH336" s="35">
        <f t="shared" si="126"/>
        <v>12393</v>
      </c>
      <c r="AI336" s="35">
        <f t="shared" si="126"/>
        <v>13346</v>
      </c>
      <c r="AJ336" s="35">
        <f t="shared" si="126"/>
        <v>4389</v>
      </c>
      <c r="AK336" s="35">
        <f t="shared" si="126"/>
        <v>8016</v>
      </c>
      <c r="AL336" s="35">
        <f t="shared" si="126"/>
        <v>1022</v>
      </c>
      <c r="AM336" s="35">
        <f t="shared" si="126"/>
        <v>3699</v>
      </c>
      <c r="AN336" s="35">
        <f t="shared" si="126"/>
        <v>6</v>
      </c>
      <c r="AO336" s="35">
        <f t="shared" si="126"/>
        <v>782</v>
      </c>
      <c r="AP336" s="35">
        <f t="shared" si="126"/>
        <v>0</v>
      </c>
      <c r="AQ336" s="35">
        <f t="shared" si="126"/>
        <v>351</v>
      </c>
      <c r="AR336" s="35">
        <f t="shared" si="126"/>
        <v>0</v>
      </c>
      <c r="AS336" s="35">
        <f t="shared" si="126"/>
        <v>2</v>
      </c>
      <c r="AT336" s="35">
        <f t="shared" si="126"/>
        <v>0</v>
      </c>
      <c r="AU336" s="35">
        <f t="shared" si="126"/>
        <v>4</v>
      </c>
      <c r="AV336" s="35">
        <f t="shared" si="126"/>
        <v>0</v>
      </c>
      <c r="AW336" s="35">
        <f t="shared" si="126"/>
        <v>3</v>
      </c>
      <c r="AX336" s="35">
        <f t="shared" si="126"/>
        <v>0</v>
      </c>
      <c r="AY336" s="35">
        <f t="shared" si="126"/>
        <v>0</v>
      </c>
      <c r="AZ336" s="35">
        <f t="shared" si="126"/>
        <v>0</v>
      </c>
    </row>
  </sheetData>
  <autoFilter ref="A5:AZ334"/>
  <mergeCells count="1">
    <mergeCell ref="A2:AZ2"/>
  </mergeCells>
  <conditionalFormatting sqref="L5">
    <cfRule type="duplicateValues" dxfId="840" priority="351"/>
  </conditionalFormatting>
  <conditionalFormatting sqref="M5">
    <cfRule type="duplicateValues" dxfId="839" priority="350"/>
  </conditionalFormatting>
  <conditionalFormatting sqref="L5">
    <cfRule type="duplicateValues" dxfId="838" priority="349"/>
  </conditionalFormatting>
  <conditionalFormatting sqref="L5">
    <cfRule type="duplicateValues" dxfId="837" priority="348"/>
  </conditionalFormatting>
  <conditionalFormatting sqref="L5">
    <cfRule type="duplicateValues" dxfId="836" priority="347"/>
  </conditionalFormatting>
  <conditionalFormatting sqref="C5">
    <cfRule type="duplicateValues" dxfId="835" priority="352"/>
    <cfRule type="duplicateValues" dxfId="834" priority="353"/>
  </conditionalFormatting>
  <conditionalFormatting sqref="C5">
    <cfRule type="duplicateValues" dxfId="833" priority="354"/>
  </conditionalFormatting>
  <conditionalFormatting sqref="W5:AK5">
    <cfRule type="duplicateValues" dxfId="832" priority="355"/>
  </conditionalFormatting>
  <conditionalFormatting sqref="C5">
    <cfRule type="duplicateValues" dxfId="831" priority="346"/>
  </conditionalFormatting>
  <conditionalFormatting sqref="L5">
    <cfRule type="duplicateValues" dxfId="830" priority="345"/>
  </conditionalFormatting>
  <conditionalFormatting sqref="C5">
    <cfRule type="duplicateValues" dxfId="829" priority="344"/>
  </conditionalFormatting>
  <conditionalFormatting sqref="L5">
    <cfRule type="duplicateValues" dxfId="828" priority="343"/>
  </conditionalFormatting>
  <conditionalFormatting sqref="C5">
    <cfRule type="duplicateValues" dxfId="827" priority="342"/>
  </conditionalFormatting>
  <conditionalFormatting sqref="L5">
    <cfRule type="duplicateValues" dxfId="826" priority="341"/>
  </conditionalFormatting>
  <conditionalFormatting sqref="C5">
    <cfRule type="duplicateValues" dxfId="825" priority="340"/>
  </conditionalFormatting>
  <conditionalFormatting sqref="L5">
    <cfRule type="duplicateValues" dxfId="824" priority="339"/>
  </conditionalFormatting>
  <conditionalFormatting sqref="C5">
    <cfRule type="duplicateValues" dxfId="823" priority="338"/>
  </conditionalFormatting>
  <conditionalFormatting sqref="L5">
    <cfRule type="duplicateValues" dxfId="822" priority="337"/>
  </conditionalFormatting>
  <conditionalFormatting sqref="C5">
    <cfRule type="duplicateValues" dxfId="821" priority="336"/>
  </conditionalFormatting>
  <conditionalFormatting sqref="L5">
    <cfRule type="duplicateValues" dxfId="820" priority="335"/>
  </conditionalFormatting>
  <conditionalFormatting sqref="C5">
    <cfRule type="duplicateValues" dxfId="819" priority="334"/>
  </conditionalFormatting>
  <conditionalFormatting sqref="C5">
    <cfRule type="duplicateValues" dxfId="818" priority="333"/>
  </conditionalFormatting>
  <conditionalFormatting sqref="C5">
    <cfRule type="duplicateValues" dxfId="817" priority="332"/>
  </conditionalFormatting>
  <conditionalFormatting sqref="C5">
    <cfRule type="duplicateValues" dxfId="816" priority="331"/>
  </conditionalFormatting>
  <conditionalFormatting sqref="C5">
    <cfRule type="duplicateValues" dxfId="815" priority="330"/>
  </conditionalFormatting>
  <conditionalFormatting sqref="C5">
    <cfRule type="duplicateValues" dxfId="814" priority="329"/>
  </conditionalFormatting>
  <conditionalFormatting sqref="C5">
    <cfRule type="duplicateValues" dxfId="813" priority="328"/>
  </conditionalFormatting>
  <conditionalFormatting sqref="C5">
    <cfRule type="duplicateValues" dxfId="812" priority="327"/>
  </conditionalFormatting>
  <conditionalFormatting sqref="C5">
    <cfRule type="duplicateValues" dxfId="811" priority="326"/>
  </conditionalFormatting>
  <conditionalFormatting sqref="C5">
    <cfRule type="duplicateValues" dxfId="810" priority="325"/>
  </conditionalFormatting>
  <conditionalFormatting sqref="A5:XFD5">
    <cfRule type="duplicateValues" dxfId="809" priority="356"/>
  </conditionalFormatting>
  <conditionalFormatting sqref="K6:K84 K336 K87:K94 K96:K101 K105:K166">
    <cfRule type="expression" dxfId="808" priority="313" stopIfTrue="1">
      <formula>AND(COUNTIF($K$23820:$K$23820, K6)&gt;1,NOT(ISBLANK(K6)))</formula>
    </cfRule>
  </conditionalFormatting>
  <conditionalFormatting sqref="K6:K84 K336 K87:K94 K96:K101 K105:K166">
    <cfRule type="expression" dxfId="807" priority="314" stopIfTrue="1">
      <formula>AND(COUNTIF(#REF!, K6)+COUNTIF($K$27215:$K$27221, K6)+COUNTIF($K$27294:$K$27294, K6)+COUNTIF($K$27318:$K$27318, K6)+COUNTIF($K$27259:$K$27263, K6)+COUNTIF($K$27314:$K$27314, K6)+COUNTIF($K$27279:$K$27279, K6)+COUNTIF($K$27288:$K$27288, K6)+COUNTIF($K$27300:$K$27302, K6)+COUNTIF($K$27173:$K$27178, K6)+COUNTIF($K$27308:$K$27308, K6)+COUNTIF($K$27306:$K$27306, K6)+COUNTIF($K$27312:$K$27312, K6)+COUNTIF($K$27276:$K$27277, K6)+COUNTIF($K$27286:$K$27286, K6)+COUNTIF($K$27291:$K$27291, K6)+COUNTIF($K$27029:$K$27032, K6)+COUNTIF($K$27070:$K$27077, K6)+COUNTIF($K$27083:$K$27086, K6)+COUNTIF($K$27088:$K$27095, K6)+COUNTIF($K$26974:$K$26983, K6)+COUNTIF($K$27009:$K$27013, K6)+COUNTIF($K$26707:$K$26720, K6)+COUNTIF($K$26563:$K$26581, K6)+COUNTIF($K$26680:$K$26686, K6)+COUNTIF($K$26629:$K$26640, K6)+COUNTIF($K$26649:$K$26651, K6)+COUNTIF($K$26669:$K$26672, K6)+COUNTIF($K$26583:$K$26609, K6)+COUNTIF($K$23785:$K$26519, K6)+COUNTIF($K$26537:$K$26545, K6)+COUNTIF($K$26689:$K$26692, K6)+COUNTIF($K$27035:$K$27036, K6)+COUNTIF($K$27181:$K$27182, K6)+COUNTIF($K$27224:$K$27231, K6)+COUNTIF($K$27110:$K$27116, K6)+COUNTIF($K$27098:$K$27105, K6)&gt;1,NOT(ISBLANK(K6)))</formula>
    </cfRule>
  </conditionalFormatting>
  <conditionalFormatting sqref="K6:K84 K336 K87:K94 K96:K101 K105:K166">
    <cfRule type="expression" dxfId="806" priority="315" stopIfTrue="1">
      <formula>AND(COUNTIF(#REF!, K6)+COUNTIF($K$26858:$K$26864, K6)+COUNTIF($K$26937:$K$26937, K6)+COUNTIF($K$26961:$K$26961, K6)+COUNTIF($K$26902:$K$26906, K6)+COUNTIF($K$26957:$K$26957, K6)+COUNTIF($K$26922:$K$26922, K6)+COUNTIF($K$26931:$K$26931, K6)+COUNTIF($K$26943:$K$26945, K6)+COUNTIF($K$26816:$K$26821, K6)+COUNTIF($K$26951:$K$26951, K6)+COUNTIF($K$26949:$K$26949, K6)+COUNTIF($K$26955:$K$26955, K6)+COUNTIF($K$26919:$K$26920, K6)+COUNTIF($K$26929:$K$26929, K6)+COUNTIF($K$26934:$K$26934, K6)+COUNTIF($K$26672:$K$26675, K6)+COUNTIF($K$26713:$K$26720, K6)+COUNTIF($K$26726:$K$26729, K6)+COUNTIF($K$26731:$K$26738, K6)+COUNTIF($K$26617:$K$26626, K6)+COUNTIF($K$26652:$K$26656, K6)+COUNTIF($K$26350:$K$26363, K6)+COUNTIF($K$26206:$K$26224, K6)+COUNTIF($K$26323:$K$26329, K6)+COUNTIF($K$26272:$K$26283, K6)+COUNTIF($K$26292:$K$26294, K6)+COUNTIF($K$26312:$K$26315, K6)+COUNTIF($K$26226:$K$26252, K6)+COUNTIF($K$23785:$K$26162, K6)+COUNTIF($K$26180:$K$26188, K6)+COUNTIF($K$26332:$K$26335, K6)+COUNTIF($K$26678:$K$26679, K6)+COUNTIF($K$26824:$K$26825, K6)+COUNTIF($K$26867:$K$26874, K6)+COUNTIF($K$26753:$K$26759, K6)+COUNTIF($K$26741:$K$26748, K6)&gt;1,NOT(ISBLANK(K6)))</formula>
    </cfRule>
  </conditionalFormatting>
  <conditionalFormatting sqref="L6:L84 L336 L87:L94 L96:L101 L105:L166">
    <cfRule type="expression" dxfId="805" priority="316" stopIfTrue="1">
      <formula>AND(COUNTIF($K$23045:$K$23045, L6)&gt;1,NOT(ISBLANK(L6)))</formula>
    </cfRule>
  </conditionalFormatting>
  <conditionalFormatting sqref="L6:L84 L336 L87:L94 L96:L101 L105:L166">
    <cfRule type="expression" dxfId="804" priority="317" stopIfTrue="1">
      <formula>AND(COUNTIF(#REF!, L6)+COUNTIF($K$26440:$K$26446, L6)+COUNTIF($K$26519:$K$26519, L6)+COUNTIF($K$26543:$K$26543, L6)+COUNTIF($K$26484:$K$26488, L6)+COUNTIF($K$26539:$K$26539, L6)+COUNTIF($K$26504:$K$26504, L6)+COUNTIF($K$26513:$K$26513, L6)+COUNTIF($K$26525:$K$26527, L6)+COUNTIF($K$26398:$K$26403, L6)+COUNTIF($K$26533:$K$26533, L6)+COUNTIF($K$26531:$K$26531, L6)+COUNTIF($K$26537:$K$26537, L6)+COUNTIF($K$26501:$K$26502, L6)+COUNTIF($K$26511:$K$26511, L6)+COUNTIF($K$26516:$K$26516, L6)+COUNTIF($K$26254:$K$26257, L6)+COUNTIF($K$26295:$K$26302, L6)+COUNTIF($K$26308:$K$26311, L6)+COUNTIF($K$26313:$K$26320, L6)+COUNTIF($K$26199:$K$26208, L6)+COUNTIF($K$26234:$K$26238, L6)+COUNTIF($K$25932:$K$25945, L6)+COUNTIF($K$25788:$K$25806, L6)+COUNTIF($K$25905:$K$25911, L6)+COUNTIF($K$25854:$K$25865, L6)+COUNTIF($K$25874:$K$25876, L6)+COUNTIF($K$25894:$K$25897, L6)+COUNTIF($K$25808:$K$25834, L6)+COUNTIF($K$23010:$K$25744, L6)+COUNTIF($K$25762:$K$25770, L6)+COUNTIF($K$25914:$K$25917, L6)+COUNTIF($K$26260:$K$26261, L6)+COUNTIF($K$26406:$K$26407, L6)+COUNTIF($K$26449:$K$26456, L6)+COUNTIF($K$26335:$K$26341, L6)+COUNTIF($K$26323:$K$26330, L6)&gt;1,NOT(ISBLANK(L6)))</formula>
    </cfRule>
  </conditionalFormatting>
  <conditionalFormatting sqref="L6:L84 L336 L87:L94 L96:L101 L105:L166">
    <cfRule type="expression" dxfId="803" priority="318" stopIfTrue="1">
      <formula>AND(COUNTIF(#REF!, L6)+COUNTIF($K$26083:$K$26089, L6)+COUNTIF($K$26162:$K$26162, L6)+COUNTIF($K$26186:$K$26186, L6)+COUNTIF($K$26127:$K$26131, L6)+COUNTIF($K$26182:$K$26182, L6)+COUNTIF($K$26147:$K$26147, L6)+COUNTIF($K$26156:$K$26156, L6)+COUNTIF($K$26168:$K$26170, L6)+COUNTIF($K$26041:$K$26046, L6)+COUNTIF($K$26176:$K$26176, L6)+COUNTIF($K$26174:$K$26174, L6)+COUNTIF($K$26180:$K$26180, L6)+COUNTIF($K$26144:$K$26145, L6)+COUNTIF($K$26154:$K$26154, L6)+COUNTIF($K$26159:$K$26159, L6)+COUNTIF($K$25897:$K$25900, L6)+COUNTIF($K$25938:$K$25945, L6)+COUNTIF($K$25951:$K$25954, L6)+COUNTIF($K$25956:$K$25963, L6)+COUNTIF($K$25842:$K$25851, L6)+COUNTIF($K$25877:$K$25881, L6)+COUNTIF($K$25575:$K$25588, L6)+COUNTIF($K$25431:$K$25449, L6)+COUNTIF($K$25548:$K$25554, L6)+COUNTIF($K$25497:$K$25508, L6)+COUNTIF($K$25517:$K$25519, L6)+COUNTIF($K$25537:$K$25540, L6)+COUNTIF($K$25451:$K$25477, L6)+COUNTIF($K$23010:$K$25387, L6)+COUNTIF($K$25405:$K$25413, L6)+COUNTIF($K$25557:$K$25560, L6)+COUNTIF($K$25903:$K$25904, L6)+COUNTIF($K$26049:$K$26050, L6)+COUNTIF($K$26092:$K$26099, L6)+COUNTIF($K$25978:$K$25984, L6)+COUNTIF($K$25966:$K$25973, L6)&gt;1,NOT(ISBLANK(L6)))</formula>
    </cfRule>
  </conditionalFormatting>
  <conditionalFormatting sqref="C6:C84 C336 C87:C94 C96:C101 C105:C166">
    <cfRule type="duplicateValues" dxfId="802" priority="319"/>
  </conditionalFormatting>
  <conditionalFormatting sqref="L6:L84 L336 L87:L94 L96:L101 L105:L166">
    <cfRule type="duplicateValues" dxfId="801" priority="320"/>
  </conditionalFormatting>
  <conditionalFormatting sqref="C6:C84 C336 C87:C94 C96:C101 C105:C166">
    <cfRule type="duplicateValues" dxfId="800" priority="321"/>
    <cfRule type="duplicateValues" dxfId="799" priority="322"/>
  </conditionalFormatting>
  <conditionalFormatting sqref="C6:C84 C87:C94 C96:C101 C105:C166">
    <cfRule type="duplicateValues" dxfId="798" priority="323"/>
  </conditionalFormatting>
  <conditionalFormatting sqref="L6:L84 L87:L94 L96:L101 L105:L166">
    <cfRule type="duplicateValues" dxfId="797" priority="324"/>
  </conditionalFormatting>
  <conditionalFormatting sqref="K172">
    <cfRule type="expression" dxfId="796" priority="301" stopIfTrue="1">
      <formula>AND(COUNTIF($K$23820:$K$23820, K172)&gt;1,NOT(ISBLANK(K172)))</formula>
    </cfRule>
  </conditionalFormatting>
  <conditionalFormatting sqref="K172">
    <cfRule type="expression" dxfId="795" priority="302" stopIfTrue="1">
      <formula>AND(COUNTIF(#REF!, K172)+COUNTIF($K$27215:$K$27221, K172)+COUNTIF($K$27294:$K$27294, K172)+COUNTIF($K$27318:$K$27318, K172)+COUNTIF($K$27259:$K$27263, K172)+COUNTIF($K$27314:$K$27314, K172)+COUNTIF($K$27279:$K$27279, K172)+COUNTIF($K$27288:$K$27288, K172)+COUNTIF($K$27300:$K$27302, K172)+COUNTIF($K$27173:$K$27178, K172)+COUNTIF($K$27308:$K$27308, K172)+COUNTIF($K$27306:$K$27306, K172)+COUNTIF($K$27312:$K$27312, K172)+COUNTIF($K$27276:$K$27277, K172)+COUNTIF($K$27286:$K$27286, K172)+COUNTIF($K$27291:$K$27291, K172)+COUNTIF($K$27029:$K$27032, K172)+COUNTIF($K$27070:$K$27077, K172)+COUNTIF($K$27083:$K$27086, K172)+COUNTIF($K$27088:$K$27095, K172)+COUNTIF($K$26974:$K$26983, K172)+COUNTIF($K$27009:$K$27013, K172)+COUNTIF($K$26707:$K$26720, K172)+COUNTIF($K$26563:$K$26581, K172)+COUNTIF($K$26680:$K$26686, K172)+COUNTIF($K$26629:$K$26640, K172)+COUNTIF($K$26649:$K$26651, K172)+COUNTIF($K$26669:$K$26672, K172)+COUNTIF($K$26583:$K$26609, K172)+COUNTIF($K$23785:$K$26519, K172)+COUNTIF($K$26537:$K$26545, K172)+COUNTIF($K$26689:$K$26692, K172)+COUNTIF($K$27035:$K$27036, K172)+COUNTIF($K$27181:$K$27182, K172)+COUNTIF($K$27224:$K$27231, K172)+COUNTIF($K$27110:$K$27116, K172)+COUNTIF($K$27098:$K$27105, K172)&gt;1,NOT(ISBLANK(K172)))</formula>
    </cfRule>
  </conditionalFormatting>
  <conditionalFormatting sqref="K172">
    <cfRule type="expression" dxfId="794" priority="303" stopIfTrue="1">
      <formula>AND(COUNTIF(#REF!, K172)+COUNTIF($K$26858:$K$26864, K172)+COUNTIF($K$26937:$K$26937, K172)+COUNTIF($K$26961:$K$26961, K172)+COUNTIF($K$26902:$K$26906, K172)+COUNTIF($K$26957:$K$26957, K172)+COUNTIF($K$26922:$K$26922, K172)+COUNTIF($K$26931:$K$26931, K172)+COUNTIF($K$26943:$K$26945, K172)+COUNTIF($K$26816:$K$26821, K172)+COUNTIF($K$26951:$K$26951, K172)+COUNTIF($K$26949:$K$26949, K172)+COUNTIF($K$26955:$K$26955, K172)+COUNTIF($K$26919:$K$26920, K172)+COUNTIF($K$26929:$K$26929, K172)+COUNTIF($K$26934:$K$26934, K172)+COUNTIF($K$26672:$K$26675, K172)+COUNTIF($K$26713:$K$26720, K172)+COUNTIF($K$26726:$K$26729, K172)+COUNTIF($K$26731:$K$26738, K172)+COUNTIF($K$26617:$K$26626, K172)+COUNTIF($K$26652:$K$26656, K172)+COUNTIF($K$26350:$K$26363, K172)+COUNTIF($K$26206:$K$26224, K172)+COUNTIF($K$26323:$K$26329, K172)+COUNTIF($K$26272:$K$26283, K172)+COUNTIF($K$26292:$K$26294, K172)+COUNTIF($K$26312:$K$26315, K172)+COUNTIF($K$26226:$K$26252, K172)+COUNTIF($K$23785:$K$26162, K172)+COUNTIF($K$26180:$K$26188, K172)+COUNTIF($K$26332:$K$26335, K172)+COUNTIF($K$26678:$K$26679, K172)+COUNTIF($K$26824:$K$26825, K172)+COUNTIF($K$26867:$K$26874, K172)+COUNTIF($K$26753:$K$26759, K172)+COUNTIF($K$26741:$K$26748, K172)&gt;1,NOT(ISBLANK(K172)))</formula>
    </cfRule>
  </conditionalFormatting>
  <conditionalFormatting sqref="L172">
    <cfRule type="expression" dxfId="793" priority="304" stopIfTrue="1">
      <formula>AND(COUNTIF($K$23045:$K$23045, L172)&gt;1,NOT(ISBLANK(L172)))</formula>
    </cfRule>
  </conditionalFormatting>
  <conditionalFormatting sqref="L172">
    <cfRule type="expression" dxfId="792" priority="305" stopIfTrue="1">
      <formula>AND(COUNTIF(#REF!, L172)+COUNTIF($K$26440:$K$26446, L172)+COUNTIF($K$26519:$K$26519, L172)+COUNTIF($K$26543:$K$26543, L172)+COUNTIF($K$26484:$K$26488, L172)+COUNTIF($K$26539:$K$26539, L172)+COUNTIF($K$26504:$K$26504, L172)+COUNTIF($K$26513:$K$26513, L172)+COUNTIF($K$26525:$K$26527, L172)+COUNTIF($K$26398:$K$26403, L172)+COUNTIF($K$26533:$K$26533, L172)+COUNTIF($K$26531:$K$26531, L172)+COUNTIF($K$26537:$K$26537, L172)+COUNTIF($K$26501:$K$26502, L172)+COUNTIF($K$26511:$K$26511, L172)+COUNTIF($K$26516:$K$26516, L172)+COUNTIF($K$26254:$K$26257, L172)+COUNTIF($K$26295:$K$26302, L172)+COUNTIF($K$26308:$K$26311, L172)+COUNTIF($K$26313:$K$26320, L172)+COUNTIF($K$26199:$K$26208, L172)+COUNTIF($K$26234:$K$26238, L172)+COUNTIF($K$25932:$K$25945, L172)+COUNTIF($K$25788:$K$25806, L172)+COUNTIF($K$25905:$K$25911, L172)+COUNTIF($K$25854:$K$25865, L172)+COUNTIF($K$25874:$K$25876, L172)+COUNTIF($K$25894:$K$25897, L172)+COUNTIF($K$25808:$K$25834, L172)+COUNTIF($K$23010:$K$25744, L172)+COUNTIF($K$25762:$K$25770, L172)+COUNTIF($K$25914:$K$25917, L172)+COUNTIF($K$26260:$K$26261, L172)+COUNTIF($K$26406:$K$26407, L172)+COUNTIF($K$26449:$K$26456, L172)+COUNTIF($K$26335:$K$26341, L172)+COUNTIF($K$26323:$K$26330, L172)&gt;1,NOT(ISBLANK(L172)))</formula>
    </cfRule>
  </conditionalFormatting>
  <conditionalFormatting sqref="L172">
    <cfRule type="expression" dxfId="791" priority="306" stopIfTrue="1">
      <formula>AND(COUNTIF(#REF!, L172)+COUNTIF($K$26083:$K$26089, L172)+COUNTIF($K$26162:$K$26162, L172)+COUNTIF($K$26186:$K$26186, L172)+COUNTIF($K$26127:$K$26131, L172)+COUNTIF($K$26182:$K$26182, L172)+COUNTIF($K$26147:$K$26147, L172)+COUNTIF($K$26156:$K$26156, L172)+COUNTIF($K$26168:$K$26170, L172)+COUNTIF($K$26041:$K$26046, L172)+COUNTIF($K$26176:$K$26176, L172)+COUNTIF($K$26174:$K$26174, L172)+COUNTIF($K$26180:$K$26180, L172)+COUNTIF($K$26144:$K$26145, L172)+COUNTIF($K$26154:$K$26154, L172)+COUNTIF($K$26159:$K$26159, L172)+COUNTIF($K$25897:$K$25900, L172)+COUNTIF($K$25938:$K$25945, L172)+COUNTIF($K$25951:$K$25954, L172)+COUNTIF($K$25956:$K$25963, L172)+COUNTIF($K$25842:$K$25851, L172)+COUNTIF($K$25877:$K$25881, L172)+COUNTIF($K$25575:$K$25588, L172)+COUNTIF($K$25431:$K$25449, L172)+COUNTIF($K$25548:$K$25554, L172)+COUNTIF($K$25497:$K$25508, L172)+COUNTIF($K$25517:$K$25519, L172)+COUNTIF($K$25537:$K$25540, L172)+COUNTIF($K$25451:$K$25477, L172)+COUNTIF($K$23010:$K$25387, L172)+COUNTIF($K$25405:$K$25413, L172)+COUNTIF($K$25557:$K$25560, L172)+COUNTIF($K$25903:$K$25904, L172)+COUNTIF($K$26049:$K$26050, L172)+COUNTIF($K$26092:$K$26099, L172)+COUNTIF($K$25978:$K$25984, L172)+COUNTIF($K$25966:$K$25973, L172)&gt;1,NOT(ISBLANK(L172)))</formula>
    </cfRule>
  </conditionalFormatting>
  <conditionalFormatting sqref="C172">
    <cfRule type="duplicateValues" dxfId="790" priority="307"/>
  </conditionalFormatting>
  <conditionalFormatting sqref="L172">
    <cfRule type="duplicateValues" dxfId="789" priority="308"/>
  </conditionalFormatting>
  <conditionalFormatting sqref="C172">
    <cfRule type="duplicateValues" dxfId="788" priority="309"/>
    <cfRule type="duplicateValues" dxfId="787" priority="310"/>
  </conditionalFormatting>
  <conditionalFormatting sqref="C172">
    <cfRule type="duplicateValues" dxfId="786" priority="311"/>
  </conditionalFormatting>
  <conditionalFormatting sqref="L172">
    <cfRule type="duplicateValues" dxfId="785" priority="312"/>
  </conditionalFormatting>
  <conditionalFormatting sqref="C1 C4">
    <cfRule type="duplicateValues" dxfId="784" priority="300"/>
  </conditionalFormatting>
  <conditionalFormatting sqref="L1 L4">
    <cfRule type="duplicateValues" dxfId="783" priority="299"/>
  </conditionalFormatting>
  <conditionalFormatting sqref="C1">
    <cfRule type="duplicateValues" dxfId="782" priority="298"/>
  </conditionalFormatting>
  <conditionalFormatting sqref="L1">
    <cfRule type="duplicateValues" dxfId="781" priority="297"/>
  </conditionalFormatting>
  <conditionalFormatting sqref="C1">
    <cfRule type="duplicateValues" dxfId="780" priority="296"/>
  </conditionalFormatting>
  <conditionalFormatting sqref="L1">
    <cfRule type="duplicateValues" dxfId="779" priority="295"/>
  </conditionalFormatting>
  <conditionalFormatting sqref="C1">
    <cfRule type="duplicateValues" dxfId="778" priority="294"/>
  </conditionalFormatting>
  <conditionalFormatting sqref="L1">
    <cfRule type="duplicateValues" dxfId="777" priority="293"/>
  </conditionalFormatting>
  <conditionalFormatting sqref="C1">
    <cfRule type="duplicateValues" dxfId="776" priority="292"/>
  </conditionalFormatting>
  <conditionalFormatting sqref="L1">
    <cfRule type="duplicateValues" dxfId="775" priority="291"/>
  </conditionalFormatting>
  <conditionalFormatting sqref="C1">
    <cfRule type="duplicateValues" dxfId="774" priority="290"/>
  </conditionalFormatting>
  <conditionalFormatting sqref="L1">
    <cfRule type="duplicateValues" dxfId="773" priority="289"/>
  </conditionalFormatting>
  <conditionalFormatting sqref="C1">
    <cfRule type="duplicateValues" dxfId="772" priority="288"/>
  </conditionalFormatting>
  <conditionalFormatting sqref="C1">
    <cfRule type="duplicateValues" dxfId="771" priority="287"/>
  </conditionalFormatting>
  <conditionalFormatting sqref="C1">
    <cfRule type="duplicateValues" dxfId="770" priority="286"/>
  </conditionalFormatting>
  <conditionalFormatting sqref="C1">
    <cfRule type="duplicateValues" dxfId="769" priority="285"/>
  </conditionalFormatting>
  <conditionalFormatting sqref="C1">
    <cfRule type="duplicateValues" dxfId="768" priority="284"/>
  </conditionalFormatting>
  <conditionalFormatting sqref="C1">
    <cfRule type="duplicateValues" dxfId="767" priority="283"/>
  </conditionalFormatting>
  <conditionalFormatting sqref="C1">
    <cfRule type="duplicateValues" dxfId="766" priority="282"/>
  </conditionalFormatting>
  <conditionalFormatting sqref="C1">
    <cfRule type="duplicateValues" dxfId="765" priority="281"/>
  </conditionalFormatting>
  <conditionalFormatting sqref="C1">
    <cfRule type="duplicateValues" dxfId="764" priority="280"/>
  </conditionalFormatting>
  <conditionalFormatting sqref="C1">
    <cfRule type="duplicateValues" dxfId="763" priority="279"/>
  </conditionalFormatting>
  <conditionalFormatting sqref="C2:C3">
    <cfRule type="duplicateValues" dxfId="762" priority="244"/>
  </conditionalFormatting>
  <conditionalFormatting sqref="C2:C3">
    <cfRule type="duplicateValues" dxfId="761" priority="242"/>
  </conditionalFormatting>
  <conditionalFormatting sqref="C2:C3">
    <cfRule type="duplicateValues" dxfId="760" priority="240"/>
  </conditionalFormatting>
  <conditionalFormatting sqref="C2:C3">
    <cfRule type="duplicateValues" dxfId="759" priority="238"/>
  </conditionalFormatting>
  <conditionalFormatting sqref="C2:C3">
    <cfRule type="duplicateValues" dxfId="758" priority="236"/>
  </conditionalFormatting>
  <conditionalFormatting sqref="C2:C3">
    <cfRule type="duplicateValues" dxfId="757" priority="256"/>
  </conditionalFormatting>
  <conditionalFormatting sqref="L2:L3">
    <cfRule type="duplicateValues" dxfId="756" priority="255"/>
  </conditionalFormatting>
  <conditionalFormatting sqref="C2:C3">
    <cfRule type="duplicateValues" dxfId="755" priority="254"/>
  </conditionalFormatting>
  <conditionalFormatting sqref="L2:L3">
    <cfRule type="duplicateValues" dxfId="754" priority="253"/>
  </conditionalFormatting>
  <conditionalFormatting sqref="C2:C3">
    <cfRule type="duplicateValues" dxfId="753" priority="252"/>
  </conditionalFormatting>
  <conditionalFormatting sqref="L2:L3">
    <cfRule type="duplicateValues" dxfId="752" priority="251"/>
  </conditionalFormatting>
  <conditionalFormatting sqref="C2:C3">
    <cfRule type="duplicateValues" dxfId="751" priority="250"/>
  </conditionalFormatting>
  <conditionalFormatting sqref="L2:L3">
    <cfRule type="duplicateValues" dxfId="750" priority="249"/>
  </conditionalFormatting>
  <conditionalFormatting sqref="C2:C3">
    <cfRule type="duplicateValues" dxfId="749" priority="248"/>
  </conditionalFormatting>
  <conditionalFormatting sqref="L2:L3">
    <cfRule type="duplicateValues" dxfId="748" priority="247"/>
  </conditionalFormatting>
  <conditionalFormatting sqref="C2:C3">
    <cfRule type="duplicateValues" dxfId="747" priority="246"/>
  </conditionalFormatting>
  <conditionalFormatting sqref="L2:L3">
    <cfRule type="duplicateValues" dxfId="746" priority="245"/>
  </conditionalFormatting>
  <conditionalFormatting sqref="C2:C3">
    <cfRule type="duplicateValues" dxfId="745" priority="243"/>
  </conditionalFormatting>
  <conditionalFormatting sqref="C2:C3">
    <cfRule type="duplicateValues" dxfId="744" priority="241"/>
  </conditionalFormatting>
  <conditionalFormatting sqref="C2:C3">
    <cfRule type="duplicateValues" dxfId="743" priority="239"/>
  </conditionalFormatting>
  <conditionalFormatting sqref="C2:C3">
    <cfRule type="duplicateValues" dxfId="742" priority="237"/>
  </conditionalFormatting>
  <conditionalFormatting sqref="C2:C3">
    <cfRule type="duplicateValues" dxfId="741" priority="235"/>
  </conditionalFormatting>
  <conditionalFormatting sqref="K173:K181">
    <cfRule type="expression" dxfId="740" priority="223" stopIfTrue="1">
      <formula>AND(COUNTIF($K$23771:$K$23771, K173)&gt;1,NOT(ISBLANK(K173)))</formula>
    </cfRule>
  </conditionalFormatting>
  <conditionalFormatting sqref="K173:K181">
    <cfRule type="expression" dxfId="739" priority="224" stopIfTrue="1">
      <formula>AND(COUNTIF(#REF!, K173)+COUNTIF($K$27166:$K$27172, K173)+COUNTIF($K$27245:$K$27245, K173)+COUNTIF($K$27269:$K$27269, K173)+COUNTIF($K$27210:$K$27214, K173)+COUNTIF($K$27265:$K$27265, K173)+COUNTIF($K$27230:$K$27230, K173)+COUNTIF($K$27239:$K$27239, K173)+COUNTIF($K$27251:$K$27253, K173)+COUNTIF($K$27124:$K$27129, K173)+COUNTIF($K$27259:$K$27259, K173)+COUNTIF($K$27257:$K$27257, K173)+COUNTIF($K$27263:$K$27263, K173)+COUNTIF($K$27227:$K$27228, K173)+COUNTIF($K$27237:$K$27237, K173)+COUNTIF($K$27242:$K$27242, K173)+COUNTIF($K$26980:$K$26983, K173)+COUNTIF($K$27021:$K$27028, K173)+COUNTIF($K$27034:$K$27037, K173)+COUNTIF($K$27039:$K$27046, K173)+COUNTIF($K$26925:$K$26934, K173)+COUNTIF($K$26960:$K$26964, K173)+COUNTIF($K$26658:$K$26671, K173)+COUNTIF($K$26514:$K$26532, K173)+COUNTIF($K$26631:$K$26637, K173)+COUNTIF($K$26580:$K$26591, K173)+COUNTIF($K$26600:$K$26602, K173)+COUNTIF($K$26620:$K$26623, K173)+COUNTIF($K$26534:$K$26560, K173)+COUNTIF($K$23736:$K$26470, K173)+COUNTIF($K$26488:$K$26496, K173)+COUNTIF($K$26640:$K$26643, K173)+COUNTIF($K$26986:$K$26987, K173)+COUNTIF($K$27132:$K$27133, K173)+COUNTIF($K$27175:$K$27182, K173)+COUNTIF($K$27061:$K$27067, K173)+COUNTIF($K$27049:$K$27056, K173)&gt;1,NOT(ISBLANK(K173)))</formula>
    </cfRule>
  </conditionalFormatting>
  <conditionalFormatting sqref="K173:K181">
    <cfRule type="expression" dxfId="738" priority="225" stopIfTrue="1">
      <formula>AND(COUNTIF(#REF!, K173)+COUNTIF($K$26809:$K$26815, K173)+COUNTIF($K$26888:$K$26888, K173)+COUNTIF($K$26912:$K$26912, K173)+COUNTIF($K$26853:$K$26857, K173)+COUNTIF($K$26908:$K$26908, K173)+COUNTIF($K$26873:$K$26873, K173)+COUNTIF($K$26882:$K$26882, K173)+COUNTIF($K$26894:$K$26896, K173)+COUNTIF($K$26767:$K$26772, K173)+COUNTIF($K$26902:$K$26902, K173)+COUNTIF($K$26900:$K$26900, K173)+COUNTIF($K$26906:$K$26906, K173)+COUNTIF($K$26870:$K$26871, K173)+COUNTIF($K$26880:$K$26880, K173)+COUNTIF($K$26885:$K$26885, K173)+COUNTIF($K$26623:$K$26626, K173)+COUNTIF($K$26664:$K$26671, K173)+COUNTIF($K$26677:$K$26680, K173)+COUNTIF($K$26682:$K$26689, K173)+COUNTIF($K$26568:$K$26577, K173)+COUNTIF($K$26603:$K$26607, K173)+COUNTIF($K$26301:$K$26314, K173)+COUNTIF($K$26157:$K$26175, K173)+COUNTIF($K$26274:$K$26280, K173)+COUNTIF($K$26223:$K$26234, K173)+COUNTIF($K$26243:$K$26245, K173)+COUNTIF($K$26263:$K$26266, K173)+COUNTIF($K$26177:$K$26203, K173)+COUNTIF($K$23736:$K$26113, K173)+COUNTIF($K$26131:$K$26139, K173)+COUNTIF($K$26283:$K$26286, K173)+COUNTIF($K$26629:$K$26630, K173)+COUNTIF($K$26775:$K$26776, K173)+COUNTIF($K$26818:$K$26825, K173)+COUNTIF($K$26704:$K$26710, K173)+COUNTIF($K$26692:$K$26699, K173)&gt;1,NOT(ISBLANK(K173)))</formula>
    </cfRule>
  </conditionalFormatting>
  <conditionalFormatting sqref="L173:L181">
    <cfRule type="expression" dxfId="737" priority="226" stopIfTrue="1">
      <formula>AND(COUNTIF($K$22996:$K$22996, L173)&gt;1,NOT(ISBLANK(L173)))</formula>
    </cfRule>
  </conditionalFormatting>
  <conditionalFormatting sqref="L173:L181">
    <cfRule type="expression" dxfId="736" priority="227" stopIfTrue="1">
      <formula>AND(COUNTIF(#REF!, L173)+COUNTIF($K$26391:$K$26397, L173)+COUNTIF($K$26470:$K$26470, L173)+COUNTIF($K$26494:$K$26494, L173)+COUNTIF($K$26435:$K$26439, L173)+COUNTIF($K$26490:$K$26490, L173)+COUNTIF($K$26455:$K$26455, L173)+COUNTIF($K$26464:$K$26464, L173)+COUNTIF($K$26476:$K$26478, L173)+COUNTIF($K$26349:$K$26354, L173)+COUNTIF($K$26484:$K$26484, L173)+COUNTIF($K$26482:$K$26482, L173)+COUNTIF($K$26488:$K$26488, L173)+COUNTIF($K$26452:$K$26453, L173)+COUNTIF($K$26462:$K$26462, L173)+COUNTIF($K$26467:$K$26467, L173)+COUNTIF($K$26205:$K$26208, L173)+COUNTIF($K$26246:$K$26253, L173)+COUNTIF($K$26259:$K$26262, L173)+COUNTIF($K$26264:$K$26271, L173)+COUNTIF($K$26150:$K$26159, L173)+COUNTIF($K$26185:$K$26189, L173)+COUNTIF($K$25883:$K$25896, L173)+COUNTIF($K$25739:$K$25757, L173)+COUNTIF($K$25856:$K$25862, L173)+COUNTIF($K$25805:$K$25816, L173)+COUNTIF($K$25825:$K$25827, L173)+COUNTIF($K$25845:$K$25848, L173)+COUNTIF($K$25759:$K$25785, L173)+COUNTIF($K$22961:$K$25695, L173)+COUNTIF($K$25713:$K$25721, L173)+COUNTIF($K$25865:$K$25868, L173)+COUNTIF($K$26211:$K$26212, L173)+COUNTIF($K$26357:$K$26358, L173)+COUNTIF($K$26400:$K$26407, L173)+COUNTIF($K$26286:$K$26292, L173)+COUNTIF($K$26274:$K$26281, L173)&gt;1,NOT(ISBLANK(L173)))</formula>
    </cfRule>
  </conditionalFormatting>
  <conditionalFormatting sqref="L173:L181">
    <cfRule type="expression" dxfId="735" priority="228" stopIfTrue="1">
      <formula>AND(COUNTIF(#REF!, L173)+COUNTIF($K$26034:$K$26040, L173)+COUNTIF($K$26113:$K$26113, L173)+COUNTIF($K$26137:$K$26137, L173)+COUNTIF($K$26078:$K$26082, L173)+COUNTIF($K$26133:$K$26133, L173)+COUNTIF($K$26098:$K$26098, L173)+COUNTIF($K$26107:$K$26107, L173)+COUNTIF($K$26119:$K$26121, L173)+COUNTIF($K$25992:$K$25997, L173)+COUNTIF($K$26127:$K$26127, L173)+COUNTIF($K$26125:$K$26125, L173)+COUNTIF($K$26131:$K$26131, L173)+COUNTIF($K$26095:$K$26096, L173)+COUNTIF($K$26105:$K$26105, L173)+COUNTIF($K$26110:$K$26110, L173)+COUNTIF($K$25848:$K$25851, L173)+COUNTIF($K$25889:$K$25896, L173)+COUNTIF($K$25902:$K$25905, L173)+COUNTIF($K$25907:$K$25914, L173)+COUNTIF($K$25793:$K$25802, L173)+COUNTIF($K$25828:$K$25832, L173)+COUNTIF($K$25526:$K$25539, L173)+COUNTIF($K$25382:$K$25400, L173)+COUNTIF($K$25499:$K$25505, L173)+COUNTIF($K$25448:$K$25459, L173)+COUNTIF($K$25468:$K$25470, L173)+COUNTIF($K$25488:$K$25491, L173)+COUNTIF($K$25402:$K$25428, L173)+COUNTIF($K$22961:$K$25338, L173)+COUNTIF($K$25356:$K$25364, L173)+COUNTIF($K$25508:$K$25511, L173)+COUNTIF($K$25854:$K$25855, L173)+COUNTIF($K$26000:$K$26001, L173)+COUNTIF($K$26043:$K$26050, L173)+COUNTIF($K$25929:$K$25935, L173)+COUNTIF($K$25917:$K$25924, L173)&gt;1,NOT(ISBLANK(L173)))</formula>
    </cfRule>
  </conditionalFormatting>
  <conditionalFormatting sqref="C173:C181">
    <cfRule type="duplicateValues" dxfId="734" priority="229"/>
  </conditionalFormatting>
  <conditionalFormatting sqref="L173:L181">
    <cfRule type="duplicateValues" dxfId="733" priority="230"/>
  </conditionalFormatting>
  <conditionalFormatting sqref="C173:C181">
    <cfRule type="duplicateValues" dxfId="732" priority="231"/>
    <cfRule type="duplicateValues" dxfId="731" priority="232"/>
  </conditionalFormatting>
  <conditionalFormatting sqref="C173:C181">
    <cfRule type="duplicateValues" dxfId="730" priority="233"/>
  </conditionalFormatting>
  <conditionalFormatting sqref="L173:L181">
    <cfRule type="duplicateValues" dxfId="729" priority="234"/>
  </conditionalFormatting>
  <conditionalFormatting sqref="K182">
    <cfRule type="expression" dxfId="728" priority="211" stopIfTrue="1">
      <formula>AND(COUNTIF($K$23771:$K$23771, K182)&gt;1,NOT(ISBLANK(K182)))</formula>
    </cfRule>
  </conditionalFormatting>
  <conditionalFormatting sqref="K182">
    <cfRule type="expression" dxfId="727" priority="212" stopIfTrue="1">
      <formula>AND(COUNTIF(#REF!, K182)+COUNTIF($K$27166:$K$27172, K182)+COUNTIF($K$27245:$K$27245, K182)+COUNTIF($K$27269:$K$27269, K182)+COUNTIF($K$27210:$K$27214, K182)+COUNTIF($K$27265:$K$27265, K182)+COUNTIF($K$27230:$K$27230, K182)+COUNTIF($K$27239:$K$27239, K182)+COUNTIF($K$27251:$K$27253, K182)+COUNTIF($K$27124:$K$27129, K182)+COUNTIF($K$27259:$K$27259, K182)+COUNTIF($K$27257:$K$27257, K182)+COUNTIF($K$27263:$K$27263, K182)+COUNTIF($K$27227:$K$27228, K182)+COUNTIF($K$27237:$K$27237, K182)+COUNTIF($K$27242:$K$27242, K182)+COUNTIF($K$26980:$K$26983, K182)+COUNTIF($K$27021:$K$27028, K182)+COUNTIF($K$27034:$K$27037, K182)+COUNTIF($K$27039:$K$27046, K182)+COUNTIF($K$26925:$K$26934, K182)+COUNTIF($K$26960:$K$26964, K182)+COUNTIF($K$26658:$K$26671, K182)+COUNTIF($K$26514:$K$26532, K182)+COUNTIF($K$26631:$K$26637, K182)+COUNTIF($K$26580:$K$26591, K182)+COUNTIF($K$26600:$K$26602, K182)+COUNTIF($K$26620:$K$26623, K182)+COUNTIF($K$26534:$K$26560, K182)+COUNTIF($K$23736:$K$26470, K182)+COUNTIF($K$26488:$K$26496, K182)+COUNTIF($K$26640:$K$26643, K182)+COUNTIF($K$26986:$K$26987, K182)+COUNTIF($K$27132:$K$27133, K182)+COUNTIF($K$27175:$K$27182, K182)+COUNTIF($K$27061:$K$27067, K182)+COUNTIF($K$27049:$K$27056, K182)&gt;1,NOT(ISBLANK(K182)))</formula>
    </cfRule>
  </conditionalFormatting>
  <conditionalFormatting sqref="K182">
    <cfRule type="expression" dxfId="726" priority="213" stopIfTrue="1">
      <formula>AND(COUNTIF(#REF!, K182)+COUNTIF($K$26809:$K$26815, K182)+COUNTIF($K$26888:$K$26888, K182)+COUNTIF($K$26912:$K$26912, K182)+COUNTIF($K$26853:$K$26857, K182)+COUNTIF($K$26908:$K$26908, K182)+COUNTIF($K$26873:$K$26873, K182)+COUNTIF($K$26882:$K$26882, K182)+COUNTIF($K$26894:$K$26896, K182)+COUNTIF($K$26767:$K$26772, K182)+COUNTIF($K$26902:$K$26902, K182)+COUNTIF($K$26900:$K$26900, K182)+COUNTIF($K$26906:$K$26906, K182)+COUNTIF($K$26870:$K$26871, K182)+COUNTIF($K$26880:$K$26880, K182)+COUNTIF($K$26885:$K$26885, K182)+COUNTIF($K$26623:$K$26626, K182)+COUNTIF($K$26664:$K$26671, K182)+COUNTIF($K$26677:$K$26680, K182)+COUNTIF($K$26682:$K$26689, K182)+COUNTIF($K$26568:$K$26577, K182)+COUNTIF($K$26603:$K$26607, K182)+COUNTIF($K$26301:$K$26314, K182)+COUNTIF($K$26157:$K$26175, K182)+COUNTIF($K$26274:$K$26280, K182)+COUNTIF($K$26223:$K$26234, K182)+COUNTIF($K$26243:$K$26245, K182)+COUNTIF($K$26263:$K$26266, K182)+COUNTIF($K$26177:$K$26203, K182)+COUNTIF($K$23736:$K$26113, K182)+COUNTIF($K$26131:$K$26139, K182)+COUNTIF($K$26283:$K$26286, K182)+COUNTIF($K$26629:$K$26630, K182)+COUNTIF($K$26775:$K$26776, K182)+COUNTIF($K$26818:$K$26825, K182)+COUNTIF($K$26704:$K$26710, K182)+COUNTIF($K$26692:$K$26699, K182)&gt;1,NOT(ISBLANK(K182)))</formula>
    </cfRule>
  </conditionalFormatting>
  <conditionalFormatting sqref="L182">
    <cfRule type="expression" dxfId="725" priority="214" stopIfTrue="1">
      <formula>AND(COUNTIF($K$22996:$K$22996, L182)&gt;1,NOT(ISBLANK(L182)))</formula>
    </cfRule>
  </conditionalFormatting>
  <conditionalFormatting sqref="L182">
    <cfRule type="expression" dxfId="724" priority="215" stopIfTrue="1">
      <formula>AND(COUNTIF(#REF!, L182)+COUNTIF($K$26391:$K$26397, L182)+COUNTIF($K$26470:$K$26470, L182)+COUNTIF($K$26494:$K$26494, L182)+COUNTIF($K$26435:$K$26439, L182)+COUNTIF($K$26490:$K$26490, L182)+COUNTIF($K$26455:$K$26455, L182)+COUNTIF($K$26464:$K$26464, L182)+COUNTIF($K$26476:$K$26478, L182)+COUNTIF($K$26349:$K$26354, L182)+COUNTIF($K$26484:$K$26484, L182)+COUNTIF($K$26482:$K$26482, L182)+COUNTIF($K$26488:$K$26488, L182)+COUNTIF($K$26452:$K$26453, L182)+COUNTIF($K$26462:$K$26462, L182)+COUNTIF($K$26467:$K$26467, L182)+COUNTIF($K$26205:$K$26208, L182)+COUNTIF($K$26246:$K$26253, L182)+COUNTIF($K$26259:$K$26262, L182)+COUNTIF($K$26264:$K$26271, L182)+COUNTIF($K$26150:$K$26159, L182)+COUNTIF($K$26185:$K$26189, L182)+COUNTIF($K$25883:$K$25896, L182)+COUNTIF($K$25739:$K$25757, L182)+COUNTIF($K$25856:$K$25862, L182)+COUNTIF($K$25805:$K$25816, L182)+COUNTIF($K$25825:$K$25827, L182)+COUNTIF($K$25845:$K$25848, L182)+COUNTIF($K$25759:$K$25785, L182)+COUNTIF($K$22961:$K$25695, L182)+COUNTIF($K$25713:$K$25721, L182)+COUNTIF($K$25865:$K$25868, L182)+COUNTIF($K$26211:$K$26212, L182)+COUNTIF($K$26357:$K$26358, L182)+COUNTIF($K$26400:$K$26407, L182)+COUNTIF($K$26286:$K$26292, L182)+COUNTIF($K$26274:$K$26281, L182)&gt;1,NOT(ISBLANK(L182)))</formula>
    </cfRule>
  </conditionalFormatting>
  <conditionalFormatting sqref="L182">
    <cfRule type="expression" dxfId="723" priority="216" stopIfTrue="1">
      <formula>AND(COUNTIF(#REF!, L182)+COUNTIF($K$26034:$K$26040, L182)+COUNTIF($K$26113:$K$26113, L182)+COUNTIF($K$26137:$K$26137, L182)+COUNTIF($K$26078:$K$26082, L182)+COUNTIF($K$26133:$K$26133, L182)+COUNTIF($K$26098:$K$26098, L182)+COUNTIF($K$26107:$K$26107, L182)+COUNTIF($K$26119:$K$26121, L182)+COUNTIF($K$25992:$K$25997, L182)+COUNTIF($K$26127:$K$26127, L182)+COUNTIF($K$26125:$K$26125, L182)+COUNTIF($K$26131:$K$26131, L182)+COUNTIF($K$26095:$K$26096, L182)+COUNTIF($K$26105:$K$26105, L182)+COUNTIF($K$26110:$K$26110, L182)+COUNTIF($K$25848:$K$25851, L182)+COUNTIF($K$25889:$K$25896, L182)+COUNTIF($K$25902:$K$25905, L182)+COUNTIF($K$25907:$K$25914, L182)+COUNTIF($K$25793:$K$25802, L182)+COUNTIF($K$25828:$K$25832, L182)+COUNTIF($K$25526:$K$25539, L182)+COUNTIF($K$25382:$K$25400, L182)+COUNTIF($K$25499:$K$25505, L182)+COUNTIF($K$25448:$K$25459, L182)+COUNTIF($K$25468:$K$25470, L182)+COUNTIF($K$25488:$K$25491, L182)+COUNTIF($K$25402:$K$25428, L182)+COUNTIF($K$22961:$K$25338, L182)+COUNTIF($K$25356:$K$25364, L182)+COUNTIF($K$25508:$K$25511, L182)+COUNTIF($K$25854:$K$25855, L182)+COUNTIF($K$26000:$K$26001, L182)+COUNTIF($K$26043:$K$26050, L182)+COUNTIF($K$25929:$K$25935, L182)+COUNTIF($K$25917:$K$25924, L182)&gt;1,NOT(ISBLANK(L182)))</formula>
    </cfRule>
  </conditionalFormatting>
  <conditionalFormatting sqref="C182">
    <cfRule type="duplicateValues" dxfId="722" priority="217"/>
  </conditionalFormatting>
  <conditionalFormatting sqref="L182">
    <cfRule type="duplicateValues" dxfId="721" priority="218"/>
  </conditionalFormatting>
  <conditionalFormatting sqref="C182">
    <cfRule type="duplicateValues" dxfId="720" priority="219"/>
    <cfRule type="duplicateValues" dxfId="719" priority="220"/>
  </conditionalFormatting>
  <conditionalFormatting sqref="C182">
    <cfRule type="duplicateValues" dxfId="718" priority="221"/>
  </conditionalFormatting>
  <conditionalFormatting sqref="L182">
    <cfRule type="duplicateValues" dxfId="717" priority="222"/>
  </conditionalFormatting>
  <conditionalFormatting sqref="K183:K187">
    <cfRule type="expression" dxfId="716" priority="199" stopIfTrue="1">
      <formula>AND(COUNTIF($K$23818:$K$23818, K183)&gt;1,NOT(ISBLANK(K183)))</formula>
    </cfRule>
  </conditionalFormatting>
  <conditionalFormatting sqref="K183:K187">
    <cfRule type="expression" dxfId="715" priority="200" stopIfTrue="1">
      <formula>AND(COUNTIF(#REF!, K183)+COUNTIF($K$27213:$K$27219, K183)+COUNTIF($K$27292:$K$27292, K183)+COUNTIF($K$27316:$K$27316, K183)+COUNTIF($K$27257:$K$27261, K183)+COUNTIF($K$27312:$K$27312, K183)+COUNTIF($K$27277:$K$27277, K183)+COUNTIF($K$27286:$K$27286, K183)+COUNTIF($K$27298:$K$27300, K183)+COUNTIF($K$27171:$K$27176, K183)+COUNTIF($K$27306:$K$27306, K183)+COUNTIF($K$27304:$K$27304, K183)+COUNTIF($K$27310:$K$27310, K183)+COUNTIF($K$27274:$K$27275, K183)+COUNTIF($K$27284:$K$27284, K183)+COUNTIF($K$27289:$K$27289, K183)+COUNTIF($K$27027:$K$27030, K183)+COUNTIF($K$27068:$K$27075, K183)+COUNTIF($K$27081:$K$27084, K183)+COUNTIF($K$27086:$K$27093, K183)+COUNTIF($K$26972:$K$26981, K183)+COUNTIF($K$27007:$K$27011, K183)+COUNTIF($K$26705:$K$26718, K183)+COUNTIF($K$26561:$K$26579, K183)+COUNTIF($K$26678:$K$26684, K183)+COUNTIF($K$26627:$K$26638, K183)+COUNTIF($K$26647:$K$26649, K183)+COUNTIF($K$26667:$K$26670, K183)+COUNTIF($K$26581:$K$26607, K183)+COUNTIF($K$23783:$K$26517, K183)+COUNTIF($K$26535:$K$26543, K183)+COUNTIF($K$26687:$K$26690, K183)+COUNTIF($K$27033:$K$27034, K183)+COUNTIF($K$27179:$K$27180, K183)+COUNTIF($K$27222:$K$27229, K183)+COUNTIF($K$27108:$K$27114, K183)+COUNTIF($K$27096:$K$27103, K183)&gt;1,NOT(ISBLANK(K183)))</formula>
    </cfRule>
  </conditionalFormatting>
  <conditionalFormatting sqref="K183:K187">
    <cfRule type="expression" dxfId="714" priority="201" stopIfTrue="1">
      <formula>AND(COUNTIF(#REF!, K183)+COUNTIF($K$26856:$K$26862, K183)+COUNTIF($K$26935:$K$26935, K183)+COUNTIF($K$26959:$K$26959, K183)+COUNTIF($K$26900:$K$26904, K183)+COUNTIF($K$26955:$K$26955, K183)+COUNTIF($K$26920:$K$26920, K183)+COUNTIF($K$26929:$K$26929, K183)+COUNTIF($K$26941:$K$26943, K183)+COUNTIF($K$26814:$K$26819, K183)+COUNTIF($K$26949:$K$26949, K183)+COUNTIF($K$26947:$K$26947, K183)+COUNTIF($K$26953:$K$26953, K183)+COUNTIF($K$26917:$K$26918, K183)+COUNTIF($K$26927:$K$26927, K183)+COUNTIF($K$26932:$K$26932, K183)+COUNTIF($K$26670:$K$26673, K183)+COUNTIF($K$26711:$K$26718, K183)+COUNTIF($K$26724:$K$26727, K183)+COUNTIF($K$26729:$K$26736, K183)+COUNTIF($K$26615:$K$26624, K183)+COUNTIF($K$26650:$K$26654, K183)+COUNTIF($K$26348:$K$26361, K183)+COUNTIF($K$26204:$K$26222, K183)+COUNTIF($K$26321:$K$26327, K183)+COUNTIF($K$26270:$K$26281, K183)+COUNTIF($K$26290:$K$26292, K183)+COUNTIF($K$26310:$K$26313, K183)+COUNTIF($K$26224:$K$26250, K183)+COUNTIF($K$23783:$K$26160, K183)+COUNTIF($K$26178:$K$26186, K183)+COUNTIF($K$26330:$K$26333, K183)+COUNTIF($K$26676:$K$26677, K183)+COUNTIF($K$26822:$K$26823, K183)+COUNTIF($K$26865:$K$26872, K183)+COUNTIF($K$26751:$K$26757, K183)+COUNTIF($K$26739:$K$26746, K183)&gt;1,NOT(ISBLANK(K183)))</formula>
    </cfRule>
  </conditionalFormatting>
  <conditionalFormatting sqref="L183:L187">
    <cfRule type="expression" dxfId="713" priority="202" stopIfTrue="1">
      <formula>AND(COUNTIF($K$23043:$K$23043, L183)&gt;1,NOT(ISBLANK(L183)))</formula>
    </cfRule>
  </conditionalFormatting>
  <conditionalFormatting sqref="L183:L187">
    <cfRule type="expression" dxfId="712" priority="203" stopIfTrue="1">
      <formula>AND(COUNTIF(#REF!, L183)+COUNTIF($K$26438:$K$26444, L183)+COUNTIF($K$26517:$K$26517, L183)+COUNTIF($K$26541:$K$26541, L183)+COUNTIF($K$26482:$K$26486, L183)+COUNTIF($K$26537:$K$26537, L183)+COUNTIF($K$26502:$K$26502, L183)+COUNTIF($K$26511:$K$26511, L183)+COUNTIF($K$26523:$K$26525, L183)+COUNTIF($K$26396:$K$26401, L183)+COUNTIF($K$26531:$K$26531, L183)+COUNTIF($K$26529:$K$26529, L183)+COUNTIF($K$26535:$K$26535, L183)+COUNTIF($K$26499:$K$26500, L183)+COUNTIF($K$26509:$K$26509, L183)+COUNTIF($K$26514:$K$26514, L183)+COUNTIF($K$26252:$K$26255, L183)+COUNTIF($K$26293:$K$26300, L183)+COUNTIF($K$26306:$K$26309, L183)+COUNTIF($K$26311:$K$26318, L183)+COUNTIF($K$26197:$K$26206, L183)+COUNTIF($K$26232:$K$26236, L183)+COUNTIF($K$25930:$K$25943, L183)+COUNTIF($K$25786:$K$25804, L183)+COUNTIF($K$25903:$K$25909, L183)+COUNTIF($K$25852:$K$25863, L183)+COUNTIF($K$25872:$K$25874, L183)+COUNTIF($K$25892:$K$25895, L183)+COUNTIF($K$25806:$K$25832, L183)+COUNTIF($K$23008:$K$25742, L183)+COUNTIF($K$25760:$K$25768, L183)+COUNTIF($K$25912:$K$25915, L183)+COUNTIF($K$26258:$K$26259, L183)+COUNTIF($K$26404:$K$26405, L183)+COUNTIF($K$26447:$K$26454, L183)+COUNTIF($K$26333:$K$26339, L183)+COUNTIF($K$26321:$K$26328, L183)&gt;1,NOT(ISBLANK(L183)))</formula>
    </cfRule>
  </conditionalFormatting>
  <conditionalFormatting sqref="L183:L187">
    <cfRule type="expression" dxfId="711" priority="204" stopIfTrue="1">
      <formula>AND(COUNTIF(#REF!, L183)+COUNTIF($K$26081:$K$26087, L183)+COUNTIF($K$26160:$K$26160, L183)+COUNTIF($K$26184:$K$26184, L183)+COUNTIF($K$26125:$K$26129, L183)+COUNTIF($K$26180:$K$26180, L183)+COUNTIF($K$26145:$K$26145, L183)+COUNTIF($K$26154:$K$26154, L183)+COUNTIF($K$26166:$K$26168, L183)+COUNTIF($K$26039:$K$26044, L183)+COUNTIF($K$26174:$K$26174, L183)+COUNTIF($K$26172:$K$26172, L183)+COUNTIF($K$26178:$K$26178, L183)+COUNTIF($K$26142:$K$26143, L183)+COUNTIF($K$26152:$K$26152, L183)+COUNTIF($K$26157:$K$26157, L183)+COUNTIF($K$25895:$K$25898, L183)+COUNTIF($K$25936:$K$25943, L183)+COUNTIF($K$25949:$K$25952, L183)+COUNTIF($K$25954:$K$25961, L183)+COUNTIF($K$25840:$K$25849, L183)+COUNTIF($K$25875:$K$25879, L183)+COUNTIF($K$25573:$K$25586, L183)+COUNTIF($K$25429:$K$25447, L183)+COUNTIF($K$25546:$K$25552, L183)+COUNTIF($K$25495:$K$25506, L183)+COUNTIF($K$25515:$K$25517, L183)+COUNTIF($K$25535:$K$25538, L183)+COUNTIF($K$25449:$K$25475, L183)+COUNTIF($K$23008:$K$25385, L183)+COUNTIF($K$25403:$K$25411, L183)+COUNTIF($K$25555:$K$25558, L183)+COUNTIF($K$25901:$K$25902, L183)+COUNTIF($K$26047:$K$26048, L183)+COUNTIF($K$26090:$K$26097, L183)+COUNTIF($K$25976:$K$25982, L183)+COUNTIF($K$25964:$K$25971, L183)&gt;1,NOT(ISBLANK(L183)))</formula>
    </cfRule>
  </conditionalFormatting>
  <conditionalFormatting sqref="C183:C187">
    <cfRule type="duplicateValues" dxfId="710" priority="205"/>
  </conditionalFormatting>
  <conditionalFormatting sqref="L183:L187">
    <cfRule type="duplicateValues" dxfId="709" priority="206"/>
  </conditionalFormatting>
  <conditionalFormatting sqref="C183:C187">
    <cfRule type="duplicateValues" dxfId="708" priority="207"/>
    <cfRule type="duplicateValues" dxfId="707" priority="208"/>
  </conditionalFormatting>
  <conditionalFormatting sqref="C183:C187">
    <cfRule type="duplicateValues" dxfId="706" priority="209"/>
  </conditionalFormatting>
  <conditionalFormatting sqref="L183:L187">
    <cfRule type="duplicateValues" dxfId="705" priority="210"/>
  </conditionalFormatting>
  <conditionalFormatting sqref="K188">
    <cfRule type="expression" dxfId="704" priority="187" stopIfTrue="1">
      <formula>AND(COUNTIF($K$23818:$K$23818, K188)&gt;1,NOT(ISBLANK(K188)))</formula>
    </cfRule>
  </conditionalFormatting>
  <conditionalFormatting sqref="K188">
    <cfRule type="expression" dxfId="703" priority="188" stopIfTrue="1">
      <formula>AND(COUNTIF(#REF!, K188)+COUNTIF($K$27213:$K$27219, K188)+COUNTIF($K$27292:$K$27292, K188)+COUNTIF($K$27316:$K$27316, K188)+COUNTIF($K$27257:$K$27261, K188)+COUNTIF($K$27312:$K$27312, K188)+COUNTIF($K$27277:$K$27277, K188)+COUNTIF($K$27286:$K$27286, K188)+COUNTIF($K$27298:$K$27300, K188)+COUNTIF($K$27171:$K$27176, K188)+COUNTIF($K$27306:$K$27306, K188)+COUNTIF($K$27304:$K$27304, K188)+COUNTIF($K$27310:$K$27310, K188)+COUNTIF($K$27274:$K$27275, K188)+COUNTIF($K$27284:$K$27284, K188)+COUNTIF($K$27289:$K$27289, K188)+COUNTIF($K$27027:$K$27030, K188)+COUNTIF($K$27068:$K$27075, K188)+COUNTIF($K$27081:$K$27084, K188)+COUNTIF($K$27086:$K$27093, K188)+COUNTIF($K$26972:$K$26981, K188)+COUNTIF($K$27007:$K$27011, K188)+COUNTIF($K$26705:$K$26718, K188)+COUNTIF($K$26561:$K$26579, K188)+COUNTIF($K$26678:$K$26684, K188)+COUNTIF($K$26627:$K$26638, K188)+COUNTIF($K$26647:$K$26649, K188)+COUNTIF($K$26667:$K$26670, K188)+COUNTIF($K$26581:$K$26607, K188)+COUNTIF($K$23783:$K$26517, K188)+COUNTIF($K$26535:$K$26543, K188)+COUNTIF($K$26687:$K$26690, K188)+COUNTIF($K$27033:$K$27034, K188)+COUNTIF($K$27179:$K$27180, K188)+COUNTIF($K$27222:$K$27229, K188)+COUNTIF($K$27108:$K$27114, K188)+COUNTIF($K$27096:$K$27103, K188)&gt;1,NOT(ISBLANK(K188)))</formula>
    </cfRule>
  </conditionalFormatting>
  <conditionalFormatting sqref="K188">
    <cfRule type="expression" dxfId="702" priority="189" stopIfTrue="1">
      <formula>AND(COUNTIF(#REF!, K188)+COUNTIF($K$26856:$K$26862, K188)+COUNTIF($K$26935:$K$26935, K188)+COUNTIF($K$26959:$K$26959, K188)+COUNTIF($K$26900:$K$26904, K188)+COUNTIF($K$26955:$K$26955, K188)+COUNTIF($K$26920:$K$26920, K188)+COUNTIF($K$26929:$K$26929, K188)+COUNTIF($K$26941:$K$26943, K188)+COUNTIF($K$26814:$K$26819, K188)+COUNTIF($K$26949:$K$26949, K188)+COUNTIF($K$26947:$K$26947, K188)+COUNTIF($K$26953:$K$26953, K188)+COUNTIF($K$26917:$K$26918, K188)+COUNTIF($K$26927:$K$26927, K188)+COUNTIF($K$26932:$K$26932, K188)+COUNTIF($K$26670:$K$26673, K188)+COUNTIF($K$26711:$K$26718, K188)+COUNTIF($K$26724:$K$26727, K188)+COUNTIF($K$26729:$K$26736, K188)+COUNTIF($K$26615:$K$26624, K188)+COUNTIF($K$26650:$K$26654, K188)+COUNTIF($K$26348:$K$26361, K188)+COUNTIF($K$26204:$K$26222, K188)+COUNTIF($K$26321:$K$26327, K188)+COUNTIF($K$26270:$K$26281, K188)+COUNTIF($K$26290:$K$26292, K188)+COUNTIF($K$26310:$K$26313, K188)+COUNTIF($K$26224:$K$26250, K188)+COUNTIF($K$23783:$K$26160, K188)+COUNTIF($K$26178:$K$26186, K188)+COUNTIF($K$26330:$K$26333, K188)+COUNTIF($K$26676:$K$26677, K188)+COUNTIF($K$26822:$K$26823, K188)+COUNTIF($K$26865:$K$26872, K188)+COUNTIF($K$26751:$K$26757, K188)+COUNTIF($K$26739:$K$26746, K188)&gt;1,NOT(ISBLANK(K188)))</formula>
    </cfRule>
  </conditionalFormatting>
  <conditionalFormatting sqref="L188">
    <cfRule type="expression" dxfId="701" priority="190" stopIfTrue="1">
      <formula>AND(COUNTIF($K$23043:$K$23043, L188)&gt;1,NOT(ISBLANK(L188)))</formula>
    </cfRule>
  </conditionalFormatting>
  <conditionalFormatting sqref="L188">
    <cfRule type="expression" dxfId="700" priority="191" stopIfTrue="1">
      <formula>AND(COUNTIF(#REF!, L188)+COUNTIF($K$26438:$K$26444, L188)+COUNTIF($K$26517:$K$26517, L188)+COUNTIF($K$26541:$K$26541, L188)+COUNTIF($K$26482:$K$26486, L188)+COUNTIF($K$26537:$K$26537, L188)+COUNTIF($K$26502:$K$26502, L188)+COUNTIF($K$26511:$K$26511, L188)+COUNTIF($K$26523:$K$26525, L188)+COUNTIF($K$26396:$K$26401, L188)+COUNTIF($K$26531:$K$26531, L188)+COUNTIF($K$26529:$K$26529, L188)+COUNTIF($K$26535:$K$26535, L188)+COUNTIF($K$26499:$K$26500, L188)+COUNTIF($K$26509:$K$26509, L188)+COUNTIF($K$26514:$K$26514, L188)+COUNTIF($K$26252:$K$26255, L188)+COUNTIF($K$26293:$K$26300, L188)+COUNTIF($K$26306:$K$26309, L188)+COUNTIF($K$26311:$K$26318, L188)+COUNTIF($K$26197:$K$26206, L188)+COUNTIF($K$26232:$K$26236, L188)+COUNTIF($K$25930:$K$25943, L188)+COUNTIF($K$25786:$K$25804, L188)+COUNTIF($K$25903:$K$25909, L188)+COUNTIF($K$25852:$K$25863, L188)+COUNTIF($K$25872:$K$25874, L188)+COUNTIF($K$25892:$K$25895, L188)+COUNTIF($K$25806:$K$25832, L188)+COUNTIF($K$23008:$K$25742, L188)+COUNTIF($K$25760:$K$25768, L188)+COUNTIF($K$25912:$K$25915, L188)+COUNTIF($K$26258:$K$26259, L188)+COUNTIF($K$26404:$K$26405, L188)+COUNTIF($K$26447:$K$26454, L188)+COUNTIF($K$26333:$K$26339, L188)+COUNTIF($K$26321:$K$26328, L188)&gt;1,NOT(ISBLANK(L188)))</formula>
    </cfRule>
  </conditionalFormatting>
  <conditionalFormatting sqref="L188">
    <cfRule type="expression" dxfId="699" priority="192" stopIfTrue="1">
      <formula>AND(COUNTIF(#REF!, L188)+COUNTIF($K$26081:$K$26087, L188)+COUNTIF($K$26160:$K$26160, L188)+COUNTIF($K$26184:$K$26184, L188)+COUNTIF($K$26125:$K$26129, L188)+COUNTIF($K$26180:$K$26180, L188)+COUNTIF($K$26145:$K$26145, L188)+COUNTIF($K$26154:$K$26154, L188)+COUNTIF($K$26166:$K$26168, L188)+COUNTIF($K$26039:$K$26044, L188)+COUNTIF($K$26174:$K$26174, L188)+COUNTIF($K$26172:$K$26172, L188)+COUNTIF($K$26178:$K$26178, L188)+COUNTIF($K$26142:$K$26143, L188)+COUNTIF($K$26152:$K$26152, L188)+COUNTIF($K$26157:$K$26157, L188)+COUNTIF($K$25895:$K$25898, L188)+COUNTIF($K$25936:$K$25943, L188)+COUNTIF($K$25949:$K$25952, L188)+COUNTIF($K$25954:$K$25961, L188)+COUNTIF($K$25840:$K$25849, L188)+COUNTIF($K$25875:$K$25879, L188)+COUNTIF($K$25573:$K$25586, L188)+COUNTIF($K$25429:$K$25447, L188)+COUNTIF($K$25546:$K$25552, L188)+COUNTIF($K$25495:$K$25506, L188)+COUNTIF($K$25515:$K$25517, L188)+COUNTIF($K$25535:$K$25538, L188)+COUNTIF($K$25449:$K$25475, L188)+COUNTIF($K$23008:$K$25385, L188)+COUNTIF($K$25403:$K$25411, L188)+COUNTIF($K$25555:$K$25558, L188)+COUNTIF($K$25901:$K$25902, L188)+COUNTIF($K$26047:$K$26048, L188)+COUNTIF($K$26090:$K$26097, L188)+COUNTIF($K$25976:$K$25982, L188)+COUNTIF($K$25964:$K$25971, L188)&gt;1,NOT(ISBLANK(L188)))</formula>
    </cfRule>
  </conditionalFormatting>
  <conditionalFormatting sqref="C188">
    <cfRule type="duplicateValues" dxfId="698" priority="193"/>
  </conditionalFormatting>
  <conditionalFormatting sqref="L188">
    <cfRule type="duplicateValues" dxfId="697" priority="194"/>
  </conditionalFormatting>
  <conditionalFormatting sqref="C188">
    <cfRule type="duplicateValues" dxfId="696" priority="195"/>
    <cfRule type="duplicateValues" dxfId="695" priority="196"/>
  </conditionalFormatting>
  <conditionalFormatting sqref="C188">
    <cfRule type="duplicateValues" dxfId="694" priority="197"/>
  </conditionalFormatting>
  <conditionalFormatting sqref="L188">
    <cfRule type="duplicateValues" dxfId="693" priority="198"/>
  </conditionalFormatting>
  <conditionalFormatting sqref="K85">
    <cfRule type="expression" dxfId="692" priority="175" stopIfTrue="1">
      <formula>AND(COUNTIF($K$23820:$K$23820, K85)&gt;1,NOT(ISBLANK(K85)))</formula>
    </cfRule>
  </conditionalFormatting>
  <conditionalFormatting sqref="K85">
    <cfRule type="expression" dxfId="691" priority="176" stopIfTrue="1">
      <formula>AND(COUNTIF(#REF!, K85)+COUNTIF($K$27215:$K$27221, K85)+COUNTIF($K$27294:$K$27294, K85)+COUNTIF($K$27318:$K$27318, K85)+COUNTIF($K$27259:$K$27263, K85)+COUNTIF($K$27314:$K$27314, K85)+COUNTIF($K$27279:$K$27279, K85)+COUNTIF($K$27288:$K$27288, K85)+COUNTIF($K$27300:$K$27302, K85)+COUNTIF($K$27173:$K$27178, K85)+COUNTIF($K$27308:$K$27308, K85)+COUNTIF($K$27306:$K$27306, K85)+COUNTIF($K$27312:$K$27312, K85)+COUNTIF($K$27276:$K$27277, K85)+COUNTIF($K$27286:$K$27286, K85)+COUNTIF($K$27291:$K$27291, K85)+COUNTIF($K$27029:$K$27032, K85)+COUNTIF($K$27070:$K$27077, K85)+COUNTIF($K$27083:$K$27086, K85)+COUNTIF($K$27088:$K$27095, K85)+COUNTIF($K$26974:$K$26983, K85)+COUNTIF($K$27009:$K$27013, K85)+COUNTIF($K$26707:$K$26720, K85)+COUNTIF($K$26563:$K$26581, K85)+COUNTIF($K$26680:$K$26686, K85)+COUNTIF($K$26629:$K$26640, K85)+COUNTIF($K$26649:$K$26651, K85)+COUNTIF($K$26669:$K$26672, K85)+COUNTIF($K$26583:$K$26609, K85)+COUNTIF($K$23785:$K$26519, K85)+COUNTIF($K$26537:$K$26545, K85)+COUNTIF($K$26689:$K$26692, K85)+COUNTIF($K$27035:$K$27036, K85)+COUNTIF($K$27181:$K$27182, K85)+COUNTIF($K$27224:$K$27231, K85)+COUNTIF($K$27110:$K$27116, K85)+COUNTIF($K$27098:$K$27105, K85)&gt;1,NOT(ISBLANK(K85)))</formula>
    </cfRule>
  </conditionalFormatting>
  <conditionalFormatting sqref="K85">
    <cfRule type="expression" dxfId="690" priority="177" stopIfTrue="1">
      <formula>AND(COUNTIF(#REF!, K85)+COUNTIF($K$26858:$K$26864, K85)+COUNTIF($K$26937:$K$26937, K85)+COUNTIF($K$26961:$K$26961, K85)+COUNTIF($K$26902:$K$26906, K85)+COUNTIF($K$26957:$K$26957, K85)+COUNTIF($K$26922:$K$26922, K85)+COUNTIF($K$26931:$K$26931, K85)+COUNTIF($K$26943:$K$26945, K85)+COUNTIF($K$26816:$K$26821, K85)+COUNTIF($K$26951:$K$26951, K85)+COUNTIF($K$26949:$K$26949, K85)+COUNTIF($K$26955:$K$26955, K85)+COUNTIF($K$26919:$K$26920, K85)+COUNTIF($K$26929:$K$26929, K85)+COUNTIF($K$26934:$K$26934, K85)+COUNTIF($K$26672:$K$26675, K85)+COUNTIF($K$26713:$K$26720, K85)+COUNTIF($K$26726:$K$26729, K85)+COUNTIF($K$26731:$K$26738, K85)+COUNTIF($K$26617:$K$26626, K85)+COUNTIF($K$26652:$K$26656, K85)+COUNTIF($K$26350:$K$26363, K85)+COUNTIF($K$26206:$K$26224, K85)+COUNTIF($K$26323:$K$26329, K85)+COUNTIF($K$26272:$K$26283, K85)+COUNTIF($K$26292:$K$26294, K85)+COUNTIF($K$26312:$K$26315, K85)+COUNTIF($K$26226:$K$26252, K85)+COUNTIF($K$23785:$K$26162, K85)+COUNTIF($K$26180:$K$26188, K85)+COUNTIF($K$26332:$K$26335, K85)+COUNTIF($K$26678:$K$26679, K85)+COUNTIF($K$26824:$K$26825, K85)+COUNTIF($K$26867:$K$26874, K85)+COUNTIF($K$26753:$K$26759, K85)+COUNTIF($K$26741:$K$26748, K85)&gt;1,NOT(ISBLANK(K85)))</formula>
    </cfRule>
  </conditionalFormatting>
  <conditionalFormatting sqref="L85">
    <cfRule type="expression" dxfId="689" priority="178" stopIfTrue="1">
      <formula>AND(COUNTIF($K$23045:$K$23045, L85)&gt;1,NOT(ISBLANK(L85)))</formula>
    </cfRule>
  </conditionalFormatting>
  <conditionalFormatting sqref="L85">
    <cfRule type="expression" dxfId="688" priority="179" stopIfTrue="1">
      <formula>AND(COUNTIF(#REF!, L85)+COUNTIF($K$26440:$K$26446, L85)+COUNTIF($K$26519:$K$26519, L85)+COUNTIF($K$26543:$K$26543, L85)+COUNTIF($K$26484:$K$26488, L85)+COUNTIF($K$26539:$K$26539, L85)+COUNTIF($K$26504:$K$26504, L85)+COUNTIF($K$26513:$K$26513, L85)+COUNTIF($K$26525:$K$26527, L85)+COUNTIF($K$26398:$K$26403, L85)+COUNTIF($K$26533:$K$26533, L85)+COUNTIF($K$26531:$K$26531, L85)+COUNTIF($K$26537:$K$26537, L85)+COUNTIF($K$26501:$K$26502, L85)+COUNTIF($K$26511:$K$26511, L85)+COUNTIF($K$26516:$K$26516, L85)+COUNTIF($K$26254:$K$26257, L85)+COUNTIF($K$26295:$K$26302, L85)+COUNTIF($K$26308:$K$26311, L85)+COUNTIF($K$26313:$K$26320, L85)+COUNTIF($K$26199:$K$26208, L85)+COUNTIF($K$26234:$K$26238, L85)+COUNTIF($K$25932:$K$25945, L85)+COUNTIF($K$25788:$K$25806, L85)+COUNTIF($K$25905:$K$25911, L85)+COUNTIF($K$25854:$K$25865, L85)+COUNTIF($K$25874:$K$25876, L85)+COUNTIF($K$25894:$K$25897, L85)+COUNTIF($K$25808:$K$25834, L85)+COUNTIF($K$23010:$K$25744, L85)+COUNTIF($K$25762:$K$25770, L85)+COUNTIF($K$25914:$K$25917, L85)+COUNTIF($K$26260:$K$26261, L85)+COUNTIF($K$26406:$K$26407, L85)+COUNTIF($K$26449:$K$26456, L85)+COUNTIF($K$26335:$K$26341, L85)+COUNTIF($K$26323:$K$26330, L85)&gt;1,NOT(ISBLANK(L85)))</formula>
    </cfRule>
  </conditionalFormatting>
  <conditionalFormatting sqref="L85">
    <cfRule type="expression" dxfId="687" priority="180" stopIfTrue="1">
      <formula>AND(COUNTIF(#REF!, L85)+COUNTIF($K$26083:$K$26089, L85)+COUNTIF($K$26162:$K$26162, L85)+COUNTIF($K$26186:$K$26186, L85)+COUNTIF($K$26127:$K$26131, L85)+COUNTIF($K$26182:$K$26182, L85)+COUNTIF($K$26147:$K$26147, L85)+COUNTIF($K$26156:$K$26156, L85)+COUNTIF($K$26168:$K$26170, L85)+COUNTIF($K$26041:$K$26046, L85)+COUNTIF($K$26176:$K$26176, L85)+COUNTIF($K$26174:$K$26174, L85)+COUNTIF($K$26180:$K$26180, L85)+COUNTIF($K$26144:$K$26145, L85)+COUNTIF($K$26154:$K$26154, L85)+COUNTIF($K$26159:$K$26159, L85)+COUNTIF($K$25897:$K$25900, L85)+COUNTIF($K$25938:$K$25945, L85)+COUNTIF($K$25951:$K$25954, L85)+COUNTIF($K$25956:$K$25963, L85)+COUNTIF($K$25842:$K$25851, L85)+COUNTIF($K$25877:$K$25881, L85)+COUNTIF($K$25575:$K$25588, L85)+COUNTIF($K$25431:$K$25449, L85)+COUNTIF($K$25548:$K$25554, L85)+COUNTIF($K$25497:$K$25508, L85)+COUNTIF($K$25517:$K$25519, L85)+COUNTIF($K$25537:$K$25540, L85)+COUNTIF($K$25451:$K$25477, L85)+COUNTIF($K$23010:$K$25387, L85)+COUNTIF($K$25405:$K$25413, L85)+COUNTIF($K$25557:$K$25560, L85)+COUNTIF($K$25903:$K$25904, L85)+COUNTIF($K$26049:$K$26050, L85)+COUNTIF($K$26092:$K$26099, L85)+COUNTIF($K$25978:$K$25984, L85)+COUNTIF($K$25966:$K$25973, L85)&gt;1,NOT(ISBLANK(L85)))</formula>
    </cfRule>
  </conditionalFormatting>
  <conditionalFormatting sqref="C85">
    <cfRule type="duplicateValues" dxfId="686" priority="181"/>
  </conditionalFormatting>
  <conditionalFormatting sqref="L85">
    <cfRule type="duplicateValues" dxfId="685" priority="182"/>
  </conditionalFormatting>
  <conditionalFormatting sqref="C85">
    <cfRule type="duplicateValues" dxfId="684" priority="183"/>
    <cfRule type="duplicateValues" dxfId="683" priority="184"/>
  </conditionalFormatting>
  <conditionalFormatting sqref="C85">
    <cfRule type="duplicateValues" dxfId="682" priority="185"/>
  </conditionalFormatting>
  <conditionalFormatting sqref="L85">
    <cfRule type="duplicateValues" dxfId="681" priority="186"/>
  </conditionalFormatting>
  <conditionalFormatting sqref="K86">
    <cfRule type="expression" dxfId="680" priority="163" stopIfTrue="1">
      <formula>AND(COUNTIF($K$23820:$K$23820, K86)&gt;1,NOT(ISBLANK(K86)))</formula>
    </cfRule>
  </conditionalFormatting>
  <conditionalFormatting sqref="K86">
    <cfRule type="expression" dxfId="679" priority="164" stopIfTrue="1">
      <formula>AND(COUNTIF(#REF!, K86)+COUNTIF($K$27215:$K$27221, K86)+COUNTIF($K$27294:$K$27294, K86)+COUNTIF($K$27318:$K$27318, K86)+COUNTIF($K$27259:$K$27263, K86)+COUNTIF($K$27314:$K$27314, K86)+COUNTIF($K$27279:$K$27279, K86)+COUNTIF($K$27288:$K$27288, K86)+COUNTIF($K$27300:$K$27302, K86)+COUNTIF($K$27173:$K$27178, K86)+COUNTIF($K$27308:$K$27308, K86)+COUNTIF($K$27306:$K$27306, K86)+COUNTIF($K$27312:$K$27312, K86)+COUNTIF($K$27276:$K$27277, K86)+COUNTIF($K$27286:$K$27286, K86)+COUNTIF($K$27291:$K$27291, K86)+COUNTIF($K$27029:$K$27032, K86)+COUNTIF($K$27070:$K$27077, K86)+COUNTIF($K$27083:$K$27086, K86)+COUNTIF($K$27088:$K$27095, K86)+COUNTIF($K$26974:$K$26983, K86)+COUNTIF($K$27009:$K$27013, K86)+COUNTIF($K$26707:$K$26720, K86)+COUNTIF($K$26563:$K$26581, K86)+COUNTIF($K$26680:$K$26686, K86)+COUNTIF($K$26629:$K$26640, K86)+COUNTIF($K$26649:$K$26651, K86)+COUNTIF($K$26669:$K$26672, K86)+COUNTIF($K$26583:$K$26609, K86)+COUNTIF($K$23785:$K$26519, K86)+COUNTIF($K$26537:$K$26545, K86)+COUNTIF($K$26689:$K$26692, K86)+COUNTIF($K$27035:$K$27036, K86)+COUNTIF($K$27181:$K$27182, K86)+COUNTIF($K$27224:$K$27231, K86)+COUNTIF($K$27110:$K$27116, K86)+COUNTIF($K$27098:$K$27105, K86)&gt;1,NOT(ISBLANK(K86)))</formula>
    </cfRule>
  </conditionalFormatting>
  <conditionalFormatting sqref="K86">
    <cfRule type="expression" dxfId="678" priority="165" stopIfTrue="1">
      <formula>AND(COUNTIF(#REF!, K86)+COUNTIF($K$26858:$K$26864, K86)+COUNTIF($K$26937:$K$26937, K86)+COUNTIF($K$26961:$K$26961, K86)+COUNTIF($K$26902:$K$26906, K86)+COUNTIF($K$26957:$K$26957, K86)+COUNTIF($K$26922:$K$26922, K86)+COUNTIF($K$26931:$K$26931, K86)+COUNTIF($K$26943:$K$26945, K86)+COUNTIF($K$26816:$K$26821, K86)+COUNTIF($K$26951:$K$26951, K86)+COUNTIF($K$26949:$K$26949, K86)+COUNTIF($K$26955:$K$26955, K86)+COUNTIF($K$26919:$K$26920, K86)+COUNTIF($K$26929:$K$26929, K86)+COUNTIF($K$26934:$K$26934, K86)+COUNTIF($K$26672:$K$26675, K86)+COUNTIF($K$26713:$K$26720, K86)+COUNTIF($K$26726:$K$26729, K86)+COUNTIF($K$26731:$K$26738, K86)+COUNTIF($K$26617:$K$26626, K86)+COUNTIF($K$26652:$K$26656, K86)+COUNTIF($K$26350:$K$26363, K86)+COUNTIF($K$26206:$K$26224, K86)+COUNTIF($K$26323:$K$26329, K86)+COUNTIF($K$26272:$K$26283, K86)+COUNTIF($K$26292:$K$26294, K86)+COUNTIF($K$26312:$K$26315, K86)+COUNTIF($K$26226:$K$26252, K86)+COUNTIF($K$23785:$K$26162, K86)+COUNTIF($K$26180:$K$26188, K86)+COUNTIF($K$26332:$K$26335, K86)+COUNTIF($K$26678:$K$26679, K86)+COUNTIF($K$26824:$K$26825, K86)+COUNTIF($K$26867:$K$26874, K86)+COUNTIF($K$26753:$K$26759, K86)+COUNTIF($K$26741:$K$26748, K86)&gt;1,NOT(ISBLANK(K86)))</formula>
    </cfRule>
  </conditionalFormatting>
  <conditionalFormatting sqref="L86">
    <cfRule type="expression" dxfId="677" priority="166" stopIfTrue="1">
      <formula>AND(COUNTIF($K$23045:$K$23045, L86)&gt;1,NOT(ISBLANK(L86)))</formula>
    </cfRule>
  </conditionalFormatting>
  <conditionalFormatting sqref="L86">
    <cfRule type="expression" dxfId="676" priority="167" stopIfTrue="1">
      <formula>AND(COUNTIF(#REF!, L86)+COUNTIF($K$26440:$K$26446, L86)+COUNTIF($K$26519:$K$26519, L86)+COUNTIF($K$26543:$K$26543, L86)+COUNTIF($K$26484:$K$26488, L86)+COUNTIF($K$26539:$K$26539, L86)+COUNTIF($K$26504:$K$26504, L86)+COUNTIF($K$26513:$K$26513, L86)+COUNTIF($K$26525:$K$26527, L86)+COUNTIF($K$26398:$K$26403, L86)+COUNTIF($K$26533:$K$26533, L86)+COUNTIF($K$26531:$K$26531, L86)+COUNTIF($K$26537:$K$26537, L86)+COUNTIF($K$26501:$K$26502, L86)+COUNTIF($K$26511:$K$26511, L86)+COUNTIF($K$26516:$K$26516, L86)+COUNTIF($K$26254:$K$26257, L86)+COUNTIF($K$26295:$K$26302, L86)+COUNTIF($K$26308:$K$26311, L86)+COUNTIF($K$26313:$K$26320, L86)+COUNTIF($K$26199:$K$26208, L86)+COUNTIF($K$26234:$K$26238, L86)+COUNTIF($K$25932:$K$25945, L86)+COUNTIF($K$25788:$K$25806, L86)+COUNTIF($K$25905:$K$25911, L86)+COUNTIF($K$25854:$K$25865, L86)+COUNTIF($K$25874:$K$25876, L86)+COUNTIF($K$25894:$K$25897, L86)+COUNTIF($K$25808:$K$25834, L86)+COUNTIF($K$23010:$K$25744, L86)+COUNTIF($K$25762:$K$25770, L86)+COUNTIF($K$25914:$K$25917, L86)+COUNTIF($K$26260:$K$26261, L86)+COUNTIF($K$26406:$K$26407, L86)+COUNTIF($K$26449:$K$26456, L86)+COUNTIF($K$26335:$K$26341, L86)+COUNTIF($K$26323:$K$26330, L86)&gt;1,NOT(ISBLANK(L86)))</formula>
    </cfRule>
  </conditionalFormatting>
  <conditionalFormatting sqref="L86">
    <cfRule type="expression" dxfId="675" priority="168" stopIfTrue="1">
      <formula>AND(COUNTIF(#REF!, L86)+COUNTIF($K$26083:$K$26089, L86)+COUNTIF($K$26162:$K$26162, L86)+COUNTIF($K$26186:$K$26186, L86)+COUNTIF($K$26127:$K$26131, L86)+COUNTIF($K$26182:$K$26182, L86)+COUNTIF($K$26147:$K$26147, L86)+COUNTIF($K$26156:$K$26156, L86)+COUNTIF($K$26168:$K$26170, L86)+COUNTIF($K$26041:$K$26046, L86)+COUNTIF($K$26176:$K$26176, L86)+COUNTIF($K$26174:$K$26174, L86)+COUNTIF($K$26180:$K$26180, L86)+COUNTIF($K$26144:$K$26145, L86)+COUNTIF($K$26154:$K$26154, L86)+COUNTIF($K$26159:$K$26159, L86)+COUNTIF($K$25897:$K$25900, L86)+COUNTIF($K$25938:$K$25945, L86)+COUNTIF($K$25951:$K$25954, L86)+COUNTIF($K$25956:$K$25963, L86)+COUNTIF($K$25842:$K$25851, L86)+COUNTIF($K$25877:$K$25881, L86)+COUNTIF($K$25575:$K$25588, L86)+COUNTIF($K$25431:$K$25449, L86)+COUNTIF($K$25548:$K$25554, L86)+COUNTIF($K$25497:$K$25508, L86)+COUNTIF($K$25517:$K$25519, L86)+COUNTIF($K$25537:$K$25540, L86)+COUNTIF($K$25451:$K$25477, L86)+COUNTIF($K$23010:$K$25387, L86)+COUNTIF($K$25405:$K$25413, L86)+COUNTIF($K$25557:$K$25560, L86)+COUNTIF($K$25903:$K$25904, L86)+COUNTIF($K$26049:$K$26050, L86)+COUNTIF($K$26092:$K$26099, L86)+COUNTIF($K$25978:$K$25984, L86)+COUNTIF($K$25966:$K$25973, L86)&gt;1,NOT(ISBLANK(L86)))</formula>
    </cfRule>
  </conditionalFormatting>
  <conditionalFormatting sqref="C86">
    <cfRule type="duplicateValues" dxfId="674" priority="169"/>
  </conditionalFormatting>
  <conditionalFormatting sqref="L86">
    <cfRule type="duplicateValues" dxfId="673" priority="170"/>
  </conditionalFormatting>
  <conditionalFormatting sqref="C86">
    <cfRule type="duplicateValues" dxfId="672" priority="171"/>
    <cfRule type="duplicateValues" dxfId="671" priority="172"/>
  </conditionalFormatting>
  <conditionalFormatting sqref="C86">
    <cfRule type="duplicateValues" dxfId="670" priority="173"/>
  </conditionalFormatting>
  <conditionalFormatting sqref="L86">
    <cfRule type="duplicateValues" dxfId="669" priority="174"/>
  </conditionalFormatting>
  <conditionalFormatting sqref="K95">
    <cfRule type="expression" dxfId="668" priority="151" stopIfTrue="1">
      <formula>AND(COUNTIF($K$23820:$K$23820, K95)&gt;1,NOT(ISBLANK(K95)))</formula>
    </cfRule>
  </conditionalFormatting>
  <conditionalFormatting sqref="K95">
    <cfRule type="expression" dxfId="667" priority="152" stopIfTrue="1">
      <formula>AND(COUNTIF(#REF!, K95)+COUNTIF($K$27215:$K$27221, K95)+COUNTIF($K$27294:$K$27294, K95)+COUNTIF($K$27318:$K$27318, K95)+COUNTIF($K$27259:$K$27263, K95)+COUNTIF($K$27314:$K$27314, K95)+COUNTIF($K$27279:$K$27279, K95)+COUNTIF($K$27288:$K$27288, K95)+COUNTIF($K$27300:$K$27302, K95)+COUNTIF($K$27173:$K$27178, K95)+COUNTIF($K$27308:$K$27308, K95)+COUNTIF($K$27306:$K$27306, K95)+COUNTIF($K$27312:$K$27312, K95)+COUNTIF($K$27276:$K$27277, K95)+COUNTIF($K$27286:$K$27286, K95)+COUNTIF($K$27291:$K$27291, K95)+COUNTIF($K$27029:$K$27032, K95)+COUNTIF($K$27070:$K$27077, K95)+COUNTIF($K$27083:$K$27086, K95)+COUNTIF($K$27088:$K$27095, K95)+COUNTIF($K$26974:$K$26983, K95)+COUNTIF($K$27009:$K$27013, K95)+COUNTIF($K$26707:$K$26720, K95)+COUNTIF($K$26563:$K$26581, K95)+COUNTIF($K$26680:$K$26686, K95)+COUNTIF($K$26629:$K$26640, K95)+COUNTIF($K$26649:$K$26651, K95)+COUNTIF($K$26669:$K$26672, K95)+COUNTIF($K$26583:$K$26609, K95)+COUNTIF($K$23785:$K$26519, K95)+COUNTIF($K$26537:$K$26545, K95)+COUNTIF($K$26689:$K$26692, K95)+COUNTIF($K$27035:$K$27036, K95)+COUNTIF($K$27181:$K$27182, K95)+COUNTIF($K$27224:$K$27231, K95)+COUNTIF($K$27110:$K$27116, K95)+COUNTIF($K$27098:$K$27105, K95)&gt;1,NOT(ISBLANK(K95)))</formula>
    </cfRule>
  </conditionalFormatting>
  <conditionalFormatting sqref="K95">
    <cfRule type="expression" dxfId="666" priority="153" stopIfTrue="1">
      <formula>AND(COUNTIF(#REF!, K95)+COUNTIF($K$26858:$K$26864, K95)+COUNTIF($K$26937:$K$26937, K95)+COUNTIF($K$26961:$K$26961, K95)+COUNTIF($K$26902:$K$26906, K95)+COUNTIF($K$26957:$K$26957, K95)+COUNTIF($K$26922:$K$26922, K95)+COUNTIF($K$26931:$K$26931, K95)+COUNTIF($K$26943:$K$26945, K95)+COUNTIF($K$26816:$K$26821, K95)+COUNTIF($K$26951:$K$26951, K95)+COUNTIF($K$26949:$K$26949, K95)+COUNTIF($K$26955:$K$26955, K95)+COUNTIF($K$26919:$K$26920, K95)+COUNTIF($K$26929:$K$26929, K95)+COUNTIF($K$26934:$K$26934, K95)+COUNTIF($K$26672:$K$26675, K95)+COUNTIF($K$26713:$K$26720, K95)+COUNTIF($K$26726:$K$26729, K95)+COUNTIF($K$26731:$K$26738, K95)+COUNTIF($K$26617:$K$26626, K95)+COUNTIF($K$26652:$K$26656, K95)+COUNTIF($K$26350:$K$26363, K95)+COUNTIF($K$26206:$K$26224, K95)+COUNTIF($K$26323:$K$26329, K95)+COUNTIF($K$26272:$K$26283, K95)+COUNTIF($K$26292:$K$26294, K95)+COUNTIF($K$26312:$K$26315, K95)+COUNTIF($K$26226:$K$26252, K95)+COUNTIF($K$23785:$K$26162, K95)+COUNTIF($K$26180:$K$26188, K95)+COUNTIF($K$26332:$K$26335, K95)+COUNTIF($K$26678:$K$26679, K95)+COUNTIF($K$26824:$K$26825, K95)+COUNTIF($K$26867:$K$26874, K95)+COUNTIF($K$26753:$K$26759, K95)+COUNTIF($K$26741:$K$26748, K95)&gt;1,NOT(ISBLANK(K95)))</formula>
    </cfRule>
  </conditionalFormatting>
  <conditionalFormatting sqref="L95">
    <cfRule type="expression" dxfId="665" priority="154" stopIfTrue="1">
      <formula>AND(COUNTIF($K$23045:$K$23045, L95)&gt;1,NOT(ISBLANK(L95)))</formula>
    </cfRule>
  </conditionalFormatting>
  <conditionalFormatting sqref="L95">
    <cfRule type="expression" dxfId="664" priority="155" stopIfTrue="1">
      <formula>AND(COUNTIF(#REF!, L95)+COUNTIF($K$26440:$K$26446, L95)+COUNTIF($K$26519:$K$26519, L95)+COUNTIF($K$26543:$K$26543, L95)+COUNTIF($K$26484:$K$26488, L95)+COUNTIF($K$26539:$K$26539, L95)+COUNTIF($K$26504:$K$26504, L95)+COUNTIF($K$26513:$K$26513, L95)+COUNTIF($K$26525:$K$26527, L95)+COUNTIF($K$26398:$K$26403, L95)+COUNTIF($K$26533:$K$26533, L95)+COUNTIF($K$26531:$K$26531, L95)+COUNTIF($K$26537:$K$26537, L95)+COUNTIF($K$26501:$K$26502, L95)+COUNTIF($K$26511:$K$26511, L95)+COUNTIF($K$26516:$K$26516, L95)+COUNTIF($K$26254:$K$26257, L95)+COUNTIF($K$26295:$K$26302, L95)+COUNTIF($K$26308:$K$26311, L95)+COUNTIF($K$26313:$K$26320, L95)+COUNTIF($K$26199:$K$26208, L95)+COUNTIF($K$26234:$K$26238, L95)+COUNTIF($K$25932:$K$25945, L95)+COUNTIF($K$25788:$K$25806, L95)+COUNTIF($K$25905:$K$25911, L95)+COUNTIF($K$25854:$K$25865, L95)+COUNTIF($K$25874:$K$25876, L95)+COUNTIF($K$25894:$K$25897, L95)+COUNTIF($K$25808:$K$25834, L95)+COUNTIF($K$23010:$K$25744, L95)+COUNTIF($K$25762:$K$25770, L95)+COUNTIF($K$25914:$K$25917, L95)+COUNTIF($K$26260:$K$26261, L95)+COUNTIF($K$26406:$K$26407, L95)+COUNTIF($K$26449:$K$26456, L95)+COUNTIF($K$26335:$K$26341, L95)+COUNTIF($K$26323:$K$26330, L95)&gt;1,NOT(ISBLANK(L95)))</formula>
    </cfRule>
  </conditionalFormatting>
  <conditionalFormatting sqref="L95">
    <cfRule type="expression" dxfId="663" priority="156" stopIfTrue="1">
      <formula>AND(COUNTIF(#REF!, L95)+COUNTIF($K$26083:$K$26089, L95)+COUNTIF($K$26162:$K$26162, L95)+COUNTIF($K$26186:$K$26186, L95)+COUNTIF($K$26127:$K$26131, L95)+COUNTIF($K$26182:$K$26182, L95)+COUNTIF($K$26147:$K$26147, L95)+COUNTIF($K$26156:$K$26156, L95)+COUNTIF($K$26168:$K$26170, L95)+COUNTIF($K$26041:$K$26046, L95)+COUNTIF($K$26176:$K$26176, L95)+COUNTIF($K$26174:$K$26174, L95)+COUNTIF($K$26180:$K$26180, L95)+COUNTIF($K$26144:$K$26145, L95)+COUNTIF($K$26154:$K$26154, L95)+COUNTIF($K$26159:$K$26159, L95)+COUNTIF($K$25897:$K$25900, L95)+COUNTIF($K$25938:$K$25945, L95)+COUNTIF($K$25951:$K$25954, L95)+COUNTIF($K$25956:$K$25963, L95)+COUNTIF($K$25842:$K$25851, L95)+COUNTIF($K$25877:$K$25881, L95)+COUNTIF($K$25575:$K$25588, L95)+COUNTIF($K$25431:$K$25449, L95)+COUNTIF($K$25548:$K$25554, L95)+COUNTIF($K$25497:$K$25508, L95)+COUNTIF($K$25517:$K$25519, L95)+COUNTIF($K$25537:$K$25540, L95)+COUNTIF($K$25451:$K$25477, L95)+COUNTIF($K$23010:$K$25387, L95)+COUNTIF($K$25405:$K$25413, L95)+COUNTIF($K$25557:$K$25560, L95)+COUNTIF($K$25903:$K$25904, L95)+COUNTIF($K$26049:$K$26050, L95)+COUNTIF($K$26092:$K$26099, L95)+COUNTIF($K$25978:$K$25984, L95)+COUNTIF($K$25966:$K$25973, L95)&gt;1,NOT(ISBLANK(L95)))</formula>
    </cfRule>
  </conditionalFormatting>
  <conditionalFormatting sqref="C95">
    <cfRule type="duplicateValues" dxfId="662" priority="157"/>
  </conditionalFormatting>
  <conditionalFormatting sqref="L95">
    <cfRule type="duplicateValues" dxfId="661" priority="158"/>
  </conditionalFormatting>
  <conditionalFormatting sqref="C95">
    <cfRule type="duplicateValues" dxfId="660" priority="159"/>
    <cfRule type="duplicateValues" dxfId="659" priority="160"/>
  </conditionalFormatting>
  <conditionalFormatting sqref="C95">
    <cfRule type="duplicateValues" dxfId="658" priority="161"/>
  </conditionalFormatting>
  <conditionalFormatting sqref="L95">
    <cfRule type="duplicateValues" dxfId="657" priority="162"/>
  </conditionalFormatting>
  <conditionalFormatting sqref="K102">
    <cfRule type="expression" dxfId="656" priority="139" stopIfTrue="1">
      <formula>AND(COUNTIF($K$23820:$K$23820, K102)&gt;1,NOT(ISBLANK(K102)))</formula>
    </cfRule>
  </conditionalFormatting>
  <conditionalFormatting sqref="K102">
    <cfRule type="expression" dxfId="655" priority="140" stopIfTrue="1">
      <formula>AND(COUNTIF(#REF!, K102)+COUNTIF($K$27215:$K$27221, K102)+COUNTIF($K$27294:$K$27294, K102)+COUNTIF($K$27318:$K$27318, K102)+COUNTIF($K$27259:$K$27263, K102)+COUNTIF($K$27314:$K$27314, K102)+COUNTIF($K$27279:$K$27279, K102)+COUNTIF($K$27288:$K$27288, K102)+COUNTIF($K$27300:$K$27302, K102)+COUNTIF($K$27173:$K$27178, K102)+COUNTIF($K$27308:$K$27308, K102)+COUNTIF($K$27306:$K$27306, K102)+COUNTIF($K$27312:$K$27312, K102)+COUNTIF($K$27276:$K$27277, K102)+COUNTIF($K$27286:$K$27286, K102)+COUNTIF($K$27291:$K$27291, K102)+COUNTIF($K$27029:$K$27032, K102)+COUNTIF($K$27070:$K$27077, K102)+COUNTIF($K$27083:$K$27086, K102)+COUNTIF($K$27088:$K$27095, K102)+COUNTIF($K$26974:$K$26983, K102)+COUNTIF($K$27009:$K$27013, K102)+COUNTIF($K$26707:$K$26720, K102)+COUNTIF($K$26563:$K$26581, K102)+COUNTIF($K$26680:$K$26686, K102)+COUNTIF($K$26629:$K$26640, K102)+COUNTIF($K$26649:$K$26651, K102)+COUNTIF($K$26669:$K$26672, K102)+COUNTIF($K$26583:$K$26609, K102)+COUNTIF($K$23785:$K$26519, K102)+COUNTIF($K$26537:$K$26545, K102)+COUNTIF($K$26689:$K$26692, K102)+COUNTIF($K$27035:$K$27036, K102)+COUNTIF($K$27181:$K$27182, K102)+COUNTIF($K$27224:$K$27231, K102)+COUNTIF($K$27110:$K$27116, K102)+COUNTIF($K$27098:$K$27105, K102)&gt;1,NOT(ISBLANK(K102)))</formula>
    </cfRule>
  </conditionalFormatting>
  <conditionalFormatting sqref="K102">
    <cfRule type="expression" dxfId="654" priority="141" stopIfTrue="1">
      <formula>AND(COUNTIF(#REF!, K102)+COUNTIF($K$26858:$K$26864, K102)+COUNTIF($K$26937:$K$26937, K102)+COUNTIF($K$26961:$K$26961, K102)+COUNTIF($K$26902:$K$26906, K102)+COUNTIF($K$26957:$K$26957, K102)+COUNTIF($K$26922:$K$26922, K102)+COUNTIF($K$26931:$K$26931, K102)+COUNTIF($K$26943:$K$26945, K102)+COUNTIF($K$26816:$K$26821, K102)+COUNTIF($K$26951:$K$26951, K102)+COUNTIF($K$26949:$K$26949, K102)+COUNTIF($K$26955:$K$26955, K102)+COUNTIF($K$26919:$K$26920, K102)+COUNTIF($K$26929:$K$26929, K102)+COUNTIF($K$26934:$K$26934, K102)+COUNTIF($K$26672:$K$26675, K102)+COUNTIF($K$26713:$K$26720, K102)+COUNTIF($K$26726:$K$26729, K102)+COUNTIF($K$26731:$K$26738, K102)+COUNTIF($K$26617:$K$26626, K102)+COUNTIF($K$26652:$K$26656, K102)+COUNTIF($K$26350:$K$26363, K102)+COUNTIF($K$26206:$K$26224, K102)+COUNTIF($K$26323:$K$26329, K102)+COUNTIF($K$26272:$K$26283, K102)+COUNTIF($K$26292:$K$26294, K102)+COUNTIF($K$26312:$K$26315, K102)+COUNTIF($K$26226:$K$26252, K102)+COUNTIF($K$23785:$K$26162, K102)+COUNTIF($K$26180:$K$26188, K102)+COUNTIF($K$26332:$K$26335, K102)+COUNTIF($K$26678:$K$26679, K102)+COUNTIF($K$26824:$K$26825, K102)+COUNTIF($K$26867:$K$26874, K102)+COUNTIF($K$26753:$K$26759, K102)+COUNTIF($K$26741:$K$26748, K102)&gt;1,NOT(ISBLANK(K102)))</formula>
    </cfRule>
  </conditionalFormatting>
  <conditionalFormatting sqref="L102">
    <cfRule type="expression" dxfId="653" priority="142" stopIfTrue="1">
      <formula>AND(COUNTIF($K$23045:$K$23045, L102)&gt;1,NOT(ISBLANK(L102)))</formula>
    </cfRule>
  </conditionalFormatting>
  <conditionalFormatting sqref="L102">
    <cfRule type="expression" dxfId="652" priority="143" stopIfTrue="1">
      <formula>AND(COUNTIF(#REF!, L102)+COUNTIF($K$26440:$K$26446, L102)+COUNTIF($K$26519:$K$26519, L102)+COUNTIF($K$26543:$K$26543, L102)+COUNTIF($K$26484:$K$26488, L102)+COUNTIF($K$26539:$K$26539, L102)+COUNTIF($K$26504:$K$26504, L102)+COUNTIF($K$26513:$K$26513, L102)+COUNTIF($K$26525:$K$26527, L102)+COUNTIF($K$26398:$K$26403, L102)+COUNTIF($K$26533:$K$26533, L102)+COUNTIF($K$26531:$K$26531, L102)+COUNTIF($K$26537:$K$26537, L102)+COUNTIF($K$26501:$K$26502, L102)+COUNTIF($K$26511:$K$26511, L102)+COUNTIF($K$26516:$K$26516, L102)+COUNTIF($K$26254:$K$26257, L102)+COUNTIF($K$26295:$K$26302, L102)+COUNTIF($K$26308:$K$26311, L102)+COUNTIF($K$26313:$K$26320, L102)+COUNTIF($K$26199:$K$26208, L102)+COUNTIF($K$26234:$K$26238, L102)+COUNTIF($K$25932:$K$25945, L102)+COUNTIF($K$25788:$K$25806, L102)+COUNTIF($K$25905:$K$25911, L102)+COUNTIF($K$25854:$K$25865, L102)+COUNTIF($K$25874:$K$25876, L102)+COUNTIF($K$25894:$K$25897, L102)+COUNTIF($K$25808:$K$25834, L102)+COUNTIF($K$23010:$K$25744, L102)+COUNTIF($K$25762:$K$25770, L102)+COUNTIF($K$25914:$K$25917, L102)+COUNTIF($K$26260:$K$26261, L102)+COUNTIF($K$26406:$K$26407, L102)+COUNTIF($K$26449:$K$26456, L102)+COUNTIF($K$26335:$K$26341, L102)+COUNTIF($K$26323:$K$26330, L102)&gt;1,NOT(ISBLANK(L102)))</formula>
    </cfRule>
  </conditionalFormatting>
  <conditionalFormatting sqref="L102">
    <cfRule type="expression" dxfId="651" priority="144" stopIfTrue="1">
      <formula>AND(COUNTIF(#REF!, L102)+COUNTIF($K$26083:$K$26089, L102)+COUNTIF($K$26162:$K$26162, L102)+COUNTIF($K$26186:$K$26186, L102)+COUNTIF($K$26127:$K$26131, L102)+COUNTIF($K$26182:$K$26182, L102)+COUNTIF($K$26147:$K$26147, L102)+COUNTIF($K$26156:$K$26156, L102)+COUNTIF($K$26168:$K$26170, L102)+COUNTIF($K$26041:$K$26046, L102)+COUNTIF($K$26176:$K$26176, L102)+COUNTIF($K$26174:$K$26174, L102)+COUNTIF($K$26180:$K$26180, L102)+COUNTIF($K$26144:$K$26145, L102)+COUNTIF($K$26154:$K$26154, L102)+COUNTIF($K$26159:$K$26159, L102)+COUNTIF($K$25897:$K$25900, L102)+COUNTIF($K$25938:$K$25945, L102)+COUNTIF($K$25951:$K$25954, L102)+COUNTIF($K$25956:$K$25963, L102)+COUNTIF($K$25842:$K$25851, L102)+COUNTIF($K$25877:$K$25881, L102)+COUNTIF($K$25575:$K$25588, L102)+COUNTIF($K$25431:$K$25449, L102)+COUNTIF($K$25548:$K$25554, L102)+COUNTIF($K$25497:$K$25508, L102)+COUNTIF($K$25517:$K$25519, L102)+COUNTIF($K$25537:$K$25540, L102)+COUNTIF($K$25451:$K$25477, L102)+COUNTIF($K$23010:$K$25387, L102)+COUNTIF($K$25405:$K$25413, L102)+COUNTIF($K$25557:$K$25560, L102)+COUNTIF($K$25903:$K$25904, L102)+COUNTIF($K$26049:$K$26050, L102)+COUNTIF($K$26092:$K$26099, L102)+COUNTIF($K$25978:$K$25984, L102)+COUNTIF($K$25966:$K$25973, L102)&gt;1,NOT(ISBLANK(L102)))</formula>
    </cfRule>
  </conditionalFormatting>
  <conditionalFormatting sqref="C102">
    <cfRule type="duplicateValues" dxfId="650" priority="145"/>
  </conditionalFormatting>
  <conditionalFormatting sqref="L102">
    <cfRule type="duplicateValues" dxfId="649" priority="146"/>
  </conditionalFormatting>
  <conditionalFormatting sqref="C102">
    <cfRule type="duplicateValues" dxfId="648" priority="147"/>
    <cfRule type="duplicateValues" dxfId="647" priority="148"/>
  </conditionalFormatting>
  <conditionalFormatting sqref="C102">
    <cfRule type="duplicateValues" dxfId="646" priority="149"/>
  </conditionalFormatting>
  <conditionalFormatting sqref="L102">
    <cfRule type="duplicateValues" dxfId="645" priority="150"/>
  </conditionalFormatting>
  <conditionalFormatting sqref="K103">
    <cfRule type="expression" dxfId="644" priority="127" stopIfTrue="1">
      <formula>AND(COUNTIF($K$23820:$K$23820, K103)&gt;1,NOT(ISBLANK(K103)))</formula>
    </cfRule>
  </conditionalFormatting>
  <conditionalFormatting sqref="K103">
    <cfRule type="expression" dxfId="643" priority="128" stopIfTrue="1">
      <formula>AND(COUNTIF(#REF!, K103)+COUNTIF($K$27215:$K$27221, K103)+COUNTIF($K$27294:$K$27294, K103)+COUNTIF($K$27318:$K$27318, K103)+COUNTIF($K$27259:$K$27263, K103)+COUNTIF($K$27314:$K$27314, K103)+COUNTIF($K$27279:$K$27279, K103)+COUNTIF($K$27288:$K$27288, K103)+COUNTIF($K$27300:$K$27302, K103)+COUNTIF($K$27173:$K$27178, K103)+COUNTIF($K$27308:$K$27308, K103)+COUNTIF($K$27306:$K$27306, K103)+COUNTIF($K$27312:$K$27312, K103)+COUNTIF($K$27276:$K$27277, K103)+COUNTIF($K$27286:$K$27286, K103)+COUNTIF($K$27291:$K$27291, K103)+COUNTIF($K$27029:$K$27032, K103)+COUNTIF($K$27070:$K$27077, K103)+COUNTIF($K$27083:$K$27086, K103)+COUNTIF($K$27088:$K$27095, K103)+COUNTIF($K$26974:$K$26983, K103)+COUNTIF($K$27009:$K$27013, K103)+COUNTIF($K$26707:$K$26720, K103)+COUNTIF($K$26563:$K$26581, K103)+COUNTIF($K$26680:$K$26686, K103)+COUNTIF($K$26629:$K$26640, K103)+COUNTIF($K$26649:$K$26651, K103)+COUNTIF($K$26669:$K$26672, K103)+COUNTIF($K$26583:$K$26609, K103)+COUNTIF($K$23785:$K$26519, K103)+COUNTIF($K$26537:$K$26545, K103)+COUNTIF($K$26689:$K$26692, K103)+COUNTIF($K$27035:$K$27036, K103)+COUNTIF($K$27181:$K$27182, K103)+COUNTIF($K$27224:$K$27231, K103)+COUNTIF($K$27110:$K$27116, K103)+COUNTIF($K$27098:$K$27105, K103)&gt;1,NOT(ISBLANK(K103)))</formula>
    </cfRule>
  </conditionalFormatting>
  <conditionalFormatting sqref="K103">
    <cfRule type="expression" dxfId="642" priority="129" stopIfTrue="1">
      <formula>AND(COUNTIF(#REF!, K103)+COUNTIF($K$26858:$K$26864, K103)+COUNTIF($K$26937:$K$26937, K103)+COUNTIF($K$26961:$K$26961, K103)+COUNTIF($K$26902:$K$26906, K103)+COUNTIF($K$26957:$K$26957, K103)+COUNTIF($K$26922:$K$26922, K103)+COUNTIF($K$26931:$K$26931, K103)+COUNTIF($K$26943:$K$26945, K103)+COUNTIF($K$26816:$K$26821, K103)+COUNTIF($K$26951:$K$26951, K103)+COUNTIF($K$26949:$K$26949, K103)+COUNTIF($K$26955:$K$26955, K103)+COUNTIF($K$26919:$K$26920, K103)+COUNTIF($K$26929:$K$26929, K103)+COUNTIF($K$26934:$K$26934, K103)+COUNTIF($K$26672:$K$26675, K103)+COUNTIF($K$26713:$K$26720, K103)+COUNTIF($K$26726:$K$26729, K103)+COUNTIF($K$26731:$K$26738, K103)+COUNTIF($K$26617:$K$26626, K103)+COUNTIF($K$26652:$K$26656, K103)+COUNTIF($K$26350:$K$26363, K103)+COUNTIF($K$26206:$K$26224, K103)+COUNTIF($K$26323:$K$26329, K103)+COUNTIF($K$26272:$K$26283, K103)+COUNTIF($K$26292:$K$26294, K103)+COUNTIF($K$26312:$K$26315, K103)+COUNTIF($K$26226:$K$26252, K103)+COUNTIF($K$23785:$K$26162, K103)+COUNTIF($K$26180:$K$26188, K103)+COUNTIF($K$26332:$K$26335, K103)+COUNTIF($K$26678:$K$26679, K103)+COUNTIF($K$26824:$K$26825, K103)+COUNTIF($K$26867:$K$26874, K103)+COUNTIF($K$26753:$K$26759, K103)+COUNTIF($K$26741:$K$26748, K103)&gt;1,NOT(ISBLANK(K103)))</formula>
    </cfRule>
  </conditionalFormatting>
  <conditionalFormatting sqref="L103">
    <cfRule type="expression" dxfId="641" priority="130" stopIfTrue="1">
      <formula>AND(COUNTIF($K$23045:$K$23045, L103)&gt;1,NOT(ISBLANK(L103)))</formula>
    </cfRule>
  </conditionalFormatting>
  <conditionalFormatting sqref="L103">
    <cfRule type="expression" dxfId="640" priority="131" stopIfTrue="1">
      <formula>AND(COUNTIF(#REF!, L103)+COUNTIF($K$26440:$K$26446, L103)+COUNTIF($K$26519:$K$26519, L103)+COUNTIF($K$26543:$K$26543, L103)+COUNTIF($K$26484:$K$26488, L103)+COUNTIF($K$26539:$K$26539, L103)+COUNTIF($K$26504:$K$26504, L103)+COUNTIF($K$26513:$K$26513, L103)+COUNTIF($K$26525:$K$26527, L103)+COUNTIF($K$26398:$K$26403, L103)+COUNTIF($K$26533:$K$26533, L103)+COUNTIF($K$26531:$K$26531, L103)+COUNTIF($K$26537:$K$26537, L103)+COUNTIF($K$26501:$K$26502, L103)+COUNTIF($K$26511:$K$26511, L103)+COUNTIF($K$26516:$K$26516, L103)+COUNTIF($K$26254:$K$26257, L103)+COUNTIF($K$26295:$K$26302, L103)+COUNTIF($K$26308:$K$26311, L103)+COUNTIF($K$26313:$K$26320, L103)+COUNTIF($K$26199:$K$26208, L103)+COUNTIF($K$26234:$K$26238, L103)+COUNTIF($K$25932:$K$25945, L103)+COUNTIF($K$25788:$K$25806, L103)+COUNTIF($K$25905:$K$25911, L103)+COUNTIF($K$25854:$K$25865, L103)+COUNTIF($K$25874:$K$25876, L103)+COUNTIF($K$25894:$K$25897, L103)+COUNTIF($K$25808:$K$25834, L103)+COUNTIF($K$23010:$K$25744, L103)+COUNTIF($K$25762:$K$25770, L103)+COUNTIF($K$25914:$K$25917, L103)+COUNTIF($K$26260:$K$26261, L103)+COUNTIF($K$26406:$K$26407, L103)+COUNTIF($K$26449:$K$26456, L103)+COUNTIF($K$26335:$K$26341, L103)+COUNTIF($K$26323:$K$26330, L103)&gt;1,NOT(ISBLANK(L103)))</formula>
    </cfRule>
  </conditionalFormatting>
  <conditionalFormatting sqref="L103">
    <cfRule type="expression" dxfId="639" priority="132" stopIfTrue="1">
      <formula>AND(COUNTIF(#REF!, L103)+COUNTIF($K$26083:$K$26089, L103)+COUNTIF($K$26162:$K$26162, L103)+COUNTIF($K$26186:$K$26186, L103)+COUNTIF($K$26127:$K$26131, L103)+COUNTIF($K$26182:$K$26182, L103)+COUNTIF($K$26147:$K$26147, L103)+COUNTIF($K$26156:$K$26156, L103)+COUNTIF($K$26168:$K$26170, L103)+COUNTIF($K$26041:$K$26046, L103)+COUNTIF($K$26176:$K$26176, L103)+COUNTIF($K$26174:$K$26174, L103)+COUNTIF($K$26180:$K$26180, L103)+COUNTIF($K$26144:$K$26145, L103)+COUNTIF($K$26154:$K$26154, L103)+COUNTIF($K$26159:$K$26159, L103)+COUNTIF($K$25897:$K$25900, L103)+COUNTIF($K$25938:$K$25945, L103)+COUNTIF($K$25951:$K$25954, L103)+COUNTIF($K$25956:$K$25963, L103)+COUNTIF($K$25842:$K$25851, L103)+COUNTIF($K$25877:$K$25881, L103)+COUNTIF($K$25575:$K$25588, L103)+COUNTIF($K$25431:$K$25449, L103)+COUNTIF($K$25548:$K$25554, L103)+COUNTIF($K$25497:$K$25508, L103)+COUNTIF($K$25517:$K$25519, L103)+COUNTIF($K$25537:$K$25540, L103)+COUNTIF($K$25451:$K$25477, L103)+COUNTIF($K$23010:$K$25387, L103)+COUNTIF($K$25405:$K$25413, L103)+COUNTIF($K$25557:$K$25560, L103)+COUNTIF($K$25903:$K$25904, L103)+COUNTIF($K$26049:$K$26050, L103)+COUNTIF($K$26092:$K$26099, L103)+COUNTIF($K$25978:$K$25984, L103)+COUNTIF($K$25966:$K$25973, L103)&gt;1,NOT(ISBLANK(L103)))</formula>
    </cfRule>
  </conditionalFormatting>
  <conditionalFormatting sqref="C103">
    <cfRule type="duplicateValues" dxfId="638" priority="133"/>
  </conditionalFormatting>
  <conditionalFormatting sqref="L103">
    <cfRule type="duplicateValues" dxfId="637" priority="134"/>
  </conditionalFormatting>
  <conditionalFormatting sqref="C103">
    <cfRule type="duplicateValues" dxfId="636" priority="135"/>
    <cfRule type="duplicateValues" dxfId="635" priority="136"/>
  </conditionalFormatting>
  <conditionalFormatting sqref="C103">
    <cfRule type="duplicateValues" dxfId="634" priority="137"/>
  </conditionalFormatting>
  <conditionalFormatting sqref="L103">
    <cfRule type="duplicateValues" dxfId="633" priority="138"/>
  </conditionalFormatting>
  <conditionalFormatting sqref="K104">
    <cfRule type="expression" dxfId="632" priority="115" stopIfTrue="1">
      <formula>AND(COUNTIF($K$23820:$K$23820, K104)&gt;1,NOT(ISBLANK(K104)))</formula>
    </cfRule>
  </conditionalFormatting>
  <conditionalFormatting sqref="K104">
    <cfRule type="expression" dxfId="631" priority="116" stopIfTrue="1">
      <formula>AND(COUNTIF(#REF!, K104)+COUNTIF($K$27215:$K$27221, K104)+COUNTIF($K$27294:$K$27294, K104)+COUNTIF($K$27318:$K$27318, K104)+COUNTIF($K$27259:$K$27263, K104)+COUNTIF($K$27314:$K$27314, K104)+COUNTIF($K$27279:$K$27279, K104)+COUNTIF($K$27288:$K$27288, K104)+COUNTIF($K$27300:$K$27302, K104)+COUNTIF($K$27173:$K$27178, K104)+COUNTIF($K$27308:$K$27308, K104)+COUNTIF($K$27306:$K$27306, K104)+COUNTIF($K$27312:$K$27312, K104)+COUNTIF($K$27276:$K$27277, K104)+COUNTIF($K$27286:$K$27286, K104)+COUNTIF($K$27291:$K$27291, K104)+COUNTIF($K$27029:$K$27032, K104)+COUNTIF($K$27070:$K$27077, K104)+COUNTIF($K$27083:$K$27086, K104)+COUNTIF($K$27088:$K$27095, K104)+COUNTIF($K$26974:$K$26983, K104)+COUNTIF($K$27009:$K$27013, K104)+COUNTIF($K$26707:$K$26720, K104)+COUNTIF($K$26563:$K$26581, K104)+COUNTIF($K$26680:$K$26686, K104)+COUNTIF($K$26629:$K$26640, K104)+COUNTIF($K$26649:$K$26651, K104)+COUNTIF($K$26669:$K$26672, K104)+COUNTIF($K$26583:$K$26609, K104)+COUNTIF($K$23785:$K$26519, K104)+COUNTIF($K$26537:$K$26545, K104)+COUNTIF($K$26689:$K$26692, K104)+COUNTIF($K$27035:$K$27036, K104)+COUNTIF($K$27181:$K$27182, K104)+COUNTIF($K$27224:$K$27231, K104)+COUNTIF($K$27110:$K$27116, K104)+COUNTIF($K$27098:$K$27105, K104)&gt;1,NOT(ISBLANK(K104)))</formula>
    </cfRule>
  </conditionalFormatting>
  <conditionalFormatting sqref="K104">
    <cfRule type="expression" dxfId="630" priority="117" stopIfTrue="1">
      <formula>AND(COUNTIF(#REF!, K104)+COUNTIF($K$26858:$K$26864, K104)+COUNTIF($K$26937:$K$26937, K104)+COUNTIF($K$26961:$K$26961, K104)+COUNTIF($K$26902:$K$26906, K104)+COUNTIF($K$26957:$K$26957, K104)+COUNTIF($K$26922:$K$26922, K104)+COUNTIF($K$26931:$K$26931, K104)+COUNTIF($K$26943:$K$26945, K104)+COUNTIF($K$26816:$K$26821, K104)+COUNTIF($K$26951:$K$26951, K104)+COUNTIF($K$26949:$K$26949, K104)+COUNTIF($K$26955:$K$26955, K104)+COUNTIF($K$26919:$K$26920, K104)+COUNTIF($K$26929:$K$26929, K104)+COUNTIF($K$26934:$K$26934, K104)+COUNTIF($K$26672:$K$26675, K104)+COUNTIF($K$26713:$K$26720, K104)+COUNTIF($K$26726:$K$26729, K104)+COUNTIF($K$26731:$K$26738, K104)+COUNTIF($K$26617:$K$26626, K104)+COUNTIF($K$26652:$K$26656, K104)+COUNTIF($K$26350:$K$26363, K104)+COUNTIF($K$26206:$K$26224, K104)+COUNTIF($K$26323:$K$26329, K104)+COUNTIF($K$26272:$K$26283, K104)+COUNTIF($K$26292:$K$26294, K104)+COUNTIF($K$26312:$K$26315, K104)+COUNTIF($K$26226:$K$26252, K104)+COUNTIF($K$23785:$K$26162, K104)+COUNTIF($K$26180:$K$26188, K104)+COUNTIF($K$26332:$K$26335, K104)+COUNTIF($K$26678:$K$26679, K104)+COUNTIF($K$26824:$K$26825, K104)+COUNTIF($K$26867:$K$26874, K104)+COUNTIF($K$26753:$K$26759, K104)+COUNTIF($K$26741:$K$26748, K104)&gt;1,NOT(ISBLANK(K104)))</formula>
    </cfRule>
  </conditionalFormatting>
  <conditionalFormatting sqref="L104">
    <cfRule type="expression" dxfId="629" priority="118" stopIfTrue="1">
      <formula>AND(COUNTIF($K$23045:$K$23045, L104)&gt;1,NOT(ISBLANK(L104)))</formula>
    </cfRule>
  </conditionalFormatting>
  <conditionalFormatting sqref="L104">
    <cfRule type="expression" dxfId="628" priority="119" stopIfTrue="1">
      <formula>AND(COUNTIF(#REF!, L104)+COUNTIF($K$26440:$K$26446, L104)+COUNTIF($K$26519:$K$26519, L104)+COUNTIF($K$26543:$K$26543, L104)+COUNTIF($K$26484:$K$26488, L104)+COUNTIF($K$26539:$K$26539, L104)+COUNTIF($K$26504:$K$26504, L104)+COUNTIF($K$26513:$K$26513, L104)+COUNTIF($K$26525:$K$26527, L104)+COUNTIF($K$26398:$K$26403, L104)+COUNTIF($K$26533:$K$26533, L104)+COUNTIF($K$26531:$K$26531, L104)+COUNTIF($K$26537:$K$26537, L104)+COUNTIF($K$26501:$K$26502, L104)+COUNTIF($K$26511:$K$26511, L104)+COUNTIF($K$26516:$K$26516, L104)+COUNTIF($K$26254:$K$26257, L104)+COUNTIF($K$26295:$K$26302, L104)+COUNTIF($K$26308:$K$26311, L104)+COUNTIF($K$26313:$K$26320, L104)+COUNTIF($K$26199:$K$26208, L104)+COUNTIF($K$26234:$K$26238, L104)+COUNTIF($K$25932:$K$25945, L104)+COUNTIF($K$25788:$K$25806, L104)+COUNTIF($K$25905:$K$25911, L104)+COUNTIF($K$25854:$K$25865, L104)+COUNTIF($K$25874:$K$25876, L104)+COUNTIF($K$25894:$K$25897, L104)+COUNTIF($K$25808:$K$25834, L104)+COUNTIF($K$23010:$K$25744, L104)+COUNTIF($K$25762:$K$25770, L104)+COUNTIF($K$25914:$K$25917, L104)+COUNTIF($K$26260:$K$26261, L104)+COUNTIF($K$26406:$K$26407, L104)+COUNTIF($K$26449:$K$26456, L104)+COUNTIF($K$26335:$K$26341, L104)+COUNTIF($K$26323:$K$26330, L104)&gt;1,NOT(ISBLANK(L104)))</formula>
    </cfRule>
  </conditionalFormatting>
  <conditionalFormatting sqref="L104">
    <cfRule type="expression" dxfId="627" priority="120" stopIfTrue="1">
      <formula>AND(COUNTIF(#REF!, L104)+COUNTIF($K$26083:$K$26089, L104)+COUNTIF($K$26162:$K$26162, L104)+COUNTIF($K$26186:$K$26186, L104)+COUNTIF($K$26127:$K$26131, L104)+COUNTIF($K$26182:$K$26182, L104)+COUNTIF($K$26147:$K$26147, L104)+COUNTIF($K$26156:$K$26156, L104)+COUNTIF($K$26168:$K$26170, L104)+COUNTIF($K$26041:$K$26046, L104)+COUNTIF($K$26176:$K$26176, L104)+COUNTIF($K$26174:$K$26174, L104)+COUNTIF($K$26180:$K$26180, L104)+COUNTIF($K$26144:$K$26145, L104)+COUNTIF($K$26154:$K$26154, L104)+COUNTIF($K$26159:$K$26159, L104)+COUNTIF($K$25897:$K$25900, L104)+COUNTIF($K$25938:$K$25945, L104)+COUNTIF($K$25951:$K$25954, L104)+COUNTIF($K$25956:$K$25963, L104)+COUNTIF($K$25842:$K$25851, L104)+COUNTIF($K$25877:$K$25881, L104)+COUNTIF($K$25575:$K$25588, L104)+COUNTIF($K$25431:$K$25449, L104)+COUNTIF($K$25548:$K$25554, L104)+COUNTIF($K$25497:$K$25508, L104)+COUNTIF($K$25517:$K$25519, L104)+COUNTIF($K$25537:$K$25540, L104)+COUNTIF($K$25451:$K$25477, L104)+COUNTIF($K$23010:$K$25387, L104)+COUNTIF($K$25405:$K$25413, L104)+COUNTIF($K$25557:$K$25560, L104)+COUNTIF($K$25903:$K$25904, L104)+COUNTIF($K$26049:$K$26050, L104)+COUNTIF($K$26092:$K$26099, L104)+COUNTIF($K$25978:$K$25984, L104)+COUNTIF($K$25966:$K$25973, L104)&gt;1,NOT(ISBLANK(L104)))</formula>
    </cfRule>
  </conditionalFormatting>
  <conditionalFormatting sqref="C104">
    <cfRule type="duplicateValues" dxfId="626" priority="121"/>
  </conditionalFormatting>
  <conditionalFormatting sqref="L104">
    <cfRule type="duplicateValues" dxfId="625" priority="122"/>
  </conditionalFormatting>
  <conditionalFormatting sqref="C104">
    <cfRule type="duplicateValues" dxfId="624" priority="123"/>
    <cfRule type="duplicateValues" dxfId="623" priority="124"/>
  </conditionalFormatting>
  <conditionalFormatting sqref="C104">
    <cfRule type="duplicateValues" dxfId="622" priority="125"/>
  </conditionalFormatting>
  <conditionalFormatting sqref="L104">
    <cfRule type="duplicateValues" dxfId="621" priority="126"/>
  </conditionalFormatting>
  <conditionalFormatting sqref="K167">
    <cfRule type="expression" dxfId="620" priority="103" stopIfTrue="1">
      <formula>AND(COUNTIF($K$23820:$K$23820, K167)&gt;1,NOT(ISBLANK(K167)))</formula>
    </cfRule>
  </conditionalFormatting>
  <conditionalFormatting sqref="K167">
    <cfRule type="expression" dxfId="619" priority="104" stopIfTrue="1">
      <formula>AND(COUNTIF(#REF!, K167)+COUNTIF($K$27215:$K$27221, K167)+COUNTIF($K$27294:$K$27294, K167)+COUNTIF($K$27318:$K$27318, K167)+COUNTIF($K$27259:$K$27263, K167)+COUNTIF($K$27314:$K$27314, K167)+COUNTIF($K$27279:$K$27279, K167)+COUNTIF($K$27288:$K$27288, K167)+COUNTIF($K$27300:$K$27302, K167)+COUNTIF($K$27173:$K$27178, K167)+COUNTIF($K$27308:$K$27308, K167)+COUNTIF($K$27306:$K$27306, K167)+COUNTIF($K$27312:$K$27312, K167)+COUNTIF($K$27276:$K$27277, K167)+COUNTIF($K$27286:$K$27286, K167)+COUNTIF($K$27291:$K$27291, K167)+COUNTIF($K$27029:$K$27032, K167)+COUNTIF($K$27070:$K$27077, K167)+COUNTIF($K$27083:$K$27086, K167)+COUNTIF($K$27088:$K$27095, K167)+COUNTIF($K$26974:$K$26983, K167)+COUNTIF($K$27009:$K$27013, K167)+COUNTIF($K$26707:$K$26720, K167)+COUNTIF($K$26563:$K$26581, K167)+COUNTIF($K$26680:$K$26686, K167)+COUNTIF($K$26629:$K$26640, K167)+COUNTIF($K$26649:$K$26651, K167)+COUNTIF($K$26669:$K$26672, K167)+COUNTIF($K$26583:$K$26609, K167)+COUNTIF($K$23785:$K$26519, K167)+COUNTIF($K$26537:$K$26545, K167)+COUNTIF($K$26689:$K$26692, K167)+COUNTIF($K$27035:$K$27036, K167)+COUNTIF($K$27181:$K$27182, K167)+COUNTIF($K$27224:$K$27231, K167)+COUNTIF($K$27110:$K$27116, K167)+COUNTIF($K$27098:$K$27105, K167)&gt;1,NOT(ISBLANK(K167)))</formula>
    </cfRule>
  </conditionalFormatting>
  <conditionalFormatting sqref="K167">
    <cfRule type="expression" dxfId="618" priority="105" stopIfTrue="1">
      <formula>AND(COUNTIF(#REF!, K167)+COUNTIF($K$26858:$K$26864, K167)+COUNTIF($K$26937:$K$26937, K167)+COUNTIF($K$26961:$K$26961, K167)+COUNTIF($K$26902:$K$26906, K167)+COUNTIF($K$26957:$K$26957, K167)+COUNTIF($K$26922:$K$26922, K167)+COUNTIF($K$26931:$K$26931, K167)+COUNTIF($K$26943:$K$26945, K167)+COUNTIF($K$26816:$K$26821, K167)+COUNTIF($K$26951:$K$26951, K167)+COUNTIF($K$26949:$K$26949, K167)+COUNTIF($K$26955:$K$26955, K167)+COUNTIF($K$26919:$K$26920, K167)+COUNTIF($K$26929:$K$26929, K167)+COUNTIF($K$26934:$K$26934, K167)+COUNTIF($K$26672:$K$26675, K167)+COUNTIF($K$26713:$K$26720, K167)+COUNTIF($K$26726:$K$26729, K167)+COUNTIF($K$26731:$K$26738, K167)+COUNTIF($K$26617:$K$26626, K167)+COUNTIF($K$26652:$K$26656, K167)+COUNTIF($K$26350:$K$26363, K167)+COUNTIF($K$26206:$K$26224, K167)+COUNTIF($K$26323:$K$26329, K167)+COUNTIF($K$26272:$K$26283, K167)+COUNTIF($K$26292:$K$26294, K167)+COUNTIF($K$26312:$K$26315, K167)+COUNTIF($K$26226:$K$26252, K167)+COUNTIF($K$23785:$K$26162, K167)+COUNTIF($K$26180:$K$26188, K167)+COUNTIF($K$26332:$K$26335, K167)+COUNTIF($K$26678:$K$26679, K167)+COUNTIF($K$26824:$K$26825, K167)+COUNTIF($K$26867:$K$26874, K167)+COUNTIF($K$26753:$K$26759, K167)+COUNTIF($K$26741:$K$26748, K167)&gt;1,NOT(ISBLANK(K167)))</formula>
    </cfRule>
  </conditionalFormatting>
  <conditionalFormatting sqref="L167">
    <cfRule type="expression" dxfId="617" priority="106" stopIfTrue="1">
      <formula>AND(COUNTIF($K$23045:$K$23045, L167)&gt;1,NOT(ISBLANK(L167)))</formula>
    </cfRule>
  </conditionalFormatting>
  <conditionalFormatting sqref="L167">
    <cfRule type="expression" dxfId="616" priority="107" stopIfTrue="1">
      <formula>AND(COUNTIF(#REF!, L167)+COUNTIF($K$26440:$K$26446, L167)+COUNTIF($K$26519:$K$26519, L167)+COUNTIF($K$26543:$K$26543, L167)+COUNTIF($K$26484:$K$26488, L167)+COUNTIF($K$26539:$K$26539, L167)+COUNTIF($K$26504:$K$26504, L167)+COUNTIF($K$26513:$K$26513, L167)+COUNTIF($K$26525:$K$26527, L167)+COUNTIF($K$26398:$K$26403, L167)+COUNTIF($K$26533:$K$26533, L167)+COUNTIF($K$26531:$K$26531, L167)+COUNTIF($K$26537:$K$26537, L167)+COUNTIF($K$26501:$K$26502, L167)+COUNTIF($K$26511:$K$26511, L167)+COUNTIF($K$26516:$K$26516, L167)+COUNTIF($K$26254:$K$26257, L167)+COUNTIF($K$26295:$K$26302, L167)+COUNTIF($K$26308:$K$26311, L167)+COUNTIF($K$26313:$K$26320, L167)+COUNTIF($K$26199:$K$26208, L167)+COUNTIF($K$26234:$K$26238, L167)+COUNTIF($K$25932:$K$25945, L167)+COUNTIF($K$25788:$K$25806, L167)+COUNTIF($K$25905:$K$25911, L167)+COUNTIF($K$25854:$K$25865, L167)+COUNTIF($K$25874:$K$25876, L167)+COUNTIF($K$25894:$K$25897, L167)+COUNTIF($K$25808:$K$25834, L167)+COUNTIF($K$23010:$K$25744, L167)+COUNTIF($K$25762:$K$25770, L167)+COUNTIF($K$25914:$K$25917, L167)+COUNTIF($K$26260:$K$26261, L167)+COUNTIF($K$26406:$K$26407, L167)+COUNTIF($K$26449:$K$26456, L167)+COUNTIF($K$26335:$K$26341, L167)+COUNTIF($K$26323:$K$26330, L167)&gt;1,NOT(ISBLANK(L167)))</formula>
    </cfRule>
  </conditionalFormatting>
  <conditionalFormatting sqref="L167">
    <cfRule type="expression" dxfId="615" priority="108" stopIfTrue="1">
      <formula>AND(COUNTIF(#REF!, L167)+COUNTIF($K$26083:$K$26089, L167)+COUNTIF($K$26162:$K$26162, L167)+COUNTIF($K$26186:$K$26186, L167)+COUNTIF($K$26127:$K$26131, L167)+COUNTIF($K$26182:$K$26182, L167)+COUNTIF($K$26147:$K$26147, L167)+COUNTIF($K$26156:$K$26156, L167)+COUNTIF($K$26168:$K$26170, L167)+COUNTIF($K$26041:$K$26046, L167)+COUNTIF($K$26176:$K$26176, L167)+COUNTIF($K$26174:$K$26174, L167)+COUNTIF($K$26180:$K$26180, L167)+COUNTIF($K$26144:$K$26145, L167)+COUNTIF($K$26154:$K$26154, L167)+COUNTIF($K$26159:$K$26159, L167)+COUNTIF($K$25897:$K$25900, L167)+COUNTIF($K$25938:$K$25945, L167)+COUNTIF($K$25951:$K$25954, L167)+COUNTIF($K$25956:$K$25963, L167)+COUNTIF($K$25842:$K$25851, L167)+COUNTIF($K$25877:$K$25881, L167)+COUNTIF($K$25575:$K$25588, L167)+COUNTIF($K$25431:$K$25449, L167)+COUNTIF($K$25548:$K$25554, L167)+COUNTIF($K$25497:$K$25508, L167)+COUNTIF($K$25517:$K$25519, L167)+COUNTIF($K$25537:$K$25540, L167)+COUNTIF($K$25451:$K$25477, L167)+COUNTIF($K$23010:$K$25387, L167)+COUNTIF($K$25405:$K$25413, L167)+COUNTIF($K$25557:$K$25560, L167)+COUNTIF($K$25903:$K$25904, L167)+COUNTIF($K$26049:$K$26050, L167)+COUNTIF($K$26092:$K$26099, L167)+COUNTIF($K$25978:$K$25984, L167)+COUNTIF($K$25966:$K$25973, L167)&gt;1,NOT(ISBLANK(L167)))</formula>
    </cfRule>
  </conditionalFormatting>
  <conditionalFormatting sqref="C167">
    <cfRule type="duplicateValues" dxfId="614" priority="109"/>
  </conditionalFormatting>
  <conditionalFormatting sqref="L167">
    <cfRule type="duplicateValues" dxfId="613" priority="110"/>
  </conditionalFormatting>
  <conditionalFormatting sqref="C167">
    <cfRule type="duplicateValues" dxfId="612" priority="111"/>
    <cfRule type="duplicateValues" dxfId="611" priority="112"/>
  </conditionalFormatting>
  <conditionalFormatting sqref="C167">
    <cfRule type="duplicateValues" dxfId="610" priority="113"/>
  </conditionalFormatting>
  <conditionalFormatting sqref="L167">
    <cfRule type="duplicateValues" dxfId="609" priority="114"/>
  </conditionalFormatting>
  <conditionalFormatting sqref="K189:K197">
    <cfRule type="expression" dxfId="608" priority="91" stopIfTrue="1">
      <formula>AND(COUNTIF($K$23746:$K$23746, K189)&gt;1,NOT(ISBLANK(K189)))</formula>
    </cfRule>
  </conditionalFormatting>
  <conditionalFormatting sqref="K189:K197">
    <cfRule type="expression" dxfId="607" priority="92" stopIfTrue="1">
      <formula>AND(COUNTIF(#REF!, K189)+COUNTIF($K$27141:$K$27147, K189)+COUNTIF($K$27220:$K$27220, K189)+COUNTIF($K$27244:$K$27244, K189)+COUNTIF($K$27185:$K$27189, K189)+COUNTIF($K$27240:$K$27240, K189)+COUNTIF($K$27205:$K$27205, K189)+COUNTIF($K$27214:$K$27214, K189)+COUNTIF($K$27226:$K$27228, K189)+COUNTIF($K$27099:$K$27104, K189)+COUNTIF($K$27234:$K$27234, K189)+COUNTIF($K$27232:$K$27232, K189)+COUNTIF($K$27238:$K$27238, K189)+COUNTIF($K$27202:$K$27203, K189)+COUNTIF($K$27212:$K$27212, K189)+COUNTIF($K$27217:$K$27217, K189)+COUNTIF($K$26955:$K$26958, K189)+COUNTIF($K$26996:$K$27003, K189)+COUNTIF($K$27009:$K$27012, K189)+COUNTIF($K$27014:$K$27021, K189)+COUNTIF($K$26900:$K$26909, K189)+COUNTIF($K$26935:$K$26939, K189)+COUNTIF($K$26633:$K$26646, K189)+COUNTIF($K$26489:$K$26507, K189)+COUNTIF($K$26606:$K$26612, K189)+COUNTIF($K$26555:$K$26566, K189)+COUNTIF($K$26575:$K$26577, K189)+COUNTIF($K$26595:$K$26598, K189)+COUNTIF($K$26509:$K$26535, K189)+COUNTIF($K$23711:$K$26445, K189)+COUNTIF($K$26463:$K$26471, K189)+COUNTIF($K$26615:$K$26618, K189)+COUNTIF($K$26961:$K$26962, K189)+COUNTIF($K$27107:$K$27108, K189)+COUNTIF($K$27150:$K$27157, K189)+COUNTIF($K$27036:$K$27042, K189)+COUNTIF($K$27024:$K$27031, K189)&gt;1,NOT(ISBLANK(K189)))</formula>
    </cfRule>
  </conditionalFormatting>
  <conditionalFormatting sqref="K189:K197">
    <cfRule type="expression" dxfId="606" priority="93" stopIfTrue="1">
      <formula>AND(COUNTIF(#REF!, K189)+COUNTIF($K$26784:$K$26790, K189)+COUNTIF($K$26863:$K$26863, K189)+COUNTIF($K$26887:$K$26887, K189)+COUNTIF($K$26828:$K$26832, K189)+COUNTIF($K$26883:$K$26883, K189)+COUNTIF($K$26848:$K$26848, K189)+COUNTIF($K$26857:$K$26857, K189)+COUNTIF($K$26869:$K$26871, K189)+COUNTIF($K$26742:$K$26747, K189)+COUNTIF($K$26877:$K$26877, K189)+COUNTIF($K$26875:$K$26875, K189)+COUNTIF($K$26881:$K$26881, K189)+COUNTIF($K$26845:$K$26846, K189)+COUNTIF($K$26855:$K$26855, K189)+COUNTIF($K$26860:$K$26860, K189)+COUNTIF($K$26598:$K$26601, K189)+COUNTIF($K$26639:$K$26646, K189)+COUNTIF($K$26652:$K$26655, K189)+COUNTIF($K$26657:$K$26664, K189)+COUNTIF($K$26543:$K$26552, K189)+COUNTIF($K$26578:$K$26582, K189)+COUNTIF($K$26276:$K$26289, K189)+COUNTIF($K$26132:$K$26150, K189)+COUNTIF($K$26249:$K$26255, K189)+COUNTIF($K$26198:$K$26209, K189)+COUNTIF($K$26218:$K$26220, K189)+COUNTIF($K$26238:$K$26241, K189)+COUNTIF($K$26152:$K$26178, K189)+COUNTIF($K$23711:$K$26088, K189)+COUNTIF($K$26106:$K$26114, K189)+COUNTIF($K$26258:$K$26261, K189)+COUNTIF($K$26604:$K$26605, K189)+COUNTIF($K$26750:$K$26751, K189)+COUNTIF($K$26793:$K$26800, K189)+COUNTIF($K$26679:$K$26685, K189)+COUNTIF($K$26667:$K$26674, K189)&gt;1,NOT(ISBLANK(K189)))</formula>
    </cfRule>
  </conditionalFormatting>
  <conditionalFormatting sqref="L189:L197">
    <cfRule type="expression" dxfId="605" priority="94" stopIfTrue="1">
      <formula>AND(COUNTIF($K$22971:$K$22971, L189)&gt;1,NOT(ISBLANK(L189)))</formula>
    </cfRule>
  </conditionalFormatting>
  <conditionalFormatting sqref="L189:L197">
    <cfRule type="expression" dxfId="604" priority="95" stopIfTrue="1">
      <formula>AND(COUNTIF(#REF!, L189)+COUNTIF($K$26366:$K$26372, L189)+COUNTIF($K$26445:$K$26445, L189)+COUNTIF($K$26469:$K$26469, L189)+COUNTIF($K$26410:$K$26414, L189)+COUNTIF($K$26465:$K$26465, L189)+COUNTIF($K$26430:$K$26430, L189)+COUNTIF($K$26439:$K$26439, L189)+COUNTIF($K$26451:$K$26453, L189)+COUNTIF($K$26324:$K$26329, L189)+COUNTIF($K$26459:$K$26459, L189)+COUNTIF($K$26457:$K$26457, L189)+COUNTIF($K$26463:$K$26463, L189)+COUNTIF($K$26427:$K$26428, L189)+COUNTIF($K$26437:$K$26437, L189)+COUNTIF($K$26442:$K$26442, L189)+COUNTIF($K$26180:$K$26183, L189)+COUNTIF($K$26221:$K$26228, L189)+COUNTIF($K$26234:$K$26237, L189)+COUNTIF($K$26239:$K$26246, L189)+COUNTIF($K$26125:$K$26134, L189)+COUNTIF($K$26160:$K$26164, L189)+COUNTIF($K$25858:$K$25871, L189)+COUNTIF($K$25714:$K$25732, L189)+COUNTIF($K$25831:$K$25837, L189)+COUNTIF($K$25780:$K$25791, L189)+COUNTIF($K$25800:$K$25802, L189)+COUNTIF($K$25820:$K$25823, L189)+COUNTIF($K$25734:$K$25760, L189)+COUNTIF($K$22936:$K$25670, L189)+COUNTIF($K$25688:$K$25696, L189)+COUNTIF($K$25840:$K$25843, L189)+COUNTIF($K$26186:$K$26187, L189)+COUNTIF($K$26332:$K$26333, L189)+COUNTIF($K$26375:$K$26382, L189)+COUNTIF($K$26261:$K$26267, L189)+COUNTIF($K$26249:$K$26256, L189)&gt;1,NOT(ISBLANK(L189)))</formula>
    </cfRule>
  </conditionalFormatting>
  <conditionalFormatting sqref="L189:L197">
    <cfRule type="expression" dxfId="603" priority="96" stopIfTrue="1">
      <formula>AND(COUNTIF(#REF!, L189)+COUNTIF($K$26009:$K$26015, L189)+COUNTIF($K$26088:$K$26088, L189)+COUNTIF($K$26112:$K$26112, L189)+COUNTIF($K$26053:$K$26057, L189)+COUNTIF($K$26108:$K$26108, L189)+COUNTIF($K$26073:$K$26073, L189)+COUNTIF($K$26082:$K$26082, L189)+COUNTIF($K$26094:$K$26096, L189)+COUNTIF($K$25967:$K$25972, L189)+COUNTIF($K$26102:$K$26102, L189)+COUNTIF($K$26100:$K$26100, L189)+COUNTIF($K$26106:$K$26106, L189)+COUNTIF($K$26070:$K$26071, L189)+COUNTIF($K$26080:$K$26080, L189)+COUNTIF($K$26085:$K$26085, L189)+COUNTIF($K$25823:$K$25826, L189)+COUNTIF($K$25864:$K$25871, L189)+COUNTIF($K$25877:$K$25880, L189)+COUNTIF($K$25882:$K$25889, L189)+COUNTIF($K$25768:$K$25777, L189)+COUNTIF($K$25803:$K$25807, L189)+COUNTIF($K$25501:$K$25514, L189)+COUNTIF($K$25357:$K$25375, L189)+COUNTIF($K$25474:$K$25480, L189)+COUNTIF($K$25423:$K$25434, L189)+COUNTIF($K$25443:$K$25445, L189)+COUNTIF($K$25463:$K$25466, L189)+COUNTIF($K$25377:$K$25403, L189)+COUNTIF($K$22936:$K$25313, L189)+COUNTIF($K$25331:$K$25339, L189)+COUNTIF($K$25483:$K$25486, L189)+COUNTIF($K$25829:$K$25830, L189)+COUNTIF($K$25975:$K$25976, L189)+COUNTIF($K$26018:$K$26025, L189)+COUNTIF($K$25904:$K$25910, L189)+COUNTIF($K$25892:$K$25899, L189)&gt;1,NOT(ISBLANK(L189)))</formula>
    </cfRule>
  </conditionalFormatting>
  <conditionalFormatting sqref="C189:C197">
    <cfRule type="duplicateValues" dxfId="602" priority="97"/>
  </conditionalFormatting>
  <conditionalFormatting sqref="L189:L197">
    <cfRule type="duplicateValues" dxfId="601" priority="98"/>
  </conditionalFormatting>
  <conditionalFormatting sqref="C189:C197">
    <cfRule type="duplicateValues" dxfId="600" priority="99"/>
    <cfRule type="duplicateValues" dxfId="599" priority="100"/>
  </conditionalFormatting>
  <conditionalFormatting sqref="C189:C197">
    <cfRule type="duplicateValues" dxfId="598" priority="101"/>
  </conditionalFormatting>
  <conditionalFormatting sqref="L189:L197">
    <cfRule type="duplicateValues" dxfId="597" priority="102"/>
  </conditionalFormatting>
  <conditionalFormatting sqref="K198">
    <cfRule type="expression" dxfId="596" priority="79" stopIfTrue="1">
      <formula>AND(COUNTIF($K$23746:$K$23746, K198)&gt;1,NOT(ISBLANK(K198)))</formula>
    </cfRule>
  </conditionalFormatting>
  <conditionalFormatting sqref="K198">
    <cfRule type="expression" dxfId="595" priority="80" stopIfTrue="1">
      <formula>AND(COUNTIF(#REF!, K198)+COUNTIF($K$27141:$K$27147, K198)+COUNTIF($K$27220:$K$27220, K198)+COUNTIF($K$27244:$K$27244, K198)+COUNTIF($K$27185:$K$27189, K198)+COUNTIF($K$27240:$K$27240, K198)+COUNTIF($K$27205:$K$27205, K198)+COUNTIF($K$27214:$K$27214, K198)+COUNTIF($K$27226:$K$27228, K198)+COUNTIF($K$27099:$K$27104, K198)+COUNTIF($K$27234:$K$27234, K198)+COUNTIF($K$27232:$K$27232, K198)+COUNTIF($K$27238:$K$27238, K198)+COUNTIF($K$27202:$K$27203, K198)+COUNTIF($K$27212:$K$27212, K198)+COUNTIF($K$27217:$K$27217, K198)+COUNTIF($K$26955:$K$26958, K198)+COUNTIF($K$26996:$K$27003, K198)+COUNTIF($K$27009:$K$27012, K198)+COUNTIF($K$27014:$K$27021, K198)+COUNTIF($K$26900:$K$26909, K198)+COUNTIF($K$26935:$K$26939, K198)+COUNTIF($K$26633:$K$26646, K198)+COUNTIF($K$26489:$K$26507, K198)+COUNTIF($K$26606:$K$26612, K198)+COUNTIF($K$26555:$K$26566, K198)+COUNTIF($K$26575:$K$26577, K198)+COUNTIF($K$26595:$K$26598, K198)+COUNTIF($K$26509:$K$26535, K198)+COUNTIF($K$23711:$K$26445, K198)+COUNTIF($K$26463:$K$26471, K198)+COUNTIF($K$26615:$K$26618, K198)+COUNTIF($K$26961:$K$26962, K198)+COUNTIF($K$27107:$K$27108, K198)+COUNTIF($K$27150:$K$27157, K198)+COUNTIF($K$27036:$K$27042, K198)+COUNTIF($K$27024:$K$27031, K198)&gt;1,NOT(ISBLANK(K198)))</formula>
    </cfRule>
  </conditionalFormatting>
  <conditionalFormatting sqref="K198">
    <cfRule type="expression" dxfId="594" priority="81" stopIfTrue="1">
      <formula>AND(COUNTIF(#REF!, K198)+COUNTIF($K$26784:$K$26790, K198)+COUNTIF($K$26863:$K$26863, K198)+COUNTIF($K$26887:$K$26887, K198)+COUNTIF($K$26828:$K$26832, K198)+COUNTIF($K$26883:$K$26883, K198)+COUNTIF($K$26848:$K$26848, K198)+COUNTIF($K$26857:$K$26857, K198)+COUNTIF($K$26869:$K$26871, K198)+COUNTIF($K$26742:$K$26747, K198)+COUNTIF($K$26877:$K$26877, K198)+COUNTIF($K$26875:$K$26875, K198)+COUNTIF($K$26881:$K$26881, K198)+COUNTIF($K$26845:$K$26846, K198)+COUNTIF($K$26855:$K$26855, K198)+COUNTIF($K$26860:$K$26860, K198)+COUNTIF($K$26598:$K$26601, K198)+COUNTIF($K$26639:$K$26646, K198)+COUNTIF($K$26652:$K$26655, K198)+COUNTIF($K$26657:$K$26664, K198)+COUNTIF($K$26543:$K$26552, K198)+COUNTIF($K$26578:$K$26582, K198)+COUNTIF($K$26276:$K$26289, K198)+COUNTIF($K$26132:$K$26150, K198)+COUNTIF($K$26249:$K$26255, K198)+COUNTIF($K$26198:$K$26209, K198)+COUNTIF($K$26218:$K$26220, K198)+COUNTIF($K$26238:$K$26241, K198)+COUNTIF($K$26152:$K$26178, K198)+COUNTIF($K$23711:$K$26088, K198)+COUNTIF($K$26106:$K$26114, K198)+COUNTIF($K$26258:$K$26261, K198)+COUNTIF($K$26604:$K$26605, K198)+COUNTIF($K$26750:$K$26751, K198)+COUNTIF($K$26793:$K$26800, K198)+COUNTIF($K$26679:$K$26685, K198)+COUNTIF($K$26667:$K$26674, K198)&gt;1,NOT(ISBLANK(K198)))</formula>
    </cfRule>
  </conditionalFormatting>
  <conditionalFormatting sqref="L198">
    <cfRule type="expression" dxfId="593" priority="82" stopIfTrue="1">
      <formula>AND(COUNTIF($K$22971:$K$22971, L198)&gt;1,NOT(ISBLANK(L198)))</formula>
    </cfRule>
  </conditionalFormatting>
  <conditionalFormatting sqref="L198">
    <cfRule type="expression" dxfId="592" priority="83" stopIfTrue="1">
      <formula>AND(COUNTIF(#REF!, L198)+COUNTIF($K$26366:$K$26372, L198)+COUNTIF($K$26445:$K$26445, L198)+COUNTIF($K$26469:$K$26469, L198)+COUNTIF($K$26410:$K$26414, L198)+COUNTIF($K$26465:$K$26465, L198)+COUNTIF($K$26430:$K$26430, L198)+COUNTIF($K$26439:$K$26439, L198)+COUNTIF($K$26451:$K$26453, L198)+COUNTIF($K$26324:$K$26329, L198)+COUNTIF($K$26459:$K$26459, L198)+COUNTIF($K$26457:$K$26457, L198)+COUNTIF($K$26463:$K$26463, L198)+COUNTIF($K$26427:$K$26428, L198)+COUNTIF($K$26437:$K$26437, L198)+COUNTIF($K$26442:$K$26442, L198)+COUNTIF($K$26180:$K$26183, L198)+COUNTIF($K$26221:$K$26228, L198)+COUNTIF($K$26234:$K$26237, L198)+COUNTIF($K$26239:$K$26246, L198)+COUNTIF($K$26125:$K$26134, L198)+COUNTIF($K$26160:$K$26164, L198)+COUNTIF($K$25858:$K$25871, L198)+COUNTIF($K$25714:$K$25732, L198)+COUNTIF($K$25831:$K$25837, L198)+COUNTIF($K$25780:$K$25791, L198)+COUNTIF($K$25800:$K$25802, L198)+COUNTIF($K$25820:$K$25823, L198)+COUNTIF($K$25734:$K$25760, L198)+COUNTIF($K$22936:$K$25670, L198)+COUNTIF($K$25688:$K$25696, L198)+COUNTIF($K$25840:$K$25843, L198)+COUNTIF($K$26186:$K$26187, L198)+COUNTIF($K$26332:$K$26333, L198)+COUNTIF($K$26375:$K$26382, L198)+COUNTIF($K$26261:$K$26267, L198)+COUNTIF($K$26249:$K$26256, L198)&gt;1,NOT(ISBLANK(L198)))</formula>
    </cfRule>
  </conditionalFormatting>
  <conditionalFormatting sqref="L198">
    <cfRule type="expression" dxfId="591" priority="84" stopIfTrue="1">
      <formula>AND(COUNTIF(#REF!, L198)+COUNTIF($K$26009:$K$26015, L198)+COUNTIF($K$26088:$K$26088, L198)+COUNTIF($K$26112:$K$26112, L198)+COUNTIF($K$26053:$K$26057, L198)+COUNTIF($K$26108:$K$26108, L198)+COUNTIF($K$26073:$K$26073, L198)+COUNTIF($K$26082:$K$26082, L198)+COUNTIF($K$26094:$K$26096, L198)+COUNTIF($K$25967:$K$25972, L198)+COUNTIF($K$26102:$K$26102, L198)+COUNTIF($K$26100:$K$26100, L198)+COUNTIF($K$26106:$K$26106, L198)+COUNTIF($K$26070:$K$26071, L198)+COUNTIF($K$26080:$K$26080, L198)+COUNTIF($K$26085:$K$26085, L198)+COUNTIF($K$25823:$K$25826, L198)+COUNTIF($K$25864:$K$25871, L198)+COUNTIF($K$25877:$K$25880, L198)+COUNTIF($K$25882:$K$25889, L198)+COUNTIF($K$25768:$K$25777, L198)+COUNTIF($K$25803:$K$25807, L198)+COUNTIF($K$25501:$K$25514, L198)+COUNTIF($K$25357:$K$25375, L198)+COUNTIF($K$25474:$K$25480, L198)+COUNTIF($K$25423:$K$25434, L198)+COUNTIF($K$25443:$K$25445, L198)+COUNTIF($K$25463:$K$25466, L198)+COUNTIF($K$25377:$K$25403, L198)+COUNTIF($K$22936:$K$25313, L198)+COUNTIF($K$25331:$K$25339, L198)+COUNTIF($K$25483:$K$25486, L198)+COUNTIF($K$25829:$K$25830, L198)+COUNTIF($K$25975:$K$25976, L198)+COUNTIF($K$26018:$K$26025, L198)+COUNTIF($K$25904:$K$25910, L198)+COUNTIF($K$25892:$K$25899, L198)&gt;1,NOT(ISBLANK(L198)))</formula>
    </cfRule>
  </conditionalFormatting>
  <conditionalFormatting sqref="C198">
    <cfRule type="duplicateValues" dxfId="590" priority="85"/>
  </conditionalFormatting>
  <conditionalFormatting sqref="L198">
    <cfRule type="duplicateValues" dxfId="589" priority="86"/>
  </conditionalFormatting>
  <conditionalFormatting sqref="C198">
    <cfRule type="duplicateValues" dxfId="588" priority="87"/>
    <cfRule type="duplicateValues" dxfId="587" priority="88"/>
  </conditionalFormatting>
  <conditionalFormatting sqref="C198">
    <cfRule type="duplicateValues" dxfId="586" priority="89"/>
  </conditionalFormatting>
  <conditionalFormatting sqref="L198">
    <cfRule type="duplicateValues" dxfId="585" priority="90"/>
  </conditionalFormatting>
  <conditionalFormatting sqref="K199:K200 K202:K319">
    <cfRule type="expression" dxfId="584" priority="69" stopIfTrue="1">
      <formula>AND(COUNTIF($K$23648:$K$23648, K199)&gt;1,NOT(ISBLANK(K199)))</formula>
    </cfRule>
  </conditionalFormatting>
  <conditionalFormatting sqref="K199:K200 K202:K319">
    <cfRule type="expression" dxfId="583" priority="70" stopIfTrue="1">
      <formula>AND(COUNTIF(#REF!, K199)+COUNTIF($K$27043:$K$27049, K199)+COUNTIF($K$27122:$K$27122, K199)+COUNTIF($K$27146:$K$27146, K199)+COUNTIF($K$27087:$K$27091, K199)+COUNTIF($K$27142:$K$27142, K199)+COUNTIF($K$27107:$K$27107, K199)+COUNTIF($K$27116:$K$27116, K199)+COUNTIF($K$27128:$K$27130, K199)+COUNTIF($K$27001:$K$27006, K199)+COUNTIF($K$27136:$K$27136, K199)+COUNTIF($K$27134:$K$27134, K199)+COUNTIF($K$27140:$K$27140, K199)+COUNTIF($K$27104:$K$27105, K199)+COUNTIF($K$27114:$K$27114, K199)+COUNTIF($K$27119:$K$27119, K199)+COUNTIF($K$26857:$K$26860, K199)+COUNTIF($K$26898:$K$26905, K199)+COUNTIF($K$26911:$K$26914, K199)+COUNTIF($K$26916:$K$26923, K199)+COUNTIF($K$26802:$K$26811, K199)+COUNTIF($K$26837:$K$26841, K199)+COUNTIF($K$26535:$K$26548, K199)+COUNTIF($K$26391:$K$26409, K199)+COUNTIF($K$26508:$K$26514, K199)+COUNTIF($K$26457:$K$26468, K199)+COUNTIF($K$26477:$K$26479, K199)+COUNTIF($K$26497:$K$26500, K199)+COUNTIF($K$26411:$K$26437, K199)+COUNTIF($K$23613:$K$26347, K199)+COUNTIF($K$26365:$K$26373, K199)+COUNTIF($K$26517:$K$26520, K199)+COUNTIF($K$26863:$K$26864, K199)+COUNTIF($K$27009:$K$27010, K199)+COUNTIF($K$27052:$K$27059, K199)+COUNTIF($K$26938:$K$26944, K199)+COUNTIF($K$26926:$K$26933, K199)&gt;1,NOT(ISBLANK(K199)))</formula>
    </cfRule>
  </conditionalFormatting>
  <conditionalFormatting sqref="K199:K200 K202:K319">
    <cfRule type="expression" dxfId="582" priority="71" stopIfTrue="1">
      <formula>AND(COUNTIF(#REF!, K199)+COUNTIF($K$26686:$K$26692, K199)+COUNTIF($K$26765:$K$26765, K199)+COUNTIF($K$26789:$K$26789, K199)+COUNTIF($K$26730:$K$26734, K199)+COUNTIF($K$26785:$K$26785, K199)+COUNTIF($K$26750:$K$26750, K199)+COUNTIF($K$26759:$K$26759, K199)+COUNTIF($K$26771:$K$26773, K199)+COUNTIF($K$26644:$K$26649, K199)+COUNTIF($K$26779:$K$26779, K199)+COUNTIF($K$26777:$K$26777, K199)+COUNTIF($K$26783:$K$26783, K199)+COUNTIF($K$26747:$K$26748, K199)+COUNTIF($K$26757:$K$26757, K199)+COUNTIF($K$26762:$K$26762, K199)+COUNTIF($K$26500:$K$26503, K199)+COUNTIF($K$26541:$K$26548, K199)+COUNTIF($K$26554:$K$26557, K199)+COUNTIF($K$26559:$K$26566, K199)+COUNTIF($K$26445:$K$26454, K199)+COUNTIF($K$26480:$K$26484, K199)+COUNTIF($K$26178:$K$26191, K199)+COUNTIF($K$26034:$K$26052, K199)+COUNTIF($K$26151:$K$26157, K199)+COUNTIF($K$26100:$K$26111, K199)+COUNTIF($K$26120:$K$26122, K199)+COUNTIF($K$26140:$K$26143, K199)+COUNTIF($K$26054:$K$26080, K199)+COUNTIF($K$23613:$K$25990, K199)+COUNTIF($K$26008:$K$26016, K199)+COUNTIF($K$26160:$K$26163, K199)+COUNTIF($K$26506:$K$26507, K199)+COUNTIF($K$26652:$K$26653, K199)+COUNTIF($K$26695:$K$26702, K199)+COUNTIF($K$26581:$K$26587, K199)+COUNTIF($K$26569:$K$26576, K199)&gt;1,NOT(ISBLANK(K199)))</formula>
    </cfRule>
  </conditionalFormatting>
  <conditionalFormatting sqref="L199:L200 L202:L319">
    <cfRule type="expression" dxfId="581" priority="72" stopIfTrue="1">
      <formula>AND(COUNTIF($K$22873:$K$22873, L199)&gt;1,NOT(ISBLANK(L199)))</formula>
    </cfRule>
  </conditionalFormatting>
  <conditionalFormatting sqref="L199:L200 L202:L319">
    <cfRule type="expression" dxfId="580" priority="73" stopIfTrue="1">
      <formula>AND(COUNTIF(#REF!, L199)+COUNTIF($K$26268:$K$26274, L199)+COUNTIF($K$26347:$K$26347, L199)+COUNTIF($K$26371:$K$26371, L199)+COUNTIF($K$26312:$K$26316, L199)+COUNTIF($K$26367:$K$26367, L199)+COUNTIF($K$26332:$K$26332, L199)+COUNTIF($K$26341:$K$26341, L199)+COUNTIF($K$26353:$K$26355, L199)+COUNTIF($K$26226:$K$26231, L199)+COUNTIF($K$26361:$K$26361, L199)+COUNTIF($K$26359:$K$26359, L199)+COUNTIF($K$26365:$K$26365, L199)+COUNTIF($K$26329:$K$26330, L199)+COUNTIF($K$26339:$K$26339, L199)+COUNTIF($K$26344:$K$26344, L199)+COUNTIF($K$26082:$K$26085, L199)+COUNTIF($K$26123:$K$26130, L199)+COUNTIF($K$26136:$K$26139, L199)+COUNTIF($K$26141:$K$26148, L199)+COUNTIF($K$26027:$K$26036, L199)+COUNTIF($K$26062:$K$26066, L199)+COUNTIF($K$25760:$K$25773, L199)+COUNTIF($K$25616:$K$25634, L199)+COUNTIF($K$25733:$K$25739, L199)+COUNTIF($K$25682:$K$25693, L199)+COUNTIF($K$25702:$K$25704, L199)+COUNTIF($K$25722:$K$25725, L199)+COUNTIF($K$25636:$K$25662, L199)+COUNTIF($K$22838:$K$25572, L199)+COUNTIF($K$25590:$K$25598, L199)+COUNTIF($K$25742:$K$25745, L199)+COUNTIF($K$26088:$K$26089, L199)+COUNTIF($K$26234:$K$26235, L199)+COUNTIF($K$26277:$K$26284, L199)+COUNTIF($K$26163:$K$26169, L199)+COUNTIF($K$26151:$K$26158, L199)&gt;1,NOT(ISBLANK(L199)))</formula>
    </cfRule>
  </conditionalFormatting>
  <conditionalFormatting sqref="L199:L200 L202:L319">
    <cfRule type="expression" dxfId="579" priority="74" stopIfTrue="1">
      <formula>AND(COUNTIF(#REF!, L199)+COUNTIF($K$25911:$K$25917, L199)+COUNTIF($K$25990:$K$25990, L199)+COUNTIF($K$26014:$K$26014, L199)+COUNTIF($K$25955:$K$25959, L199)+COUNTIF($K$26010:$K$26010, L199)+COUNTIF($K$25975:$K$25975, L199)+COUNTIF($K$25984:$K$25984, L199)+COUNTIF($K$25996:$K$25998, L199)+COUNTIF($K$25869:$K$25874, L199)+COUNTIF($K$26004:$K$26004, L199)+COUNTIF($K$26002:$K$26002, L199)+COUNTIF($K$26008:$K$26008, L199)+COUNTIF($K$25972:$K$25973, L199)+COUNTIF($K$25982:$K$25982, L199)+COUNTIF($K$25987:$K$25987, L199)+COUNTIF($K$25725:$K$25728, L199)+COUNTIF($K$25766:$K$25773, L199)+COUNTIF($K$25779:$K$25782, L199)+COUNTIF($K$25784:$K$25791, L199)+COUNTIF($K$25670:$K$25679, L199)+COUNTIF($K$25705:$K$25709, L199)+COUNTIF($K$25403:$K$25416, L199)+COUNTIF($K$25259:$K$25277, L199)+COUNTIF($K$25376:$K$25382, L199)+COUNTIF($K$25325:$K$25336, L199)+COUNTIF($K$25345:$K$25347, L199)+COUNTIF($K$25365:$K$25368, L199)+COUNTIF($K$25279:$K$25305, L199)+COUNTIF($K$22838:$K$25215, L199)+COUNTIF($K$25233:$K$25241, L199)+COUNTIF($K$25385:$K$25388, L199)+COUNTIF($K$25731:$K$25732, L199)+COUNTIF($K$25877:$K$25878, L199)+COUNTIF($K$25920:$K$25927, L199)+COUNTIF($K$25806:$K$25812, L199)+COUNTIF($K$25794:$K$25801, L199)&gt;1,NOT(ISBLANK(L199)))</formula>
    </cfRule>
  </conditionalFormatting>
  <conditionalFormatting sqref="C199:C200 C202:C319">
    <cfRule type="duplicateValues" dxfId="578" priority="75"/>
  </conditionalFormatting>
  <conditionalFormatting sqref="L199:L200 L202:L319">
    <cfRule type="duplicateValues" dxfId="577" priority="76"/>
  </conditionalFormatting>
  <conditionalFormatting sqref="C199:C200 C202:C319">
    <cfRule type="duplicateValues" dxfId="576" priority="77"/>
    <cfRule type="duplicateValues" dxfId="575" priority="78"/>
  </conditionalFormatting>
  <conditionalFormatting sqref="K320">
    <cfRule type="expression" dxfId="574" priority="59" stopIfTrue="1">
      <formula>AND(COUNTIF($K$23648:$K$23648, K320)&gt;1,NOT(ISBLANK(K320)))</formula>
    </cfRule>
  </conditionalFormatting>
  <conditionalFormatting sqref="K320">
    <cfRule type="expression" dxfId="573" priority="60" stopIfTrue="1">
      <formula>AND(COUNTIF(#REF!, K320)+COUNTIF($K$27043:$K$27049, K320)+COUNTIF($K$27122:$K$27122, K320)+COUNTIF($K$27146:$K$27146, K320)+COUNTIF($K$27087:$K$27091, K320)+COUNTIF($K$27142:$K$27142, K320)+COUNTIF($K$27107:$K$27107, K320)+COUNTIF($K$27116:$K$27116, K320)+COUNTIF($K$27128:$K$27130, K320)+COUNTIF($K$27001:$K$27006, K320)+COUNTIF($K$27136:$K$27136, K320)+COUNTIF($K$27134:$K$27134, K320)+COUNTIF($K$27140:$K$27140, K320)+COUNTIF($K$27104:$K$27105, K320)+COUNTIF($K$27114:$K$27114, K320)+COUNTIF($K$27119:$K$27119, K320)+COUNTIF($K$26857:$K$26860, K320)+COUNTIF($K$26898:$K$26905, K320)+COUNTIF($K$26911:$K$26914, K320)+COUNTIF($K$26916:$K$26923, K320)+COUNTIF($K$26802:$K$26811, K320)+COUNTIF($K$26837:$K$26841, K320)+COUNTIF($K$26535:$K$26548, K320)+COUNTIF($K$26391:$K$26409, K320)+COUNTIF($K$26508:$K$26514, K320)+COUNTIF($K$26457:$K$26468, K320)+COUNTIF($K$26477:$K$26479, K320)+COUNTIF($K$26497:$K$26500, K320)+COUNTIF($K$26411:$K$26437, K320)+COUNTIF($K$23613:$K$26347, K320)+COUNTIF($K$26365:$K$26373, K320)+COUNTIF($K$26517:$K$26520, K320)+COUNTIF($K$26863:$K$26864, K320)+COUNTIF($K$27009:$K$27010, K320)+COUNTIF($K$27052:$K$27059, K320)+COUNTIF($K$26938:$K$26944, K320)+COUNTIF($K$26926:$K$26933, K320)&gt;1,NOT(ISBLANK(K320)))</formula>
    </cfRule>
  </conditionalFormatting>
  <conditionalFormatting sqref="K320">
    <cfRule type="expression" dxfId="572" priority="61" stopIfTrue="1">
      <formula>AND(COUNTIF(#REF!, K320)+COUNTIF($K$26686:$K$26692, K320)+COUNTIF($K$26765:$K$26765, K320)+COUNTIF($K$26789:$K$26789, K320)+COUNTIF($K$26730:$K$26734, K320)+COUNTIF($K$26785:$K$26785, K320)+COUNTIF($K$26750:$K$26750, K320)+COUNTIF($K$26759:$K$26759, K320)+COUNTIF($K$26771:$K$26773, K320)+COUNTIF($K$26644:$K$26649, K320)+COUNTIF($K$26779:$K$26779, K320)+COUNTIF($K$26777:$K$26777, K320)+COUNTIF($K$26783:$K$26783, K320)+COUNTIF($K$26747:$K$26748, K320)+COUNTIF($K$26757:$K$26757, K320)+COUNTIF($K$26762:$K$26762, K320)+COUNTIF($K$26500:$K$26503, K320)+COUNTIF($K$26541:$K$26548, K320)+COUNTIF($K$26554:$K$26557, K320)+COUNTIF($K$26559:$K$26566, K320)+COUNTIF($K$26445:$K$26454, K320)+COUNTIF($K$26480:$K$26484, K320)+COUNTIF($K$26178:$K$26191, K320)+COUNTIF($K$26034:$K$26052, K320)+COUNTIF($K$26151:$K$26157, K320)+COUNTIF($K$26100:$K$26111, K320)+COUNTIF($K$26120:$K$26122, K320)+COUNTIF($K$26140:$K$26143, K320)+COUNTIF($K$26054:$K$26080, K320)+COUNTIF($K$23613:$K$25990, K320)+COUNTIF($K$26008:$K$26016, K320)+COUNTIF($K$26160:$K$26163, K320)+COUNTIF($K$26506:$K$26507, K320)+COUNTIF($K$26652:$K$26653, K320)+COUNTIF($K$26695:$K$26702, K320)+COUNTIF($K$26581:$K$26587, K320)+COUNTIF($K$26569:$K$26576, K320)&gt;1,NOT(ISBLANK(K320)))</formula>
    </cfRule>
  </conditionalFormatting>
  <conditionalFormatting sqref="L320">
    <cfRule type="expression" dxfId="571" priority="62" stopIfTrue="1">
      <formula>AND(COUNTIF($K$22873:$K$22873, L320)&gt;1,NOT(ISBLANK(L320)))</formula>
    </cfRule>
  </conditionalFormatting>
  <conditionalFormatting sqref="L320">
    <cfRule type="expression" dxfId="570" priority="63" stopIfTrue="1">
      <formula>AND(COUNTIF(#REF!, L320)+COUNTIF($K$26268:$K$26274, L320)+COUNTIF($K$26347:$K$26347, L320)+COUNTIF($K$26371:$K$26371, L320)+COUNTIF($K$26312:$K$26316, L320)+COUNTIF($K$26367:$K$26367, L320)+COUNTIF($K$26332:$K$26332, L320)+COUNTIF($K$26341:$K$26341, L320)+COUNTIF($K$26353:$K$26355, L320)+COUNTIF($K$26226:$K$26231, L320)+COUNTIF($K$26361:$K$26361, L320)+COUNTIF($K$26359:$K$26359, L320)+COUNTIF($K$26365:$K$26365, L320)+COUNTIF($K$26329:$K$26330, L320)+COUNTIF($K$26339:$K$26339, L320)+COUNTIF($K$26344:$K$26344, L320)+COUNTIF($K$26082:$K$26085, L320)+COUNTIF($K$26123:$K$26130, L320)+COUNTIF($K$26136:$K$26139, L320)+COUNTIF($K$26141:$K$26148, L320)+COUNTIF($K$26027:$K$26036, L320)+COUNTIF($K$26062:$K$26066, L320)+COUNTIF($K$25760:$K$25773, L320)+COUNTIF($K$25616:$K$25634, L320)+COUNTIF($K$25733:$K$25739, L320)+COUNTIF($K$25682:$K$25693, L320)+COUNTIF($K$25702:$K$25704, L320)+COUNTIF($K$25722:$K$25725, L320)+COUNTIF($K$25636:$K$25662, L320)+COUNTIF($K$22838:$K$25572, L320)+COUNTIF($K$25590:$K$25598, L320)+COUNTIF($K$25742:$K$25745, L320)+COUNTIF($K$26088:$K$26089, L320)+COUNTIF($K$26234:$K$26235, L320)+COUNTIF($K$26277:$K$26284, L320)+COUNTIF($K$26163:$K$26169, L320)+COUNTIF($K$26151:$K$26158, L320)&gt;1,NOT(ISBLANK(L320)))</formula>
    </cfRule>
  </conditionalFormatting>
  <conditionalFormatting sqref="L320">
    <cfRule type="expression" dxfId="569" priority="64" stopIfTrue="1">
      <formula>AND(COUNTIF(#REF!, L320)+COUNTIF($K$25911:$K$25917, L320)+COUNTIF($K$25990:$K$25990, L320)+COUNTIF($K$26014:$K$26014, L320)+COUNTIF($K$25955:$K$25959, L320)+COUNTIF($K$26010:$K$26010, L320)+COUNTIF($K$25975:$K$25975, L320)+COUNTIF($K$25984:$K$25984, L320)+COUNTIF($K$25996:$K$25998, L320)+COUNTIF($K$25869:$K$25874, L320)+COUNTIF($K$26004:$K$26004, L320)+COUNTIF($K$26002:$K$26002, L320)+COUNTIF($K$26008:$K$26008, L320)+COUNTIF($K$25972:$K$25973, L320)+COUNTIF($K$25982:$K$25982, L320)+COUNTIF($K$25987:$K$25987, L320)+COUNTIF($K$25725:$K$25728, L320)+COUNTIF($K$25766:$K$25773, L320)+COUNTIF($K$25779:$K$25782, L320)+COUNTIF($K$25784:$K$25791, L320)+COUNTIF($K$25670:$K$25679, L320)+COUNTIF($K$25705:$K$25709, L320)+COUNTIF($K$25403:$K$25416, L320)+COUNTIF($K$25259:$K$25277, L320)+COUNTIF($K$25376:$K$25382, L320)+COUNTIF($K$25325:$K$25336, L320)+COUNTIF($K$25345:$K$25347, L320)+COUNTIF($K$25365:$K$25368, L320)+COUNTIF($K$25279:$K$25305, L320)+COUNTIF($K$22838:$K$25215, L320)+COUNTIF($K$25233:$K$25241, L320)+COUNTIF($K$25385:$K$25388, L320)+COUNTIF($K$25731:$K$25732, L320)+COUNTIF($K$25877:$K$25878, L320)+COUNTIF($K$25920:$K$25927, L320)+COUNTIF($K$25806:$K$25812, L320)+COUNTIF($K$25794:$K$25801, L320)&gt;1,NOT(ISBLANK(L320)))</formula>
    </cfRule>
  </conditionalFormatting>
  <conditionalFormatting sqref="C320">
    <cfRule type="duplicateValues" dxfId="568" priority="65"/>
  </conditionalFormatting>
  <conditionalFormatting sqref="L320">
    <cfRule type="duplicateValues" dxfId="567" priority="66"/>
  </conditionalFormatting>
  <conditionalFormatting sqref="C320">
    <cfRule type="duplicateValues" dxfId="566" priority="67"/>
    <cfRule type="duplicateValues" dxfId="565" priority="68"/>
  </conditionalFormatting>
  <conditionalFormatting sqref="K321:K324">
    <cfRule type="expression" dxfId="564" priority="47" stopIfTrue="1">
      <formula>AND(COUNTIF($K$23818:$K$23818, K321)&gt;1,NOT(ISBLANK(K321)))</formula>
    </cfRule>
  </conditionalFormatting>
  <conditionalFormatting sqref="K321:K324">
    <cfRule type="expression" dxfId="563" priority="48" stopIfTrue="1">
      <formula>AND(COUNTIF(#REF!, K321)+COUNTIF($K$27213:$K$27219, K321)+COUNTIF($K$27292:$K$27292, K321)+COUNTIF($K$27316:$K$27316, K321)+COUNTIF($K$27257:$K$27261, K321)+COUNTIF($K$27312:$K$27312, K321)+COUNTIF($K$27277:$K$27277, K321)+COUNTIF($K$27286:$K$27286, K321)+COUNTIF($K$27298:$K$27300, K321)+COUNTIF($K$27171:$K$27176, K321)+COUNTIF($K$27306:$K$27306, K321)+COUNTIF($K$27304:$K$27304, K321)+COUNTIF($K$27310:$K$27310, K321)+COUNTIF($K$27274:$K$27275, K321)+COUNTIF($K$27284:$K$27284, K321)+COUNTIF($K$27289:$K$27289, K321)+COUNTIF($K$27027:$K$27030, K321)+COUNTIF($K$27068:$K$27075, K321)+COUNTIF($K$27081:$K$27084, K321)+COUNTIF($K$27086:$K$27093, K321)+COUNTIF($K$26972:$K$26981, K321)+COUNTIF($K$27007:$K$27011, K321)+COUNTIF($K$26705:$K$26718, K321)+COUNTIF($K$26561:$K$26579, K321)+COUNTIF($K$26678:$K$26684, K321)+COUNTIF($K$26627:$K$26638, K321)+COUNTIF($K$26647:$K$26649, K321)+COUNTIF($K$26667:$K$26670, K321)+COUNTIF($K$26581:$K$26607, K321)+COUNTIF($K$23783:$K$26517, K321)+COUNTIF($K$26535:$K$26543, K321)+COUNTIF($K$26687:$K$26690, K321)+COUNTIF($K$27033:$K$27034, K321)+COUNTIF($K$27179:$K$27180, K321)+COUNTIF($K$27222:$K$27229, K321)+COUNTIF($K$27108:$K$27114, K321)+COUNTIF($K$27096:$K$27103, K321)&gt;1,NOT(ISBLANK(K321)))</formula>
    </cfRule>
  </conditionalFormatting>
  <conditionalFormatting sqref="K321:K324">
    <cfRule type="expression" dxfId="562" priority="49" stopIfTrue="1">
      <formula>AND(COUNTIF(#REF!, K321)+COUNTIF($K$26856:$K$26862, K321)+COUNTIF($K$26935:$K$26935, K321)+COUNTIF($K$26959:$K$26959, K321)+COUNTIF($K$26900:$K$26904, K321)+COUNTIF($K$26955:$K$26955, K321)+COUNTIF($K$26920:$K$26920, K321)+COUNTIF($K$26929:$K$26929, K321)+COUNTIF($K$26941:$K$26943, K321)+COUNTIF($K$26814:$K$26819, K321)+COUNTIF($K$26949:$K$26949, K321)+COUNTIF($K$26947:$K$26947, K321)+COUNTIF($K$26953:$K$26953, K321)+COUNTIF($K$26917:$K$26918, K321)+COUNTIF($K$26927:$K$26927, K321)+COUNTIF($K$26932:$K$26932, K321)+COUNTIF($K$26670:$K$26673, K321)+COUNTIF($K$26711:$K$26718, K321)+COUNTIF($K$26724:$K$26727, K321)+COUNTIF($K$26729:$K$26736, K321)+COUNTIF($K$26615:$K$26624, K321)+COUNTIF($K$26650:$K$26654, K321)+COUNTIF($K$26348:$K$26361, K321)+COUNTIF($K$26204:$K$26222, K321)+COUNTIF($K$26321:$K$26327, K321)+COUNTIF($K$26270:$K$26281, K321)+COUNTIF($K$26290:$K$26292, K321)+COUNTIF($K$26310:$K$26313, K321)+COUNTIF($K$26224:$K$26250, K321)+COUNTIF($K$23783:$K$26160, K321)+COUNTIF($K$26178:$K$26186, K321)+COUNTIF($K$26330:$K$26333, K321)+COUNTIF($K$26676:$K$26677, K321)+COUNTIF($K$26822:$K$26823, K321)+COUNTIF($K$26865:$K$26872, K321)+COUNTIF($K$26751:$K$26757, K321)+COUNTIF($K$26739:$K$26746, K321)&gt;1,NOT(ISBLANK(K321)))</formula>
    </cfRule>
  </conditionalFormatting>
  <conditionalFormatting sqref="L321:L324">
    <cfRule type="expression" dxfId="561" priority="50" stopIfTrue="1">
      <formula>AND(COUNTIF($K$23043:$K$23043, L321)&gt;1,NOT(ISBLANK(L321)))</formula>
    </cfRule>
  </conditionalFormatting>
  <conditionalFormatting sqref="L321:L324">
    <cfRule type="expression" dxfId="560" priority="51" stopIfTrue="1">
      <formula>AND(COUNTIF(#REF!, L321)+COUNTIF($K$26438:$K$26444, L321)+COUNTIF($K$26517:$K$26517, L321)+COUNTIF($K$26541:$K$26541, L321)+COUNTIF($K$26482:$K$26486, L321)+COUNTIF($K$26537:$K$26537, L321)+COUNTIF($K$26502:$K$26502, L321)+COUNTIF($K$26511:$K$26511, L321)+COUNTIF($K$26523:$K$26525, L321)+COUNTIF($K$26396:$K$26401, L321)+COUNTIF($K$26531:$K$26531, L321)+COUNTIF($K$26529:$K$26529, L321)+COUNTIF($K$26535:$K$26535, L321)+COUNTIF($K$26499:$K$26500, L321)+COUNTIF($K$26509:$K$26509, L321)+COUNTIF($K$26514:$K$26514, L321)+COUNTIF($K$26252:$K$26255, L321)+COUNTIF($K$26293:$K$26300, L321)+COUNTIF($K$26306:$K$26309, L321)+COUNTIF($K$26311:$K$26318, L321)+COUNTIF($K$26197:$K$26206, L321)+COUNTIF($K$26232:$K$26236, L321)+COUNTIF($K$25930:$K$25943, L321)+COUNTIF($K$25786:$K$25804, L321)+COUNTIF($K$25903:$K$25909, L321)+COUNTIF($K$25852:$K$25863, L321)+COUNTIF($K$25872:$K$25874, L321)+COUNTIF($K$25892:$K$25895, L321)+COUNTIF($K$25806:$K$25832, L321)+COUNTIF($K$23008:$K$25742, L321)+COUNTIF($K$25760:$K$25768, L321)+COUNTIF($K$25912:$K$25915, L321)+COUNTIF($K$26258:$K$26259, L321)+COUNTIF($K$26404:$K$26405, L321)+COUNTIF($K$26447:$K$26454, L321)+COUNTIF($K$26333:$K$26339, L321)+COUNTIF($K$26321:$K$26328, L321)&gt;1,NOT(ISBLANK(L321)))</formula>
    </cfRule>
  </conditionalFormatting>
  <conditionalFormatting sqref="L321:L324">
    <cfRule type="expression" dxfId="559" priority="52" stopIfTrue="1">
      <formula>AND(COUNTIF(#REF!, L321)+COUNTIF($K$26081:$K$26087, L321)+COUNTIF($K$26160:$K$26160, L321)+COUNTIF($K$26184:$K$26184, L321)+COUNTIF($K$26125:$K$26129, L321)+COUNTIF($K$26180:$K$26180, L321)+COUNTIF($K$26145:$K$26145, L321)+COUNTIF($K$26154:$K$26154, L321)+COUNTIF($K$26166:$K$26168, L321)+COUNTIF($K$26039:$K$26044, L321)+COUNTIF($K$26174:$K$26174, L321)+COUNTIF($K$26172:$K$26172, L321)+COUNTIF($K$26178:$K$26178, L321)+COUNTIF($K$26142:$K$26143, L321)+COUNTIF($K$26152:$K$26152, L321)+COUNTIF($K$26157:$K$26157, L321)+COUNTIF($K$25895:$K$25898, L321)+COUNTIF($K$25936:$K$25943, L321)+COUNTIF($K$25949:$K$25952, L321)+COUNTIF($K$25954:$K$25961, L321)+COUNTIF($K$25840:$K$25849, L321)+COUNTIF($K$25875:$K$25879, L321)+COUNTIF($K$25573:$K$25586, L321)+COUNTIF($K$25429:$K$25447, L321)+COUNTIF($K$25546:$K$25552, L321)+COUNTIF($K$25495:$K$25506, L321)+COUNTIF($K$25515:$K$25517, L321)+COUNTIF($K$25535:$K$25538, L321)+COUNTIF($K$25449:$K$25475, L321)+COUNTIF($K$23008:$K$25385, L321)+COUNTIF($K$25403:$K$25411, L321)+COUNTIF($K$25555:$K$25558, L321)+COUNTIF($K$25901:$K$25902, L321)+COUNTIF($K$26047:$K$26048, L321)+COUNTIF($K$26090:$K$26097, L321)+COUNTIF($K$25976:$K$25982, L321)+COUNTIF($K$25964:$K$25971, L321)&gt;1,NOT(ISBLANK(L321)))</formula>
    </cfRule>
  </conditionalFormatting>
  <conditionalFormatting sqref="C321:C324">
    <cfRule type="duplicateValues" dxfId="558" priority="53"/>
  </conditionalFormatting>
  <conditionalFormatting sqref="L321:L324">
    <cfRule type="duplicateValues" dxfId="557" priority="54"/>
  </conditionalFormatting>
  <conditionalFormatting sqref="C321:C324">
    <cfRule type="duplicateValues" dxfId="556" priority="55"/>
    <cfRule type="duplicateValues" dxfId="555" priority="56"/>
  </conditionalFormatting>
  <conditionalFormatting sqref="C321:C324">
    <cfRule type="duplicateValues" dxfId="554" priority="57"/>
  </conditionalFormatting>
  <conditionalFormatting sqref="L321:L324">
    <cfRule type="duplicateValues" dxfId="553" priority="58"/>
  </conditionalFormatting>
  <conditionalFormatting sqref="K325">
    <cfRule type="expression" dxfId="552" priority="35" stopIfTrue="1">
      <formula>AND(COUNTIF($K$23818:$K$23818, K325)&gt;1,NOT(ISBLANK(K325)))</formula>
    </cfRule>
  </conditionalFormatting>
  <conditionalFormatting sqref="K325">
    <cfRule type="expression" dxfId="551" priority="36" stopIfTrue="1">
      <formula>AND(COUNTIF(#REF!, K325)+COUNTIF($K$27213:$K$27219, K325)+COUNTIF($K$27292:$K$27292, K325)+COUNTIF($K$27316:$K$27316, K325)+COUNTIF($K$27257:$K$27261, K325)+COUNTIF($K$27312:$K$27312, K325)+COUNTIF($K$27277:$K$27277, K325)+COUNTIF($K$27286:$K$27286, K325)+COUNTIF($K$27298:$K$27300, K325)+COUNTIF($K$27171:$K$27176, K325)+COUNTIF($K$27306:$K$27306, K325)+COUNTIF($K$27304:$K$27304, K325)+COUNTIF($K$27310:$K$27310, K325)+COUNTIF($K$27274:$K$27275, K325)+COUNTIF($K$27284:$K$27284, K325)+COUNTIF($K$27289:$K$27289, K325)+COUNTIF($K$27027:$K$27030, K325)+COUNTIF($K$27068:$K$27075, K325)+COUNTIF($K$27081:$K$27084, K325)+COUNTIF($K$27086:$K$27093, K325)+COUNTIF($K$26972:$K$26981, K325)+COUNTIF($K$27007:$K$27011, K325)+COUNTIF($K$26705:$K$26718, K325)+COUNTIF($K$26561:$K$26579, K325)+COUNTIF($K$26678:$K$26684, K325)+COUNTIF($K$26627:$K$26638, K325)+COUNTIF($K$26647:$K$26649, K325)+COUNTIF($K$26667:$K$26670, K325)+COUNTIF($K$26581:$K$26607, K325)+COUNTIF($K$23783:$K$26517, K325)+COUNTIF($K$26535:$K$26543, K325)+COUNTIF($K$26687:$K$26690, K325)+COUNTIF($K$27033:$K$27034, K325)+COUNTIF($K$27179:$K$27180, K325)+COUNTIF($K$27222:$K$27229, K325)+COUNTIF($K$27108:$K$27114, K325)+COUNTIF($K$27096:$K$27103, K325)&gt;1,NOT(ISBLANK(K325)))</formula>
    </cfRule>
  </conditionalFormatting>
  <conditionalFormatting sqref="K325">
    <cfRule type="expression" dxfId="550" priority="37" stopIfTrue="1">
      <formula>AND(COUNTIF(#REF!, K325)+COUNTIF($K$26856:$K$26862, K325)+COUNTIF($K$26935:$K$26935, K325)+COUNTIF($K$26959:$K$26959, K325)+COUNTIF($K$26900:$K$26904, K325)+COUNTIF($K$26955:$K$26955, K325)+COUNTIF($K$26920:$K$26920, K325)+COUNTIF($K$26929:$K$26929, K325)+COUNTIF($K$26941:$K$26943, K325)+COUNTIF($K$26814:$K$26819, K325)+COUNTIF($K$26949:$K$26949, K325)+COUNTIF($K$26947:$K$26947, K325)+COUNTIF($K$26953:$K$26953, K325)+COUNTIF($K$26917:$K$26918, K325)+COUNTIF($K$26927:$K$26927, K325)+COUNTIF($K$26932:$K$26932, K325)+COUNTIF($K$26670:$K$26673, K325)+COUNTIF($K$26711:$K$26718, K325)+COUNTIF($K$26724:$K$26727, K325)+COUNTIF($K$26729:$K$26736, K325)+COUNTIF($K$26615:$K$26624, K325)+COUNTIF($K$26650:$K$26654, K325)+COUNTIF($K$26348:$K$26361, K325)+COUNTIF($K$26204:$K$26222, K325)+COUNTIF($K$26321:$K$26327, K325)+COUNTIF($K$26270:$K$26281, K325)+COUNTIF($K$26290:$K$26292, K325)+COUNTIF($K$26310:$K$26313, K325)+COUNTIF($K$26224:$K$26250, K325)+COUNTIF($K$23783:$K$26160, K325)+COUNTIF($K$26178:$K$26186, K325)+COUNTIF($K$26330:$K$26333, K325)+COUNTIF($K$26676:$K$26677, K325)+COUNTIF($K$26822:$K$26823, K325)+COUNTIF($K$26865:$K$26872, K325)+COUNTIF($K$26751:$K$26757, K325)+COUNTIF($K$26739:$K$26746, K325)&gt;1,NOT(ISBLANK(K325)))</formula>
    </cfRule>
  </conditionalFormatting>
  <conditionalFormatting sqref="L325">
    <cfRule type="expression" dxfId="549" priority="38" stopIfTrue="1">
      <formula>AND(COUNTIF($K$23043:$K$23043, L325)&gt;1,NOT(ISBLANK(L325)))</formula>
    </cfRule>
  </conditionalFormatting>
  <conditionalFormatting sqref="L325">
    <cfRule type="expression" dxfId="548" priority="39" stopIfTrue="1">
      <formula>AND(COUNTIF(#REF!, L325)+COUNTIF($K$26438:$K$26444, L325)+COUNTIF($K$26517:$K$26517, L325)+COUNTIF($K$26541:$K$26541, L325)+COUNTIF($K$26482:$K$26486, L325)+COUNTIF($K$26537:$K$26537, L325)+COUNTIF($K$26502:$K$26502, L325)+COUNTIF($K$26511:$K$26511, L325)+COUNTIF($K$26523:$K$26525, L325)+COUNTIF($K$26396:$K$26401, L325)+COUNTIF($K$26531:$K$26531, L325)+COUNTIF($K$26529:$K$26529, L325)+COUNTIF($K$26535:$K$26535, L325)+COUNTIF($K$26499:$K$26500, L325)+COUNTIF($K$26509:$K$26509, L325)+COUNTIF($K$26514:$K$26514, L325)+COUNTIF($K$26252:$K$26255, L325)+COUNTIF($K$26293:$K$26300, L325)+COUNTIF($K$26306:$K$26309, L325)+COUNTIF($K$26311:$K$26318, L325)+COUNTIF($K$26197:$K$26206, L325)+COUNTIF($K$26232:$K$26236, L325)+COUNTIF($K$25930:$K$25943, L325)+COUNTIF($K$25786:$K$25804, L325)+COUNTIF($K$25903:$K$25909, L325)+COUNTIF($K$25852:$K$25863, L325)+COUNTIF($K$25872:$K$25874, L325)+COUNTIF($K$25892:$K$25895, L325)+COUNTIF($K$25806:$K$25832, L325)+COUNTIF($K$23008:$K$25742, L325)+COUNTIF($K$25760:$K$25768, L325)+COUNTIF($K$25912:$K$25915, L325)+COUNTIF($K$26258:$K$26259, L325)+COUNTIF($K$26404:$K$26405, L325)+COUNTIF($K$26447:$K$26454, L325)+COUNTIF($K$26333:$K$26339, L325)+COUNTIF($K$26321:$K$26328, L325)&gt;1,NOT(ISBLANK(L325)))</formula>
    </cfRule>
  </conditionalFormatting>
  <conditionalFormatting sqref="L325">
    <cfRule type="expression" dxfId="547" priority="40" stopIfTrue="1">
      <formula>AND(COUNTIF(#REF!, L325)+COUNTIF($K$26081:$K$26087, L325)+COUNTIF($K$26160:$K$26160, L325)+COUNTIF($K$26184:$K$26184, L325)+COUNTIF($K$26125:$K$26129, L325)+COUNTIF($K$26180:$K$26180, L325)+COUNTIF($K$26145:$K$26145, L325)+COUNTIF($K$26154:$K$26154, L325)+COUNTIF($K$26166:$K$26168, L325)+COUNTIF($K$26039:$K$26044, L325)+COUNTIF($K$26174:$K$26174, L325)+COUNTIF($K$26172:$K$26172, L325)+COUNTIF($K$26178:$K$26178, L325)+COUNTIF($K$26142:$K$26143, L325)+COUNTIF($K$26152:$K$26152, L325)+COUNTIF($K$26157:$K$26157, L325)+COUNTIF($K$25895:$K$25898, L325)+COUNTIF($K$25936:$K$25943, L325)+COUNTIF($K$25949:$K$25952, L325)+COUNTIF($K$25954:$K$25961, L325)+COUNTIF($K$25840:$K$25849, L325)+COUNTIF($K$25875:$K$25879, L325)+COUNTIF($K$25573:$K$25586, L325)+COUNTIF($K$25429:$K$25447, L325)+COUNTIF($K$25546:$K$25552, L325)+COUNTIF($K$25495:$K$25506, L325)+COUNTIF($K$25515:$K$25517, L325)+COUNTIF($K$25535:$K$25538, L325)+COUNTIF($K$25449:$K$25475, L325)+COUNTIF($K$23008:$K$25385, L325)+COUNTIF($K$25403:$K$25411, L325)+COUNTIF($K$25555:$K$25558, L325)+COUNTIF($K$25901:$K$25902, L325)+COUNTIF($K$26047:$K$26048, L325)+COUNTIF($K$26090:$K$26097, L325)+COUNTIF($K$25976:$K$25982, L325)+COUNTIF($K$25964:$K$25971, L325)&gt;1,NOT(ISBLANK(L325)))</formula>
    </cfRule>
  </conditionalFormatting>
  <conditionalFormatting sqref="C325">
    <cfRule type="duplicateValues" dxfId="546" priority="41"/>
  </conditionalFormatting>
  <conditionalFormatting sqref="L325">
    <cfRule type="duplicateValues" dxfId="545" priority="42"/>
  </conditionalFormatting>
  <conditionalFormatting sqref="C325">
    <cfRule type="duplicateValues" dxfId="544" priority="43"/>
    <cfRule type="duplicateValues" dxfId="543" priority="44"/>
  </conditionalFormatting>
  <conditionalFormatting sqref="C325">
    <cfRule type="duplicateValues" dxfId="542" priority="45"/>
  </conditionalFormatting>
  <conditionalFormatting sqref="L325">
    <cfRule type="duplicateValues" dxfId="541" priority="46"/>
  </conditionalFormatting>
  <conditionalFormatting sqref="K201">
    <cfRule type="expression" dxfId="540" priority="25" stopIfTrue="1">
      <formula>AND(COUNTIF($K$23648:$K$23648, K201)&gt;1,NOT(ISBLANK(K201)))</formula>
    </cfRule>
  </conditionalFormatting>
  <conditionalFormatting sqref="K201">
    <cfRule type="expression" dxfId="539" priority="26" stopIfTrue="1">
      <formula>AND(COUNTIF(#REF!, K201)+COUNTIF($K$27043:$K$27049, K201)+COUNTIF($K$27122:$K$27122, K201)+COUNTIF($K$27146:$K$27146, K201)+COUNTIF($K$27087:$K$27091, K201)+COUNTIF($K$27142:$K$27142, K201)+COUNTIF($K$27107:$K$27107, K201)+COUNTIF($K$27116:$K$27116, K201)+COUNTIF($K$27128:$K$27130, K201)+COUNTIF($K$27001:$K$27006, K201)+COUNTIF($K$27136:$K$27136, K201)+COUNTIF($K$27134:$K$27134, K201)+COUNTIF($K$27140:$K$27140, K201)+COUNTIF($K$27104:$K$27105, K201)+COUNTIF($K$27114:$K$27114, K201)+COUNTIF($K$27119:$K$27119, K201)+COUNTIF($K$26857:$K$26860, K201)+COUNTIF($K$26898:$K$26905, K201)+COUNTIF($K$26911:$K$26914, K201)+COUNTIF($K$26916:$K$26923, K201)+COUNTIF($K$26802:$K$26811, K201)+COUNTIF($K$26837:$K$26841, K201)+COUNTIF($K$26535:$K$26548, K201)+COUNTIF($K$26391:$K$26409, K201)+COUNTIF($K$26508:$K$26514, K201)+COUNTIF($K$26457:$K$26468, K201)+COUNTIF($K$26477:$K$26479, K201)+COUNTIF($K$26497:$K$26500, K201)+COUNTIF($K$26411:$K$26437, K201)+COUNTIF($K$23613:$K$26347, K201)+COUNTIF($K$26365:$K$26373, K201)+COUNTIF($K$26517:$K$26520, K201)+COUNTIF($K$26863:$K$26864, K201)+COUNTIF($K$27009:$K$27010, K201)+COUNTIF($K$27052:$K$27059, K201)+COUNTIF($K$26938:$K$26944, K201)+COUNTIF($K$26926:$K$26933, K201)&gt;1,NOT(ISBLANK(K201)))</formula>
    </cfRule>
  </conditionalFormatting>
  <conditionalFormatting sqref="K201">
    <cfRule type="expression" dxfId="538" priority="27" stopIfTrue="1">
      <formula>AND(COUNTIF(#REF!, K201)+COUNTIF($K$26686:$K$26692, K201)+COUNTIF($K$26765:$K$26765, K201)+COUNTIF($K$26789:$K$26789, K201)+COUNTIF($K$26730:$K$26734, K201)+COUNTIF($K$26785:$K$26785, K201)+COUNTIF($K$26750:$K$26750, K201)+COUNTIF($K$26759:$K$26759, K201)+COUNTIF($K$26771:$K$26773, K201)+COUNTIF($K$26644:$K$26649, K201)+COUNTIF($K$26779:$K$26779, K201)+COUNTIF($K$26777:$K$26777, K201)+COUNTIF($K$26783:$K$26783, K201)+COUNTIF($K$26747:$K$26748, K201)+COUNTIF($K$26757:$K$26757, K201)+COUNTIF($K$26762:$K$26762, K201)+COUNTIF($K$26500:$K$26503, K201)+COUNTIF($K$26541:$K$26548, K201)+COUNTIF($K$26554:$K$26557, K201)+COUNTIF($K$26559:$K$26566, K201)+COUNTIF($K$26445:$K$26454, K201)+COUNTIF($K$26480:$K$26484, K201)+COUNTIF($K$26178:$K$26191, K201)+COUNTIF($K$26034:$K$26052, K201)+COUNTIF($K$26151:$K$26157, K201)+COUNTIF($K$26100:$K$26111, K201)+COUNTIF($K$26120:$K$26122, K201)+COUNTIF($K$26140:$K$26143, K201)+COUNTIF($K$26054:$K$26080, K201)+COUNTIF($K$23613:$K$25990, K201)+COUNTIF($K$26008:$K$26016, K201)+COUNTIF($K$26160:$K$26163, K201)+COUNTIF($K$26506:$K$26507, K201)+COUNTIF($K$26652:$K$26653, K201)+COUNTIF($K$26695:$K$26702, K201)+COUNTIF($K$26581:$K$26587, K201)+COUNTIF($K$26569:$K$26576, K201)&gt;1,NOT(ISBLANK(K201)))</formula>
    </cfRule>
  </conditionalFormatting>
  <conditionalFormatting sqref="L201">
    <cfRule type="expression" dxfId="537" priority="28" stopIfTrue="1">
      <formula>AND(COUNTIF($K$22873:$K$22873, L201)&gt;1,NOT(ISBLANK(L201)))</formula>
    </cfRule>
  </conditionalFormatting>
  <conditionalFormatting sqref="L201">
    <cfRule type="expression" dxfId="536" priority="29" stopIfTrue="1">
      <formula>AND(COUNTIF(#REF!, L201)+COUNTIF($K$26268:$K$26274, L201)+COUNTIF($K$26347:$K$26347, L201)+COUNTIF($K$26371:$K$26371, L201)+COUNTIF($K$26312:$K$26316, L201)+COUNTIF($K$26367:$K$26367, L201)+COUNTIF($K$26332:$K$26332, L201)+COUNTIF($K$26341:$K$26341, L201)+COUNTIF($K$26353:$K$26355, L201)+COUNTIF($K$26226:$K$26231, L201)+COUNTIF($K$26361:$K$26361, L201)+COUNTIF($K$26359:$K$26359, L201)+COUNTIF($K$26365:$K$26365, L201)+COUNTIF($K$26329:$K$26330, L201)+COUNTIF($K$26339:$K$26339, L201)+COUNTIF($K$26344:$K$26344, L201)+COUNTIF($K$26082:$K$26085, L201)+COUNTIF($K$26123:$K$26130, L201)+COUNTIF($K$26136:$K$26139, L201)+COUNTIF($K$26141:$K$26148, L201)+COUNTIF($K$26027:$K$26036, L201)+COUNTIF($K$26062:$K$26066, L201)+COUNTIF($K$25760:$K$25773, L201)+COUNTIF($K$25616:$K$25634, L201)+COUNTIF($K$25733:$K$25739, L201)+COUNTIF($K$25682:$K$25693, L201)+COUNTIF($K$25702:$K$25704, L201)+COUNTIF($K$25722:$K$25725, L201)+COUNTIF($K$25636:$K$25662, L201)+COUNTIF($K$22838:$K$25572, L201)+COUNTIF($K$25590:$K$25598, L201)+COUNTIF($K$25742:$K$25745, L201)+COUNTIF($K$26088:$K$26089, L201)+COUNTIF($K$26234:$K$26235, L201)+COUNTIF($K$26277:$K$26284, L201)+COUNTIF($K$26163:$K$26169, L201)+COUNTIF($K$26151:$K$26158, L201)&gt;1,NOT(ISBLANK(L201)))</formula>
    </cfRule>
  </conditionalFormatting>
  <conditionalFormatting sqref="L201">
    <cfRule type="expression" dxfId="535" priority="30" stopIfTrue="1">
      <formula>AND(COUNTIF(#REF!, L201)+COUNTIF($K$25911:$K$25917, L201)+COUNTIF($K$25990:$K$25990, L201)+COUNTIF($K$26014:$K$26014, L201)+COUNTIF($K$25955:$K$25959, L201)+COUNTIF($K$26010:$K$26010, L201)+COUNTIF($K$25975:$K$25975, L201)+COUNTIF($K$25984:$K$25984, L201)+COUNTIF($K$25996:$K$25998, L201)+COUNTIF($K$25869:$K$25874, L201)+COUNTIF($K$26004:$K$26004, L201)+COUNTIF($K$26002:$K$26002, L201)+COUNTIF($K$26008:$K$26008, L201)+COUNTIF($K$25972:$K$25973, L201)+COUNTIF($K$25982:$K$25982, L201)+COUNTIF($K$25987:$K$25987, L201)+COUNTIF($K$25725:$K$25728, L201)+COUNTIF($K$25766:$K$25773, L201)+COUNTIF($K$25779:$K$25782, L201)+COUNTIF($K$25784:$K$25791, L201)+COUNTIF($K$25670:$K$25679, L201)+COUNTIF($K$25705:$K$25709, L201)+COUNTIF($K$25403:$K$25416, L201)+COUNTIF($K$25259:$K$25277, L201)+COUNTIF($K$25376:$K$25382, L201)+COUNTIF($K$25325:$K$25336, L201)+COUNTIF($K$25345:$K$25347, L201)+COUNTIF($K$25365:$K$25368, L201)+COUNTIF($K$25279:$K$25305, L201)+COUNTIF($K$22838:$K$25215, L201)+COUNTIF($K$25233:$K$25241, L201)+COUNTIF($K$25385:$K$25388, L201)+COUNTIF($K$25731:$K$25732, L201)+COUNTIF($K$25877:$K$25878, L201)+COUNTIF($K$25920:$K$25927, L201)+COUNTIF($K$25806:$K$25812, L201)+COUNTIF($K$25794:$K$25801, L201)&gt;1,NOT(ISBLANK(L201)))</formula>
    </cfRule>
  </conditionalFormatting>
  <conditionalFormatting sqref="C201">
    <cfRule type="duplicateValues" dxfId="534" priority="31"/>
  </conditionalFormatting>
  <conditionalFormatting sqref="L201">
    <cfRule type="duplicateValues" dxfId="533" priority="32"/>
  </conditionalFormatting>
  <conditionalFormatting sqref="C201">
    <cfRule type="duplicateValues" dxfId="532" priority="33"/>
    <cfRule type="duplicateValues" dxfId="531" priority="34"/>
  </conditionalFormatting>
  <conditionalFormatting sqref="K168:K171">
    <cfRule type="expression" dxfId="530" priority="13" stopIfTrue="1">
      <formula>AND(COUNTIF($K$23820:$K$23820, K168)&gt;1,NOT(ISBLANK(K168)))</formula>
    </cfRule>
  </conditionalFormatting>
  <conditionalFormatting sqref="K168:K171">
    <cfRule type="expression" dxfId="529" priority="14" stopIfTrue="1">
      <formula>AND(COUNTIF(#REF!, K168)+COUNTIF($K$27215:$K$27221, K168)+COUNTIF($K$27294:$K$27294, K168)+COUNTIF($K$27318:$K$27318, K168)+COUNTIF($K$27259:$K$27263, K168)+COUNTIF($K$27314:$K$27314, K168)+COUNTIF($K$27279:$K$27279, K168)+COUNTIF($K$27288:$K$27288, K168)+COUNTIF($K$27300:$K$27302, K168)+COUNTIF($K$27173:$K$27178, K168)+COUNTIF($K$27308:$K$27308, K168)+COUNTIF($K$27306:$K$27306, K168)+COUNTIF($K$27312:$K$27312, K168)+COUNTIF($K$27276:$K$27277, K168)+COUNTIF($K$27286:$K$27286, K168)+COUNTIF($K$27291:$K$27291, K168)+COUNTIF($K$27029:$K$27032, K168)+COUNTIF($K$27070:$K$27077, K168)+COUNTIF($K$27083:$K$27086, K168)+COUNTIF($K$27088:$K$27095, K168)+COUNTIF($K$26974:$K$26983, K168)+COUNTIF($K$27009:$K$27013, K168)+COUNTIF($K$26707:$K$26720, K168)+COUNTIF($K$26563:$K$26581, K168)+COUNTIF($K$26680:$K$26686, K168)+COUNTIF($K$26629:$K$26640, K168)+COUNTIF($K$26649:$K$26651, K168)+COUNTIF($K$26669:$K$26672, K168)+COUNTIF($K$26583:$K$26609, K168)+COUNTIF($K$23785:$K$26519, K168)+COUNTIF($K$26537:$K$26545, K168)+COUNTIF($K$26689:$K$26692, K168)+COUNTIF($K$27035:$K$27036, K168)+COUNTIF($K$27181:$K$27182, K168)+COUNTIF($K$27224:$K$27231, K168)+COUNTIF($K$27110:$K$27116, K168)+COUNTIF($K$27098:$K$27105, K168)&gt;1,NOT(ISBLANK(K168)))</formula>
    </cfRule>
  </conditionalFormatting>
  <conditionalFormatting sqref="K168:K171">
    <cfRule type="expression" dxfId="528" priority="15" stopIfTrue="1">
      <formula>AND(COUNTIF(#REF!, K168)+COUNTIF($K$26858:$K$26864, K168)+COUNTIF($K$26937:$K$26937, K168)+COUNTIF($K$26961:$K$26961, K168)+COUNTIF($K$26902:$K$26906, K168)+COUNTIF($K$26957:$K$26957, K168)+COUNTIF($K$26922:$K$26922, K168)+COUNTIF($K$26931:$K$26931, K168)+COUNTIF($K$26943:$K$26945, K168)+COUNTIF($K$26816:$K$26821, K168)+COUNTIF($K$26951:$K$26951, K168)+COUNTIF($K$26949:$K$26949, K168)+COUNTIF($K$26955:$K$26955, K168)+COUNTIF($K$26919:$K$26920, K168)+COUNTIF($K$26929:$K$26929, K168)+COUNTIF($K$26934:$K$26934, K168)+COUNTIF($K$26672:$K$26675, K168)+COUNTIF($K$26713:$K$26720, K168)+COUNTIF($K$26726:$K$26729, K168)+COUNTIF($K$26731:$K$26738, K168)+COUNTIF($K$26617:$K$26626, K168)+COUNTIF($K$26652:$K$26656, K168)+COUNTIF($K$26350:$K$26363, K168)+COUNTIF($K$26206:$K$26224, K168)+COUNTIF($K$26323:$K$26329, K168)+COUNTIF($K$26272:$K$26283, K168)+COUNTIF($K$26292:$K$26294, K168)+COUNTIF($K$26312:$K$26315, K168)+COUNTIF($K$26226:$K$26252, K168)+COUNTIF($K$23785:$K$26162, K168)+COUNTIF($K$26180:$K$26188, K168)+COUNTIF($K$26332:$K$26335, K168)+COUNTIF($K$26678:$K$26679, K168)+COUNTIF($K$26824:$K$26825, K168)+COUNTIF($K$26867:$K$26874, K168)+COUNTIF($K$26753:$K$26759, K168)+COUNTIF($K$26741:$K$26748, K168)&gt;1,NOT(ISBLANK(K168)))</formula>
    </cfRule>
  </conditionalFormatting>
  <conditionalFormatting sqref="L168:L171">
    <cfRule type="expression" dxfId="527" priority="16" stopIfTrue="1">
      <formula>AND(COUNTIF($K$23045:$K$23045, L168)&gt;1,NOT(ISBLANK(L168)))</formula>
    </cfRule>
  </conditionalFormatting>
  <conditionalFormatting sqref="L168:L171">
    <cfRule type="expression" dxfId="526" priority="17" stopIfTrue="1">
      <formula>AND(COUNTIF(#REF!, L168)+COUNTIF($K$26440:$K$26446, L168)+COUNTIF($K$26519:$K$26519, L168)+COUNTIF($K$26543:$K$26543, L168)+COUNTIF($K$26484:$K$26488, L168)+COUNTIF($K$26539:$K$26539, L168)+COUNTIF($K$26504:$K$26504, L168)+COUNTIF($K$26513:$K$26513, L168)+COUNTIF($K$26525:$K$26527, L168)+COUNTIF($K$26398:$K$26403, L168)+COUNTIF($K$26533:$K$26533, L168)+COUNTIF($K$26531:$K$26531, L168)+COUNTIF($K$26537:$K$26537, L168)+COUNTIF($K$26501:$K$26502, L168)+COUNTIF($K$26511:$K$26511, L168)+COUNTIF($K$26516:$K$26516, L168)+COUNTIF($K$26254:$K$26257, L168)+COUNTIF($K$26295:$K$26302, L168)+COUNTIF($K$26308:$K$26311, L168)+COUNTIF($K$26313:$K$26320, L168)+COUNTIF($K$26199:$K$26208, L168)+COUNTIF($K$26234:$K$26238, L168)+COUNTIF($K$25932:$K$25945, L168)+COUNTIF($K$25788:$K$25806, L168)+COUNTIF($K$25905:$K$25911, L168)+COUNTIF($K$25854:$K$25865, L168)+COUNTIF($K$25874:$K$25876, L168)+COUNTIF($K$25894:$K$25897, L168)+COUNTIF($K$25808:$K$25834, L168)+COUNTIF($K$23010:$K$25744, L168)+COUNTIF($K$25762:$K$25770, L168)+COUNTIF($K$25914:$K$25917, L168)+COUNTIF($K$26260:$K$26261, L168)+COUNTIF($K$26406:$K$26407, L168)+COUNTIF($K$26449:$K$26456, L168)+COUNTIF($K$26335:$K$26341, L168)+COUNTIF($K$26323:$K$26330, L168)&gt;1,NOT(ISBLANK(L168)))</formula>
    </cfRule>
  </conditionalFormatting>
  <conditionalFormatting sqref="L168:L171">
    <cfRule type="expression" dxfId="525" priority="18" stopIfTrue="1">
      <formula>AND(COUNTIF(#REF!, L168)+COUNTIF($K$26083:$K$26089, L168)+COUNTIF($K$26162:$K$26162, L168)+COUNTIF($K$26186:$K$26186, L168)+COUNTIF($K$26127:$K$26131, L168)+COUNTIF($K$26182:$K$26182, L168)+COUNTIF($K$26147:$K$26147, L168)+COUNTIF($K$26156:$K$26156, L168)+COUNTIF($K$26168:$K$26170, L168)+COUNTIF($K$26041:$K$26046, L168)+COUNTIF($K$26176:$K$26176, L168)+COUNTIF($K$26174:$K$26174, L168)+COUNTIF($K$26180:$K$26180, L168)+COUNTIF($K$26144:$K$26145, L168)+COUNTIF($K$26154:$K$26154, L168)+COUNTIF($K$26159:$K$26159, L168)+COUNTIF($K$25897:$K$25900, L168)+COUNTIF($K$25938:$K$25945, L168)+COUNTIF($K$25951:$K$25954, L168)+COUNTIF($K$25956:$K$25963, L168)+COUNTIF($K$25842:$K$25851, L168)+COUNTIF($K$25877:$K$25881, L168)+COUNTIF($K$25575:$K$25588, L168)+COUNTIF($K$25431:$K$25449, L168)+COUNTIF($K$25548:$K$25554, L168)+COUNTIF($K$25497:$K$25508, L168)+COUNTIF($K$25517:$K$25519, L168)+COUNTIF($K$25537:$K$25540, L168)+COUNTIF($K$25451:$K$25477, L168)+COUNTIF($K$23010:$K$25387, L168)+COUNTIF($K$25405:$K$25413, L168)+COUNTIF($K$25557:$K$25560, L168)+COUNTIF($K$25903:$K$25904, L168)+COUNTIF($K$26049:$K$26050, L168)+COUNTIF($K$26092:$K$26099, L168)+COUNTIF($K$25978:$K$25984, L168)+COUNTIF($K$25966:$K$25973, L168)&gt;1,NOT(ISBLANK(L168)))</formula>
    </cfRule>
  </conditionalFormatting>
  <conditionalFormatting sqref="C168:C171">
    <cfRule type="duplicateValues" dxfId="524" priority="19"/>
  </conditionalFormatting>
  <conditionalFormatting sqref="L168:L171">
    <cfRule type="duplicateValues" dxfId="523" priority="20"/>
  </conditionalFormatting>
  <conditionalFormatting sqref="C168:C171">
    <cfRule type="duplicateValues" dxfId="522" priority="21"/>
    <cfRule type="duplicateValues" dxfId="521" priority="22"/>
  </conditionalFormatting>
  <conditionalFormatting sqref="C168:C171">
    <cfRule type="duplicateValues" dxfId="520" priority="23"/>
  </conditionalFormatting>
  <conditionalFormatting sqref="L168:L171">
    <cfRule type="duplicateValues" dxfId="519" priority="24"/>
  </conditionalFormatting>
  <conditionalFormatting sqref="K326:K335">
    <cfRule type="expression" dxfId="518" priority="1" stopIfTrue="1">
      <formula>AND(COUNTIF($K$23816:$K$23816, K326)&gt;1,NOT(ISBLANK(K326)))</formula>
    </cfRule>
  </conditionalFormatting>
  <conditionalFormatting sqref="K326:K335">
    <cfRule type="expression" dxfId="517" priority="2" stopIfTrue="1">
      <formula>AND(COUNTIF(#REF!, K326)+COUNTIF($K$27211:$K$27217, K326)+COUNTIF($K$27290:$K$27290, K326)+COUNTIF($K$27314:$K$27314, K326)+COUNTIF($K$27255:$K$27259, K326)+COUNTIF($K$27310:$K$27310, K326)+COUNTIF($K$27275:$K$27275, K326)+COUNTIF($K$27284:$K$27284, K326)+COUNTIF($K$27296:$K$27298, K326)+COUNTIF($K$27169:$K$27174, K326)+COUNTIF($K$27304:$K$27304, K326)+COUNTIF($K$27302:$K$27302, K326)+COUNTIF($K$27308:$K$27308, K326)+COUNTIF($K$27272:$K$27273, K326)+COUNTIF($K$27282:$K$27282, K326)+COUNTIF($K$27287:$K$27287, K326)+COUNTIF($K$27025:$K$27028, K326)+COUNTIF($K$27066:$K$27073, K326)+COUNTIF($K$27079:$K$27082, K326)+COUNTIF($K$27084:$K$27091, K326)+COUNTIF($K$26970:$K$26979, K326)+COUNTIF($K$27005:$K$27009, K326)+COUNTIF($K$26703:$K$26716, K326)+COUNTIF($K$26559:$K$26577, K326)+COUNTIF($K$26676:$K$26682, K326)+COUNTIF($K$26625:$K$26636, K326)+COUNTIF($K$26645:$K$26647, K326)+COUNTIF($K$26665:$K$26668, K326)+COUNTIF($K$26579:$K$26605, K326)+COUNTIF($K$23781:$K$26515, K326)+COUNTIF($K$26533:$K$26541, K326)+COUNTIF($K$26685:$K$26688, K326)+COUNTIF($K$27031:$K$27032, K326)+COUNTIF($K$27177:$K$27178, K326)+COUNTIF($K$27220:$K$27227, K326)+COUNTIF($K$27106:$K$27112, K326)+COUNTIF($K$27094:$K$27101, K326)&gt;1,NOT(ISBLANK(K326)))</formula>
    </cfRule>
  </conditionalFormatting>
  <conditionalFormatting sqref="K326:K335">
    <cfRule type="expression" dxfId="516" priority="3" stopIfTrue="1">
      <formula>AND(COUNTIF(#REF!, K326)+COUNTIF($K$26854:$K$26860, K326)+COUNTIF($K$26933:$K$26933, K326)+COUNTIF($K$26957:$K$26957, K326)+COUNTIF($K$26898:$K$26902, K326)+COUNTIF($K$26953:$K$26953, K326)+COUNTIF($K$26918:$K$26918, K326)+COUNTIF($K$26927:$K$26927, K326)+COUNTIF($K$26939:$K$26941, K326)+COUNTIF($K$26812:$K$26817, K326)+COUNTIF($K$26947:$K$26947, K326)+COUNTIF($K$26945:$K$26945, K326)+COUNTIF($K$26951:$K$26951, K326)+COUNTIF($K$26915:$K$26916, K326)+COUNTIF($K$26925:$K$26925, K326)+COUNTIF($K$26930:$K$26930, K326)+COUNTIF($K$26668:$K$26671, K326)+COUNTIF($K$26709:$K$26716, K326)+COUNTIF($K$26722:$K$26725, K326)+COUNTIF($K$26727:$K$26734, K326)+COUNTIF($K$26613:$K$26622, K326)+COUNTIF($K$26648:$K$26652, K326)+COUNTIF($K$26346:$K$26359, K326)+COUNTIF($K$26202:$K$26220, K326)+COUNTIF($K$26319:$K$26325, K326)+COUNTIF($K$26268:$K$26279, K326)+COUNTIF($K$26288:$K$26290, K326)+COUNTIF($K$26308:$K$26311, K326)+COUNTIF($K$26222:$K$26248, K326)+COUNTIF($K$23781:$K$26158, K326)+COUNTIF($K$26176:$K$26184, K326)+COUNTIF($K$26328:$K$26331, K326)+COUNTIF($K$26674:$K$26675, K326)+COUNTIF($K$26820:$K$26821, K326)+COUNTIF($K$26863:$K$26870, K326)+COUNTIF($K$26749:$K$26755, K326)+COUNTIF($K$26737:$K$26744, K326)&gt;1,NOT(ISBLANK(K326)))</formula>
    </cfRule>
  </conditionalFormatting>
  <conditionalFormatting sqref="L326:L335">
    <cfRule type="expression" dxfId="515" priority="4" stopIfTrue="1">
      <formula>AND(COUNTIF($K$23041:$K$23041, L326)&gt;1,NOT(ISBLANK(L326)))</formula>
    </cfRule>
  </conditionalFormatting>
  <conditionalFormatting sqref="L326:L335">
    <cfRule type="expression" dxfId="514" priority="5" stopIfTrue="1">
      <formula>AND(COUNTIF(#REF!, L326)+COUNTIF($K$26436:$K$26442, L326)+COUNTIF($K$26515:$K$26515, L326)+COUNTIF($K$26539:$K$26539, L326)+COUNTIF($K$26480:$K$26484, L326)+COUNTIF($K$26535:$K$26535, L326)+COUNTIF($K$26500:$K$26500, L326)+COUNTIF($K$26509:$K$26509, L326)+COUNTIF($K$26521:$K$26523, L326)+COUNTIF($K$26394:$K$26399, L326)+COUNTIF($K$26529:$K$26529, L326)+COUNTIF($K$26527:$K$26527, L326)+COUNTIF($K$26533:$K$26533, L326)+COUNTIF($K$26497:$K$26498, L326)+COUNTIF($K$26507:$K$26507, L326)+COUNTIF($K$26512:$K$26512, L326)+COUNTIF($K$26250:$K$26253, L326)+COUNTIF($K$26291:$K$26298, L326)+COUNTIF($K$26304:$K$26307, L326)+COUNTIF($K$26309:$K$26316, L326)+COUNTIF($K$26195:$K$26204, L326)+COUNTIF($K$26230:$K$26234, L326)+COUNTIF($K$25928:$K$25941, L326)+COUNTIF($K$25784:$K$25802, L326)+COUNTIF($K$25901:$K$25907, L326)+COUNTIF($K$25850:$K$25861, L326)+COUNTIF($K$25870:$K$25872, L326)+COUNTIF($K$25890:$K$25893, L326)+COUNTIF($K$25804:$K$25830, L326)+COUNTIF($K$23006:$K$25740, L326)+COUNTIF($K$25758:$K$25766, L326)+COUNTIF($K$25910:$K$25913, L326)+COUNTIF($K$26256:$K$26257, L326)+COUNTIF($K$26402:$K$26403, L326)+COUNTIF($K$26445:$K$26452, L326)+COUNTIF($K$26331:$K$26337, L326)+COUNTIF($K$26319:$K$26326, L326)&gt;1,NOT(ISBLANK(L326)))</formula>
    </cfRule>
  </conditionalFormatting>
  <conditionalFormatting sqref="L326:L335">
    <cfRule type="expression" dxfId="513" priority="6" stopIfTrue="1">
      <formula>AND(COUNTIF(#REF!, L326)+COUNTIF($K$26079:$K$26085, L326)+COUNTIF($K$26158:$K$26158, L326)+COUNTIF($K$26182:$K$26182, L326)+COUNTIF($K$26123:$K$26127, L326)+COUNTIF($K$26178:$K$26178, L326)+COUNTIF($K$26143:$K$26143, L326)+COUNTIF($K$26152:$K$26152, L326)+COUNTIF($K$26164:$K$26166, L326)+COUNTIF($K$26037:$K$26042, L326)+COUNTIF($K$26172:$K$26172, L326)+COUNTIF($K$26170:$K$26170, L326)+COUNTIF($K$26176:$K$26176, L326)+COUNTIF($K$26140:$K$26141, L326)+COUNTIF($K$26150:$K$26150, L326)+COUNTIF($K$26155:$K$26155, L326)+COUNTIF($K$25893:$K$25896, L326)+COUNTIF($K$25934:$K$25941, L326)+COUNTIF($K$25947:$K$25950, L326)+COUNTIF($K$25952:$K$25959, L326)+COUNTIF($K$25838:$K$25847, L326)+COUNTIF($K$25873:$K$25877, L326)+COUNTIF($K$25571:$K$25584, L326)+COUNTIF($K$25427:$K$25445, L326)+COUNTIF($K$25544:$K$25550, L326)+COUNTIF($K$25493:$K$25504, L326)+COUNTIF($K$25513:$K$25515, L326)+COUNTIF($K$25533:$K$25536, L326)+COUNTIF($K$25447:$K$25473, L326)+COUNTIF($K$23006:$K$25383, L326)+COUNTIF($K$25401:$K$25409, L326)+COUNTIF($K$25553:$K$25556, L326)+COUNTIF($K$25899:$K$25900, L326)+COUNTIF($K$26045:$K$26046, L326)+COUNTIF($K$26088:$K$26095, L326)+COUNTIF($K$25974:$K$25980, L326)+COUNTIF($K$25962:$K$25969, L326)&gt;1,NOT(ISBLANK(L326)))</formula>
    </cfRule>
  </conditionalFormatting>
  <conditionalFormatting sqref="C326:C335">
    <cfRule type="duplicateValues" dxfId="512" priority="7"/>
  </conditionalFormatting>
  <conditionalFormatting sqref="L326:L335">
    <cfRule type="duplicateValues" dxfId="511" priority="8"/>
  </conditionalFormatting>
  <conditionalFormatting sqref="C326:C335">
    <cfRule type="duplicateValues" dxfId="510" priority="9"/>
    <cfRule type="duplicateValues" dxfId="509" priority="10"/>
  </conditionalFormatting>
  <conditionalFormatting sqref="C326:C335">
    <cfRule type="duplicateValues" dxfId="508" priority="11"/>
  </conditionalFormatting>
  <conditionalFormatting sqref="L326:L335">
    <cfRule type="duplicateValues" dxfId="507" priority="1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97"/>
  <sheetViews>
    <sheetView topLeftCell="D1" workbookViewId="0">
      <pane ySplit="4" topLeftCell="A62" activePane="bottomLeft" state="frozen"/>
      <selection activeCell="K1" sqref="K1"/>
      <selection pane="bottomLeft" activeCell="H77" sqref="H77"/>
    </sheetView>
  </sheetViews>
  <sheetFormatPr defaultRowHeight="14.25" outlineLevelRow="2" x14ac:dyDescent="0.45"/>
  <cols>
    <col min="1" max="1" width="10" customWidth="1"/>
    <col min="3" max="3" width="14.86328125" bestFit="1" customWidth="1"/>
    <col min="6" max="6" width="11.3984375" customWidth="1"/>
    <col min="8" max="8" width="10.3984375" customWidth="1"/>
    <col min="11" max="11" width="10.73046875" style="1" customWidth="1"/>
    <col min="12" max="12" width="11.86328125" customWidth="1"/>
    <col min="13" max="13" width="9.73046875" style="1" bestFit="1" customWidth="1"/>
    <col min="14" max="14" width="11.86328125" customWidth="1"/>
    <col min="15" max="15" width="15.1328125" bestFit="1" customWidth="1"/>
    <col min="16" max="16" width="31.86328125" bestFit="1" customWidth="1"/>
    <col min="17" max="17" width="24.3984375" bestFit="1" customWidth="1"/>
    <col min="18" max="18" width="17.3984375" bestFit="1" customWidth="1"/>
  </cols>
  <sheetData>
    <row r="1" spans="1:53" s="37" customFormat="1" x14ac:dyDescent="0.45"/>
    <row r="2" spans="1:53" s="37" customFormat="1" ht="21" customHeight="1" x14ac:dyDescent="0.45">
      <c r="A2" s="141" t="s">
        <v>559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</row>
    <row r="3" spans="1:53" s="37" customFormat="1" x14ac:dyDescent="0.45"/>
    <row r="4" spans="1:53" x14ac:dyDescent="0.45">
      <c r="A4" s="2" t="s">
        <v>12</v>
      </c>
      <c r="B4" s="2" t="s">
        <v>13</v>
      </c>
      <c r="C4" s="2" t="s">
        <v>14</v>
      </c>
      <c r="D4" s="3" t="s">
        <v>1</v>
      </c>
      <c r="E4" s="8" t="s">
        <v>0</v>
      </c>
      <c r="F4" s="3" t="s">
        <v>15</v>
      </c>
      <c r="G4" s="4" t="s">
        <v>16</v>
      </c>
      <c r="H4" s="5" t="s">
        <v>17</v>
      </c>
      <c r="I4" s="5" t="s">
        <v>9</v>
      </c>
      <c r="J4" s="5" t="s">
        <v>18</v>
      </c>
      <c r="K4" s="5" t="s">
        <v>19</v>
      </c>
      <c r="L4" s="6" t="s">
        <v>7</v>
      </c>
      <c r="M4" s="5" t="s">
        <v>20</v>
      </c>
      <c r="N4" s="7" t="s">
        <v>8</v>
      </c>
      <c r="O4" s="8" t="s">
        <v>21</v>
      </c>
      <c r="P4" s="9" t="s">
        <v>22</v>
      </c>
      <c r="Q4" s="4" t="s">
        <v>23</v>
      </c>
      <c r="R4" s="10" t="s">
        <v>24</v>
      </c>
      <c r="S4" s="9" t="s">
        <v>25</v>
      </c>
      <c r="T4" s="47" t="s">
        <v>61</v>
      </c>
      <c r="U4" s="47" t="s">
        <v>62</v>
      </c>
      <c r="V4" s="47" t="s">
        <v>63</v>
      </c>
      <c r="W4" s="47" t="s">
        <v>64</v>
      </c>
      <c r="X4" s="47" t="s">
        <v>65</v>
      </c>
      <c r="Y4" s="47" t="s">
        <v>66</v>
      </c>
      <c r="Z4" s="47" t="s">
        <v>67</v>
      </c>
      <c r="AA4" s="47" t="s">
        <v>68</v>
      </c>
      <c r="AB4" s="47" t="s">
        <v>69</v>
      </c>
      <c r="AC4" s="47" t="s">
        <v>70</v>
      </c>
      <c r="AD4" s="47" t="s">
        <v>71</v>
      </c>
      <c r="AE4" s="47" t="s">
        <v>72</v>
      </c>
      <c r="AF4" s="47" t="s">
        <v>73</v>
      </c>
      <c r="AG4" s="47" t="s">
        <v>74</v>
      </c>
      <c r="AH4" s="47" t="s">
        <v>75</v>
      </c>
      <c r="AI4" s="47" t="s">
        <v>76</v>
      </c>
      <c r="AJ4" s="47" t="s">
        <v>77</v>
      </c>
      <c r="AK4" s="47" t="s">
        <v>78</v>
      </c>
      <c r="AL4" s="47" t="s">
        <v>79</v>
      </c>
      <c r="AM4" s="47" t="s">
        <v>80</v>
      </c>
      <c r="AN4" s="47" t="s">
        <v>81</v>
      </c>
      <c r="AO4" s="47" t="s">
        <v>82</v>
      </c>
      <c r="AP4" s="47" t="s">
        <v>83</v>
      </c>
      <c r="AQ4" s="47" t="s">
        <v>84</v>
      </c>
      <c r="AR4" s="47" t="s">
        <v>85</v>
      </c>
      <c r="AS4" s="47" t="s">
        <v>86</v>
      </c>
      <c r="AT4" s="47" t="s">
        <v>87</v>
      </c>
      <c r="AU4" s="47" t="s">
        <v>88</v>
      </c>
      <c r="AV4" s="47" t="s">
        <v>89</v>
      </c>
      <c r="AW4" s="47" t="s">
        <v>90</v>
      </c>
      <c r="AX4" s="47" t="s">
        <v>91</v>
      </c>
      <c r="AY4" s="47" t="s">
        <v>92</v>
      </c>
      <c r="AZ4" s="47" t="s">
        <v>93</v>
      </c>
      <c r="BA4" s="47" t="s">
        <v>94</v>
      </c>
    </row>
    <row r="5" spans="1:53" s="60" customFormat="1" ht="15" customHeight="1" outlineLevel="2" x14ac:dyDescent="0.45">
      <c r="A5" s="48">
        <v>3503406250</v>
      </c>
      <c r="B5" s="49">
        <v>10</v>
      </c>
      <c r="C5" s="49" t="s">
        <v>95</v>
      </c>
      <c r="D5" s="50"/>
      <c r="E5" s="51"/>
      <c r="F5" s="51" t="s">
        <v>96</v>
      </c>
      <c r="G5" s="51">
        <v>1088</v>
      </c>
      <c r="H5" s="51" t="s">
        <v>97</v>
      </c>
      <c r="I5" s="51" t="s">
        <v>98</v>
      </c>
      <c r="J5" s="50"/>
      <c r="K5" s="50">
        <v>45178</v>
      </c>
      <c r="L5" s="52" t="s">
        <v>99</v>
      </c>
      <c r="M5" s="50">
        <v>45091</v>
      </c>
      <c r="N5" s="53" t="str">
        <f>+LEFT(L5,5)</f>
        <v>T3HAT</v>
      </c>
      <c r="O5" s="54" t="s">
        <v>100</v>
      </c>
      <c r="P5" s="55" t="s">
        <v>101</v>
      </c>
      <c r="Q5" s="56" t="s">
        <v>102</v>
      </c>
      <c r="R5" s="57" t="s">
        <v>103</v>
      </c>
      <c r="S5" s="58">
        <f>SUM(T5:BA5)</f>
        <v>1362</v>
      </c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9"/>
      <c r="AO5" s="59">
        <v>84</v>
      </c>
      <c r="AP5" s="59">
        <v>198</v>
      </c>
      <c r="AQ5" s="59">
        <v>318</v>
      </c>
      <c r="AR5" s="59"/>
      <c r="AS5" s="59"/>
      <c r="AT5" s="59">
        <v>348</v>
      </c>
      <c r="AU5" s="59">
        <v>204</v>
      </c>
      <c r="AV5" s="58">
        <v>210</v>
      </c>
      <c r="AW5" s="58"/>
      <c r="AX5" s="58"/>
      <c r="AY5" s="59"/>
      <c r="AZ5" s="59"/>
      <c r="BA5" s="59"/>
    </row>
    <row r="6" spans="1:53" s="60" customFormat="1" ht="15" customHeight="1" outlineLevel="2" x14ac:dyDescent="0.45">
      <c r="A6" s="48">
        <v>3503405147</v>
      </c>
      <c r="B6" s="49">
        <v>10</v>
      </c>
      <c r="C6" s="49" t="s">
        <v>104</v>
      </c>
      <c r="D6" s="50"/>
      <c r="E6" s="51"/>
      <c r="F6" s="51" t="s">
        <v>96</v>
      </c>
      <c r="G6" s="51">
        <v>1084</v>
      </c>
      <c r="H6" s="51" t="s">
        <v>105</v>
      </c>
      <c r="I6" s="51" t="s">
        <v>98</v>
      </c>
      <c r="J6" s="50"/>
      <c r="K6" s="50">
        <v>45178</v>
      </c>
      <c r="L6" s="52" t="s">
        <v>106</v>
      </c>
      <c r="M6" s="50">
        <v>45091</v>
      </c>
      <c r="N6" s="53" t="str">
        <f>+LEFT(L6,5)</f>
        <v>T3HAT</v>
      </c>
      <c r="O6" s="54" t="s">
        <v>100</v>
      </c>
      <c r="P6" s="55" t="s">
        <v>101</v>
      </c>
      <c r="Q6" s="56" t="s">
        <v>102</v>
      </c>
      <c r="R6" s="57" t="s">
        <v>103</v>
      </c>
      <c r="S6" s="58">
        <f t="shared" ref="S6:S63" si="0">SUM(T6:BA6)</f>
        <v>408</v>
      </c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9"/>
      <c r="AO6" s="59">
        <v>102</v>
      </c>
      <c r="AP6" s="59">
        <v>84</v>
      </c>
      <c r="AQ6" s="59"/>
      <c r="AR6" s="59">
        <v>66</v>
      </c>
      <c r="AS6" s="59"/>
      <c r="AT6" s="59">
        <v>72</v>
      </c>
      <c r="AU6" s="59">
        <v>42</v>
      </c>
      <c r="AV6" s="58">
        <v>42</v>
      </c>
      <c r="AW6" s="58"/>
      <c r="AX6" s="58"/>
      <c r="AY6" s="59"/>
      <c r="AZ6" s="59"/>
      <c r="BA6" s="59"/>
    </row>
    <row r="7" spans="1:53" s="60" customFormat="1" ht="15" customHeight="1" outlineLevel="2" x14ac:dyDescent="0.45">
      <c r="A7" s="48">
        <v>6000729856</v>
      </c>
      <c r="B7" s="49">
        <v>100</v>
      </c>
      <c r="C7" s="49" t="s">
        <v>107</v>
      </c>
      <c r="D7" s="50"/>
      <c r="E7" s="51"/>
      <c r="F7" s="51" t="s">
        <v>96</v>
      </c>
      <c r="G7" s="51">
        <v>1027</v>
      </c>
      <c r="H7" s="51" t="s">
        <v>108</v>
      </c>
      <c r="I7" s="51" t="s">
        <v>98</v>
      </c>
      <c r="J7" s="50"/>
      <c r="K7" s="50">
        <v>45178</v>
      </c>
      <c r="L7" s="52" t="s">
        <v>109</v>
      </c>
      <c r="M7" s="50">
        <v>45091</v>
      </c>
      <c r="N7" s="53" t="str">
        <f>+LEFT(L7,5)</f>
        <v>T3HAT</v>
      </c>
      <c r="O7" s="54" t="s">
        <v>100</v>
      </c>
      <c r="P7" s="55" t="s">
        <v>101</v>
      </c>
      <c r="Q7" s="56" t="s">
        <v>102</v>
      </c>
      <c r="R7" s="57" t="s">
        <v>103</v>
      </c>
      <c r="S7" s="58">
        <f t="shared" si="0"/>
        <v>293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9"/>
      <c r="AO7" s="59">
        <v>26</v>
      </c>
      <c r="AP7" s="59">
        <v>52</v>
      </c>
      <c r="AQ7" s="59">
        <v>42</v>
      </c>
      <c r="AR7" s="59">
        <v>59</v>
      </c>
      <c r="AS7" s="59">
        <v>45</v>
      </c>
      <c r="AT7" s="59">
        <v>32</v>
      </c>
      <c r="AU7" s="59">
        <v>23</v>
      </c>
      <c r="AV7" s="58">
        <v>14</v>
      </c>
      <c r="AW7" s="58"/>
      <c r="AX7" s="58"/>
      <c r="AY7" s="59"/>
      <c r="AZ7" s="59"/>
      <c r="BA7" s="59"/>
    </row>
    <row r="8" spans="1:53" s="60" customFormat="1" ht="15" customHeight="1" outlineLevel="2" x14ac:dyDescent="0.45">
      <c r="A8" s="48">
        <v>4509528870</v>
      </c>
      <c r="B8" s="49">
        <v>10</v>
      </c>
      <c r="C8" s="49" t="s">
        <v>110</v>
      </c>
      <c r="D8" s="50"/>
      <c r="E8" s="51"/>
      <c r="F8" s="51" t="s">
        <v>96</v>
      </c>
      <c r="G8" s="51">
        <v>4992000</v>
      </c>
      <c r="H8" s="51" t="s">
        <v>111</v>
      </c>
      <c r="I8" s="51" t="s">
        <v>98</v>
      </c>
      <c r="J8" s="50"/>
      <c r="K8" s="50">
        <v>45178</v>
      </c>
      <c r="L8" s="52" t="s">
        <v>112</v>
      </c>
      <c r="M8" s="50">
        <v>45091</v>
      </c>
      <c r="N8" s="53" t="str">
        <f>+LEFT(L8,5)</f>
        <v>T3HAT</v>
      </c>
      <c r="O8" s="54" t="s">
        <v>100</v>
      </c>
      <c r="P8" s="55" t="s">
        <v>101</v>
      </c>
      <c r="Q8" s="56" t="s">
        <v>102</v>
      </c>
      <c r="R8" s="57" t="s">
        <v>103</v>
      </c>
      <c r="S8" s="58">
        <f t="shared" si="0"/>
        <v>348</v>
      </c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9"/>
      <c r="AO8" s="59">
        <v>29</v>
      </c>
      <c r="AP8" s="59">
        <v>29</v>
      </c>
      <c r="AQ8" s="59">
        <v>29</v>
      </c>
      <c r="AR8" s="59">
        <v>58</v>
      </c>
      <c r="AS8" s="59">
        <v>58</v>
      </c>
      <c r="AT8" s="59">
        <v>87</v>
      </c>
      <c r="AU8" s="59">
        <v>29</v>
      </c>
      <c r="AV8" s="58">
        <v>29</v>
      </c>
      <c r="AW8" s="58"/>
      <c r="AX8" s="58"/>
      <c r="AY8" s="59"/>
      <c r="AZ8" s="59"/>
      <c r="BA8" s="59"/>
    </row>
    <row r="9" spans="1:53" s="60" customFormat="1" ht="15" customHeight="1" outlineLevel="2" x14ac:dyDescent="0.45">
      <c r="A9" s="48">
        <v>3503406249</v>
      </c>
      <c r="B9" s="49">
        <v>10</v>
      </c>
      <c r="C9" s="49" t="s">
        <v>113</v>
      </c>
      <c r="D9" s="50"/>
      <c r="E9" s="51"/>
      <c r="F9" s="51" t="s">
        <v>96</v>
      </c>
      <c r="G9" s="51">
        <v>1082</v>
      </c>
      <c r="H9" s="51" t="s">
        <v>97</v>
      </c>
      <c r="I9" s="51" t="s">
        <v>98</v>
      </c>
      <c r="J9" s="50"/>
      <c r="K9" s="50">
        <v>45178</v>
      </c>
      <c r="L9" s="52" t="s">
        <v>114</v>
      </c>
      <c r="M9" s="50">
        <v>45091</v>
      </c>
      <c r="N9" s="53" t="str">
        <f>+LEFT(L9,5)</f>
        <v>T3HAT</v>
      </c>
      <c r="O9" s="54" t="s">
        <v>100</v>
      </c>
      <c r="P9" s="55" t="s">
        <v>101</v>
      </c>
      <c r="Q9" s="56" t="s">
        <v>102</v>
      </c>
      <c r="R9" s="57" t="s">
        <v>103</v>
      </c>
      <c r="S9" s="58">
        <f t="shared" si="0"/>
        <v>966</v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9"/>
      <c r="AO9" s="59">
        <v>126</v>
      </c>
      <c r="AP9" s="59">
        <v>144</v>
      </c>
      <c r="AQ9" s="59">
        <v>192</v>
      </c>
      <c r="AR9" s="59"/>
      <c r="AS9" s="59"/>
      <c r="AT9" s="59">
        <v>234</v>
      </c>
      <c r="AU9" s="59">
        <v>174</v>
      </c>
      <c r="AV9" s="58">
        <v>96</v>
      </c>
      <c r="AW9" s="58"/>
      <c r="AX9" s="58"/>
      <c r="AY9" s="59"/>
      <c r="AZ9" s="59"/>
      <c r="BA9" s="59"/>
    </row>
    <row r="10" spans="1:53" s="71" customFormat="1" ht="15" customHeight="1" outlineLevel="1" x14ac:dyDescent="0.45">
      <c r="A10" s="61"/>
      <c r="B10" s="62"/>
      <c r="C10" s="62"/>
      <c r="D10" s="63"/>
      <c r="E10" s="52"/>
      <c r="F10" s="52"/>
      <c r="G10" s="52"/>
      <c r="H10" s="52"/>
      <c r="I10" s="52"/>
      <c r="J10" s="63"/>
      <c r="K10" s="63"/>
      <c r="L10" s="52"/>
      <c r="M10" s="63"/>
      <c r="N10" s="64" t="s">
        <v>115</v>
      </c>
      <c r="O10" s="65"/>
      <c r="P10" s="66"/>
      <c r="Q10" s="67"/>
      <c r="R10" s="68"/>
      <c r="S10" s="69">
        <f t="shared" ref="S10:BA10" si="1">SUBTOTAL(9,S5:S9)</f>
        <v>3377</v>
      </c>
      <c r="T10" s="69">
        <f t="shared" si="1"/>
        <v>0</v>
      </c>
      <c r="U10" s="69">
        <f t="shared" si="1"/>
        <v>0</v>
      </c>
      <c r="V10" s="69">
        <f t="shared" si="1"/>
        <v>0</v>
      </c>
      <c r="W10" s="69">
        <f t="shared" si="1"/>
        <v>0</v>
      </c>
      <c r="X10" s="69">
        <f t="shared" si="1"/>
        <v>0</v>
      </c>
      <c r="Y10" s="69">
        <f t="shared" si="1"/>
        <v>0</v>
      </c>
      <c r="Z10" s="69">
        <f t="shared" si="1"/>
        <v>0</v>
      </c>
      <c r="AA10" s="69">
        <f t="shared" si="1"/>
        <v>0</v>
      </c>
      <c r="AB10" s="69">
        <f t="shared" si="1"/>
        <v>0</v>
      </c>
      <c r="AC10" s="69">
        <f t="shared" si="1"/>
        <v>0</v>
      </c>
      <c r="AD10" s="69">
        <f t="shared" si="1"/>
        <v>0</v>
      </c>
      <c r="AE10" s="69">
        <f t="shared" si="1"/>
        <v>0</v>
      </c>
      <c r="AF10" s="69">
        <f t="shared" si="1"/>
        <v>0</v>
      </c>
      <c r="AG10" s="69">
        <f t="shared" si="1"/>
        <v>0</v>
      </c>
      <c r="AH10" s="69">
        <f t="shared" si="1"/>
        <v>0</v>
      </c>
      <c r="AI10" s="69">
        <f t="shared" si="1"/>
        <v>0</v>
      </c>
      <c r="AJ10" s="69">
        <f t="shared" si="1"/>
        <v>0</v>
      </c>
      <c r="AK10" s="69">
        <f t="shared" si="1"/>
        <v>0</v>
      </c>
      <c r="AL10" s="69">
        <f t="shared" si="1"/>
        <v>0</v>
      </c>
      <c r="AM10" s="69">
        <f t="shared" si="1"/>
        <v>0</v>
      </c>
      <c r="AN10" s="70">
        <f t="shared" si="1"/>
        <v>0</v>
      </c>
      <c r="AO10" s="70">
        <f t="shared" si="1"/>
        <v>367</v>
      </c>
      <c r="AP10" s="70">
        <f t="shared" si="1"/>
        <v>507</v>
      </c>
      <c r="AQ10" s="70">
        <f t="shared" si="1"/>
        <v>581</v>
      </c>
      <c r="AR10" s="70">
        <f t="shared" si="1"/>
        <v>183</v>
      </c>
      <c r="AS10" s="70">
        <f t="shared" si="1"/>
        <v>103</v>
      </c>
      <c r="AT10" s="70">
        <f t="shared" si="1"/>
        <v>773</v>
      </c>
      <c r="AU10" s="70">
        <f t="shared" si="1"/>
        <v>472</v>
      </c>
      <c r="AV10" s="69">
        <f t="shared" si="1"/>
        <v>391</v>
      </c>
      <c r="AW10" s="69">
        <f t="shared" si="1"/>
        <v>0</v>
      </c>
      <c r="AX10" s="69">
        <f t="shared" si="1"/>
        <v>0</v>
      </c>
      <c r="AY10" s="70">
        <f t="shared" si="1"/>
        <v>0</v>
      </c>
      <c r="AZ10" s="70">
        <f t="shared" si="1"/>
        <v>0</v>
      </c>
      <c r="BA10" s="70">
        <f t="shared" si="1"/>
        <v>0</v>
      </c>
    </row>
    <row r="11" spans="1:53" s="60" customFormat="1" ht="15" customHeight="1" outlineLevel="2" x14ac:dyDescent="0.45">
      <c r="A11" s="48">
        <v>4509530771</v>
      </c>
      <c r="B11" s="49">
        <v>20</v>
      </c>
      <c r="C11" s="49" t="s">
        <v>116</v>
      </c>
      <c r="D11" s="50"/>
      <c r="E11" s="51"/>
      <c r="F11" s="51" t="s">
        <v>117</v>
      </c>
      <c r="G11" s="51">
        <v>35070</v>
      </c>
      <c r="H11" s="51" t="s">
        <v>118</v>
      </c>
      <c r="I11" s="51" t="s">
        <v>98</v>
      </c>
      <c r="J11" s="50"/>
      <c r="K11" s="50">
        <v>45192</v>
      </c>
      <c r="L11" s="52" t="s">
        <v>119</v>
      </c>
      <c r="M11" s="50">
        <v>45091</v>
      </c>
      <c r="N11" s="53" t="str">
        <f>+LEFT(L11,5)</f>
        <v>T3K62</v>
      </c>
      <c r="O11" s="54" t="s">
        <v>120</v>
      </c>
      <c r="P11" s="55" t="s">
        <v>121</v>
      </c>
      <c r="Q11" s="56" t="s">
        <v>102</v>
      </c>
      <c r="R11" s="57" t="s">
        <v>103</v>
      </c>
      <c r="S11" s="58">
        <f t="shared" si="0"/>
        <v>708</v>
      </c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9"/>
      <c r="AO11" s="59">
        <v>118</v>
      </c>
      <c r="AP11" s="59">
        <v>118</v>
      </c>
      <c r="AQ11" s="59">
        <v>118</v>
      </c>
      <c r="AR11" s="59">
        <v>118</v>
      </c>
      <c r="AS11" s="59">
        <v>118</v>
      </c>
      <c r="AT11" s="59">
        <v>118</v>
      </c>
      <c r="AU11" s="59"/>
      <c r="AV11" s="58"/>
      <c r="AW11" s="58"/>
      <c r="AX11" s="58"/>
      <c r="AY11" s="59"/>
      <c r="AZ11" s="59"/>
      <c r="BA11" s="59"/>
    </row>
    <row r="12" spans="1:53" s="60" customFormat="1" ht="15" customHeight="1" outlineLevel="2" x14ac:dyDescent="0.45">
      <c r="A12" s="48">
        <v>4509530773</v>
      </c>
      <c r="B12" s="49">
        <v>10</v>
      </c>
      <c r="C12" s="49" t="s">
        <v>122</v>
      </c>
      <c r="D12" s="50"/>
      <c r="E12" s="51"/>
      <c r="F12" s="51" t="s">
        <v>117</v>
      </c>
      <c r="G12" s="51">
        <v>78324</v>
      </c>
      <c r="H12" s="51" t="s">
        <v>118</v>
      </c>
      <c r="I12" s="51" t="s">
        <v>98</v>
      </c>
      <c r="J12" s="50"/>
      <c r="K12" s="50">
        <v>45185</v>
      </c>
      <c r="L12" s="52" t="s">
        <v>123</v>
      </c>
      <c r="M12" s="50">
        <v>45091</v>
      </c>
      <c r="N12" s="53" t="str">
        <f>+LEFT(L12,5)</f>
        <v>T3K62</v>
      </c>
      <c r="O12" s="54" t="s">
        <v>120</v>
      </c>
      <c r="P12" s="55" t="s">
        <v>121</v>
      </c>
      <c r="Q12" s="56" t="s">
        <v>102</v>
      </c>
      <c r="R12" s="57" t="s">
        <v>103</v>
      </c>
      <c r="S12" s="58">
        <f t="shared" si="0"/>
        <v>720</v>
      </c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9"/>
      <c r="AO12" s="59"/>
      <c r="AP12" s="59">
        <v>168</v>
      </c>
      <c r="AQ12" s="59"/>
      <c r="AR12" s="59">
        <v>204</v>
      </c>
      <c r="AS12" s="59"/>
      <c r="AT12" s="59">
        <v>180</v>
      </c>
      <c r="AU12" s="59"/>
      <c r="AV12" s="58">
        <v>168</v>
      </c>
      <c r="AW12" s="58"/>
      <c r="AX12" s="58"/>
      <c r="AY12" s="59"/>
      <c r="AZ12" s="59"/>
      <c r="BA12" s="59"/>
    </row>
    <row r="13" spans="1:53" s="60" customFormat="1" ht="15" customHeight="1" outlineLevel="2" x14ac:dyDescent="0.45">
      <c r="A13" s="48">
        <v>4509530771</v>
      </c>
      <c r="B13" s="49">
        <v>10</v>
      </c>
      <c r="C13" s="49" t="s">
        <v>124</v>
      </c>
      <c r="D13" s="50"/>
      <c r="E13" s="51"/>
      <c r="F13" s="51" t="s">
        <v>117</v>
      </c>
      <c r="G13" s="51">
        <v>35070</v>
      </c>
      <c r="H13" s="51" t="s">
        <v>118</v>
      </c>
      <c r="I13" s="51" t="s">
        <v>98</v>
      </c>
      <c r="J13" s="50"/>
      <c r="K13" s="50">
        <v>45192</v>
      </c>
      <c r="L13" s="52" t="s">
        <v>125</v>
      </c>
      <c r="M13" s="50">
        <v>45091</v>
      </c>
      <c r="N13" s="53" t="str">
        <f>+LEFT(L13,5)</f>
        <v>T3K62</v>
      </c>
      <c r="O13" s="54" t="s">
        <v>120</v>
      </c>
      <c r="P13" s="55" t="s">
        <v>121</v>
      </c>
      <c r="Q13" s="56" t="s">
        <v>102</v>
      </c>
      <c r="R13" s="57" t="s">
        <v>103</v>
      </c>
      <c r="S13" s="58">
        <f t="shared" si="0"/>
        <v>360</v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9"/>
      <c r="AO13" s="59">
        <v>36</v>
      </c>
      <c r="AP13" s="59">
        <v>36</v>
      </c>
      <c r="AQ13" s="59">
        <v>36</v>
      </c>
      <c r="AR13" s="59">
        <v>36</v>
      </c>
      <c r="AS13" s="59">
        <v>24</v>
      </c>
      <c r="AT13" s="59">
        <v>24</v>
      </c>
      <c r="AU13" s="59">
        <v>84</v>
      </c>
      <c r="AV13" s="58">
        <v>84</v>
      </c>
      <c r="AW13" s="58"/>
      <c r="AX13" s="58"/>
      <c r="AY13" s="59"/>
      <c r="AZ13" s="59"/>
      <c r="BA13" s="59"/>
    </row>
    <row r="14" spans="1:53" s="60" customFormat="1" ht="15" customHeight="1" outlineLevel="2" x14ac:dyDescent="0.45">
      <c r="A14" s="48">
        <v>4509530769</v>
      </c>
      <c r="B14" s="49">
        <v>10</v>
      </c>
      <c r="C14" s="49" t="s">
        <v>126</v>
      </c>
      <c r="D14" s="50"/>
      <c r="E14" s="51"/>
      <c r="F14" s="51" t="s">
        <v>117</v>
      </c>
      <c r="G14" s="51">
        <v>10770</v>
      </c>
      <c r="H14" s="51" t="s">
        <v>118</v>
      </c>
      <c r="I14" s="51" t="s">
        <v>98</v>
      </c>
      <c r="J14" s="50"/>
      <c r="K14" s="50">
        <v>45199</v>
      </c>
      <c r="L14" s="52" t="s">
        <v>127</v>
      </c>
      <c r="M14" s="50">
        <v>45091</v>
      </c>
      <c r="N14" s="53" t="str">
        <f>+LEFT(L14,5)</f>
        <v>T3K62</v>
      </c>
      <c r="O14" s="54" t="s">
        <v>120</v>
      </c>
      <c r="P14" s="55" t="s">
        <v>121</v>
      </c>
      <c r="Q14" s="56" t="s">
        <v>102</v>
      </c>
      <c r="R14" s="57" t="s">
        <v>103</v>
      </c>
      <c r="S14" s="58">
        <f t="shared" si="0"/>
        <v>456</v>
      </c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9"/>
      <c r="AO14" s="59">
        <v>24</v>
      </c>
      <c r="AP14" s="59">
        <v>36</v>
      </c>
      <c r="AQ14" s="59">
        <v>48</v>
      </c>
      <c r="AR14" s="59">
        <v>60</v>
      </c>
      <c r="AS14" s="59">
        <v>72</v>
      </c>
      <c r="AT14" s="59">
        <v>84</v>
      </c>
      <c r="AU14" s="59">
        <v>72</v>
      </c>
      <c r="AV14" s="58">
        <v>60</v>
      </c>
      <c r="AW14" s="58"/>
      <c r="AX14" s="58"/>
      <c r="AY14" s="59"/>
      <c r="AZ14" s="59"/>
      <c r="BA14" s="59"/>
    </row>
    <row r="15" spans="1:53" s="60" customFormat="1" ht="15" customHeight="1" outlineLevel="2" x14ac:dyDescent="0.45">
      <c r="A15" s="48">
        <v>6000729850</v>
      </c>
      <c r="B15" s="49">
        <v>100</v>
      </c>
      <c r="C15" s="49" t="s">
        <v>128</v>
      </c>
      <c r="D15" s="50"/>
      <c r="E15" s="51"/>
      <c r="F15" s="51" t="s">
        <v>117</v>
      </c>
      <c r="G15" s="51">
        <v>1025</v>
      </c>
      <c r="H15" s="51" t="s">
        <v>108</v>
      </c>
      <c r="I15" s="51" t="s">
        <v>98</v>
      </c>
      <c r="J15" s="50"/>
      <c r="K15" s="50">
        <v>45185</v>
      </c>
      <c r="L15" s="52" t="s">
        <v>129</v>
      </c>
      <c r="M15" s="50">
        <v>45091</v>
      </c>
      <c r="N15" s="53" t="str">
        <f>+LEFT(L15,5)</f>
        <v>T3K62</v>
      </c>
      <c r="O15" s="54" t="s">
        <v>120</v>
      </c>
      <c r="P15" s="55" t="s">
        <v>121</v>
      </c>
      <c r="Q15" s="56" t="s">
        <v>102</v>
      </c>
      <c r="R15" s="57" t="s">
        <v>103</v>
      </c>
      <c r="S15" s="58">
        <f t="shared" si="0"/>
        <v>1872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9"/>
      <c r="AO15" s="59">
        <v>166</v>
      </c>
      <c r="AP15" s="59">
        <v>308</v>
      </c>
      <c r="AQ15" s="59">
        <v>232</v>
      </c>
      <c r="AR15" s="59">
        <v>403</v>
      </c>
      <c r="AS15" s="59">
        <v>252</v>
      </c>
      <c r="AT15" s="59">
        <v>270</v>
      </c>
      <c r="AU15" s="59">
        <v>126</v>
      </c>
      <c r="AV15" s="58">
        <v>115</v>
      </c>
      <c r="AW15" s="58"/>
      <c r="AX15" s="58"/>
      <c r="AY15" s="59"/>
      <c r="AZ15" s="59"/>
      <c r="BA15" s="59"/>
    </row>
    <row r="16" spans="1:53" s="71" customFormat="1" ht="15" customHeight="1" outlineLevel="1" x14ac:dyDescent="0.45">
      <c r="A16" s="61"/>
      <c r="B16" s="62"/>
      <c r="C16" s="62"/>
      <c r="D16" s="63"/>
      <c r="E16" s="52"/>
      <c r="F16" s="52"/>
      <c r="G16" s="52"/>
      <c r="H16" s="52"/>
      <c r="I16" s="52"/>
      <c r="J16" s="63"/>
      <c r="K16" s="63"/>
      <c r="L16" s="52"/>
      <c r="M16" s="63"/>
      <c r="N16" s="72" t="s">
        <v>130</v>
      </c>
      <c r="O16" s="65"/>
      <c r="P16" s="66"/>
      <c r="Q16" s="67"/>
      <c r="R16" s="68"/>
      <c r="S16" s="69">
        <f t="shared" ref="S16:BA16" si="2">SUBTOTAL(9,S11:S15)</f>
        <v>4116</v>
      </c>
      <c r="T16" s="69">
        <f t="shared" si="2"/>
        <v>0</v>
      </c>
      <c r="U16" s="69">
        <f t="shared" si="2"/>
        <v>0</v>
      </c>
      <c r="V16" s="69">
        <f t="shared" si="2"/>
        <v>0</v>
      </c>
      <c r="W16" s="69">
        <f t="shared" si="2"/>
        <v>0</v>
      </c>
      <c r="X16" s="69">
        <f t="shared" si="2"/>
        <v>0</v>
      </c>
      <c r="Y16" s="69">
        <f t="shared" si="2"/>
        <v>0</v>
      </c>
      <c r="Z16" s="69">
        <f t="shared" si="2"/>
        <v>0</v>
      </c>
      <c r="AA16" s="69">
        <f t="shared" si="2"/>
        <v>0</v>
      </c>
      <c r="AB16" s="69">
        <f t="shared" si="2"/>
        <v>0</v>
      </c>
      <c r="AC16" s="69">
        <f t="shared" si="2"/>
        <v>0</v>
      </c>
      <c r="AD16" s="69">
        <f t="shared" si="2"/>
        <v>0</v>
      </c>
      <c r="AE16" s="69">
        <f t="shared" si="2"/>
        <v>0</v>
      </c>
      <c r="AF16" s="69">
        <f t="shared" si="2"/>
        <v>0</v>
      </c>
      <c r="AG16" s="69">
        <f t="shared" si="2"/>
        <v>0</v>
      </c>
      <c r="AH16" s="69">
        <f t="shared" si="2"/>
        <v>0</v>
      </c>
      <c r="AI16" s="69">
        <f t="shared" si="2"/>
        <v>0</v>
      </c>
      <c r="AJ16" s="69">
        <f t="shared" si="2"/>
        <v>0</v>
      </c>
      <c r="AK16" s="69">
        <f t="shared" si="2"/>
        <v>0</v>
      </c>
      <c r="AL16" s="69">
        <f t="shared" si="2"/>
        <v>0</v>
      </c>
      <c r="AM16" s="69">
        <f t="shared" si="2"/>
        <v>0</v>
      </c>
      <c r="AN16" s="70">
        <f t="shared" si="2"/>
        <v>0</v>
      </c>
      <c r="AO16" s="70">
        <f t="shared" si="2"/>
        <v>344</v>
      </c>
      <c r="AP16" s="70">
        <f t="shared" si="2"/>
        <v>666</v>
      </c>
      <c r="AQ16" s="70">
        <f t="shared" si="2"/>
        <v>434</v>
      </c>
      <c r="AR16" s="70">
        <f t="shared" si="2"/>
        <v>821</v>
      </c>
      <c r="AS16" s="70">
        <f t="shared" si="2"/>
        <v>466</v>
      </c>
      <c r="AT16" s="70">
        <f t="shared" si="2"/>
        <v>676</v>
      </c>
      <c r="AU16" s="70">
        <f t="shared" si="2"/>
        <v>282</v>
      </c>
      <c r="AV16" s="69">
        <f t="shared" si="2"/>
        <v>427</v>
      </c>
      <c r="AW16" s="69">
        <f t="shared" si="2"/>
        <v>0</v>
      </c>
      <c r="AX16" s="69">
        <f t="shared" si="2"/>
        <v>0</v>
      </c>
      <c r="AY16" s="70">
        <f t="shared" si="2"/>
        <v>0</v>
      </c>
      <c r="AZ16" s="70">
        <f t="shared" si="2"/>
        <v>0</v>
      </c>
      <c r="BA16" s="70">
        <f t="shared" si="2"/>
        <v>0</v>
      </c>
    </row>
    <row r="17" spans="1:53" s="60" customFormat="1" ht="15" customHeight="1" outlineLevel="2" x14ac:dyDescent="0.45">
      <c r="A17" s="48">
        <v>4509530775</v>
      </c>
      <c r="B17" s="49">
        <v>10</v>
      </c>
      <c r="C17" s="49" t="s">
        <v>131</v>
      </c>
      <c r="D17" s="50"/>
      <c r="E17" s="51"/>
      <c r="F17" s="51" t="s">
        <v>117</v>
      </c>
      <c r="G17" s="51">
        <v>289884</v>
      </c>
      <c r="H17" s="51" t="s">
        <v>118</v>
      </c>
      <c r="I17" s="51" t="s">
        <v>98</v>
      </c>
      <c r="J17" s="50"/>
      <c r="K17" s="50">
        <v>45206</v>
      </c>
      <c r="L17" s="52" t="s">
        <v>132</v>
      </c>
      <c r="M17" s="50">
        <v>45091</v>
      </c>
      <c r="N17" s="53" t="str">
        <f>+LEFT(L17,5)</f>
        <v>T3K63</v>
      </c>
      <c r="O17" s="54" t="s">
        <v>120</v>
      </c>
      <c r="P17" s="55" t="s">
        <v>121</v>
      </c>
      <c r="Q17" s="56" t="s">
        <v>102</v>
      </c>
      <c r="R17" s="57" t="s">
        <v>103</v>
      </c>
      <c r="S17" s="58">
        <f t="shared" si="0"/>
        <v>348</v>
      </c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9"/>
      <c r="AO17" s="59">
        <v>24</v>
      </c>
      <c r="AP17" s="59">
        <v>24</v>
      </c>
      <c r="AQ17" s="59">
        <v>36</v>
      </c>
      <c r="AR17" s="59">
        <v>48</v>
      </c>
      <c r="AS17" s="59">
        <v>60</v>
      </c>
      <c r="AT17" s="59">
        <v>60</v>
      </c>
      <c r="AU17" s="59">
        <v>48</v>
      </c>
      <c r="AV17" s="58">
        <v>48</v>
      </c>
      <c r="AW17" s="58"/>
      <c r="AX17" s="58"/>
      <c r="AY17" s="59"/>
      <c r="AZ17" s="59"/>
      <c r="BA17" s="59"/>
    </row>
    <row r="18" spans="1:53" s="71" customFormat="1" ht="15" customHeight="1" outlineLevel="1" x14ac:dyDescent="0.45">
      <c r="A18" s="61"/>
      <c r="B18" s="62"/>
      <c r="C18" s="62"/>
      <c r="D18" s="63"/>
      <c r="E18" s="52"/>
      <c r="F18" s="52"/>
      <c r="G18" s="52"/>
      <c r="H18" s="52"/>
      <c r="I18" s="52"/>
      <c r="J18" s="63"/>
      <c r="K18" s="63"/>
      <c r="L18" s="52"/>
      <c r="M18" s="63"/>
      <c r="N18" s="72" t="s">
        <v>133</v>
      </c>
      <c r="O18" s="65"/>
      <c r="P18" s="66"/>
      <c r="Q18" s="67"/>
      <c r="R18" s="68"/>
      <c r="S18" s="69">
        <f t="shared" ref="S18:BA18" si="3">SUBTOTAL(9,S17:S17)</f>
        <v>348</v>
      </c>
      <c r="T18" s="69">
        <f t="shared" si="3"/>
        <v>0</v>
      </c>
      <c r="U18" s="69">
        <f t="shared" si="3"/>
        <v>0</v>
      </c>
      <c r="V18" s="69">
        <f t="shared" si="3"/>
        <v>0</v>
      </c>
      <c r="W18" s="69">
        <f t="shared" si="3"/>
        <v>0</v>
      </c>
      <c r="X18" s="69">
        <f t="shared" si="3"/>
        <v>0</v>
      </c>
      <c r="Y18" s="69">
        <f t="shared" si="3"/>
        <v>0</v>
      </c>
      <c r="Z18" s="69">
        <f t="shared" si="3"/>
        <v>0</v>
      </c>
      <c r="AA18" s="69">
        <f t="shared" si="3"/>
        <v>0</v>
      </c>
      <c r="AB18" s="69">
        <f t="shared" si="3"/>
        <v>0</v>
      </c>
      <c r="AC18" s="69">
        <f t="shared" si="3"/>
        <v>0</v>
      </c>
      <c r="AD18" s="69">
        <f t="shared" si="3"/>
        <v>0</v>
      </c>
      <c r="AE18" s="69">
        <f t="shared" si="3"/>
        <v>0</v>
      </c>
      <c r="AF18" s="69">
        <f t="shared" si="3"/>
        <v>0</v>
      </c>
      <c r="AG18" s="69">
        <f t="shared" si="3"/>
        <v>0</v>
      </c>
      <c r="AH18" s="69">
        <f t="shared" si="3"/>
        <v>0</v>
      </c>
      <c r="AI18" s="69">
        <f t="shared" si="3"/>
        <v>0</v>
      </c>
      <c r="AJ18" s="69">
        <f t="shared" si="3"/>
        <v>0</v>
      </c>
      <c r="AK18" s="69">
        <f t="shared" si="3"/>
        <v>0</v>
      </c>
      <c r="AL18" s="69">
        <f t="shared" si="3"/>
        <v>0</v>
      </c>
      <c r="AM18" s="69">
        <f t="shared" si="3"/>
        <v>0</v>
      </c>
      <c r="AN18" s="70">
        <f t="shared" si="3"/>
        <v>0</v>
      </c>
      <c r="AO18" s="70">
        <f t="shared" si="3"/>
        <v>24</v>
      </c>
      <c r="AP18" s="70">
        <f t="shared" si="3"/>
        <v>24</v>
      </c>
      <c r="AQ18" s="70">
        <f t="shared" si="3"/>
        <v>36</v>
      </c>
      <c r="AR18" s="70">
        <f t="shared" si="3"/>
        <v>48</v>
      </c>
      <c r="AS18" s="70">
        <f t="shared" si="3"/>
        <v>60</v>
      </c>
      <c r="AT18" s="70">
        <f t="shared" si="3"/>
        <v>60</v>
      </c>
      <c r="AU18" s="70">
        <f t="shared" si="3"/>
        <v>48</v>
      </c>
      <c r="AV18" s="69">
        <f t="shared" si="3"/>
        <v>48</v>
      </c>
      <c r="AW18" s="69">
        <f t="shared" si="3"/>
        <v>0</v>
      </c>
      <c r="AX18" s="69">
        <f t="shared" si="3"/>
        <v>0</v>
      </c>
      <c r="AY18" s="70">
        <f t="shared" si="3"/>
        <v>0</v>
      </c>
      <c r="AZ18" s="70">
        <f t="shared" si="3"/>
        <v>0</v>
      </c>
      <c r="BA18" s="70">
        <f t="shared" si="3"/>
        <v>0</v>
      </c>
    </row>
    <row r="19" spans="1:53" s="60" customFormat="1" ht="15" customHeight="1" outlineLevel="2" x14ac:dyDescent="0.45">
      <c r="A19" s="48">
        <v>4509530771</v>
      </c>
      <c r="B19" s="49">
        <v>40</v>
      </c>
      <c r="C19" s="49" t="s">
        <v>134</v>
      </c>
      <c r="D19" s="50"/>
      <c r="E19" s="51"/>
      <c r="F19" s="51" t="s">
        <v>117</v>
      </c>
      <c r="G19" s="51">
        <v>35070</v>
      </c>
      <c r="H19" s="51" t="s">
        <v>118</v>
      </c>
      <c r="I19" s="51" t="s">
        <v>98</v>
      </c>
      <c r="J19" s="50"/>
      <c r="K19" s="50">
        <v>45192</v>
      </c>
      <c r="L19" s="52" t="s">
        <v>135</v>
      </c>
      <c r="M19" s="50">
        <v>45091</v>
      </c>
      <c r="N19" s="53" t="str">
        <f>+LEFT(L19,5)</f>
        <v>T3K64</v>
      </c>
      <c r="O19" s="54" t="s">
        <v>136</v>
      </c>
      <c r="P19" s="55" t="s">
        <v>137</v>
      </c>
      <c r="Q19" s="56" t="s">
        <v>102</v>
      </c>
      <c r="R19" s="57" t="s">
        <v>103</v>
      </c>
      <c r="S19" s="58">
        <f t="shared" si="0"/>
        <v>696</v>
      </c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9"/>
      <c r="AO19" s="59">
        <v>116</v>
      </c>
      <c r="AP19" s="59">
        <v>116</v>
      </c>
      <c r="AQ19" s="59">
        <v>116</v>
      </c>
      <c r="AR19" s="59">
        <v>116</v>
      </c>
      <c r="AS19" s="59">
        <v>116</v>
      </c>
      <c r="AT19" s="59">
        <v>116</v>
      </c>
      <c r="AU19" s="59"/>
      <c r="AV19" s="58"/>
      <c r="AW19" s="58"/>
      <c r="AX19" s="58"/>
      <c r="AY19" s="59"/>
      <c r="AZ19" s="59"/>
      <c r="BA19" s="59"/>
    </row>
    <row r="20" spans="1:53" s="60" customFormat="1" ht="15" customHeight="1" outlineLevel="2" x14ac:dyDescent="0.45">
      <c r="A20" s="48">
        <v>4509530771</v>
      </c>
      <c r="B20" s="49">
        <v>30</v>
      </c>
      <c r="C20" s="49" t="s">
        <v>138</v>
      </c>
      <c r="D20" s="50"/>
      <c r="E20" s="51"/>
      <c r="F20" s="51" t="s">
        <v>117</v>
      </c>
      <c r="G20" s="51">
        <v>35070</v>
      </c>
      <c r="H20" s="51" t="s">
        <v>118</v>
      </c>
      <c r="I20" s="51" t="s">
        <v>98</v>
      </c>
      <c r="J20" s="50"/>
      <c r="K20" s="50">
        <v>45192</v>
      </c>
      <c r="L20" s="52" t="s">
        <v>139</v>
      </c>
      <c r="M20" s="50">
        <v>45091</v>
      </c>
      <c r="N20" s="53" t="str">
        <f>+LEFT(L20,5)</f>
        <v>T3K64</v>
      </c>
      <c r="O20" s="54" t="s">
        <v>136</v>
      </c>
      <c r="P20" s="55" t="s">
        <v>137</v>
      </c>
      <c r="Q20" s="56" t="s">
        <v>102</v>
      </c>
      <c r="R20" s="57" t="s">
        <v>103</v>
      </c>
      <c r="S20" s="58">
        <f t="shared" si="0"/>
        <v>1080</v>
      </c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9"/>
      <c r="AO20" s="59">
        <v>84</v>
      </c>
      <c r="AP20" s="59">
        <v>180</v>
      </c>
      <c r="AQ20" s="59">
        <v>84</v>
      </c>
      <c r="AR20" s="59">
        <v>180</v>
      </c>
      <c r="AS20" s="59">
        <v>84</v>
      </c>
      <c r="AT20" s="59">
        <v>180</v>
      </c>
      <c r="AU20" s="59">
        <v>144</v>
      </c>
      <c r="AV20" s="58">
        <v>144</v>
      </c>
      <c r="AW20" s="58"/>
      <c r="AX20" s="58"/>
      <c r="AY20" s="59"/>
      <c r="AZ20" s="59"/>
      <c r="BA20" s="59"/>
    </row>
    <row r="21" spans="1:53" s="60" customFormat="1" ht="15" customHeight="1" outlineLevel="2" x14ac:dyDescent="0.45">
      <c r="A21" s="48">
        <v>6000729853</v>
      </c>
      <c r="B21" s="49">
        <v>100</v>
      </c>
      <c r="C21" s="49" t="s">
        <v>140</v>
      </c>
      <c r="D21" s="50"/>
      <c r="E21" s="51"/>
      <c r="F21" s="51" t="s">
        <v>117</v>
      </c>
      <c r="G21" s="51">
        <v>1025</v>
      </c>
      <c r="H21" s="51" t="s">
        <v>108</v>
      </c>
      <c r="I21" s="51" t="s">
        <v>98</v>
      </c>
      <c r="J21" s="50"/>
      <c r="K21" s="50">
        <v>45185</v>
      </c>
      <c r="L21" s="52" t="s">
        <v>141</v>
      </c>
      <c r="M21" s="50">
        <v>45091</v>
      </c>
      <c r="N21" s="53" t="str">
        <f>+LEFT(L21,5)</f>
        <v>T3K64</v>
      </c>
      <c r="O21" s="54" t="s">
        <v>136</v>
      </c>
      <c r="P21" s="55" t="s">
        <v>137</v>
      </c>
      <c r="Q21" s="56" t="s">
        <v>102</v>
      </c>
      <c r="R21" s="57" t="s">
        <v>103</v>
      </c>
      <c r="S21" s="58">
        <f t="shared" si="0"/>
        <v>2184</v>
      </c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9"/>
      <c r="AO21" s="59">
        <v>193</v>
      </c>
      <c r="AP21" s="59">
        <v>360</v>
      </c>
      <c r="AQ21" s="59">
        <v>270</v>
      </c>
      <c r="AR21" s="59">
        <v>470</v>
      </c>
      <c r="AS21" s="59">
        <v>295</v>
      </c>
      <c r="AT21" s="59">
        <v>315</v>
      </c>
      <c r="AU21" s="59">
        <v>146</v>
      </c>
      <c r="AV21" s="58">
        <v>135</v>
      </c>
      <c r="AW21" s="58"/>
      <c r="AX21" s="58"/>
      <c r="AY21" s="59"/>
      <c r="AZ21" s="59"/>
      <c r="BA21" s="59"/>
    </row>
    <row r="22" spans="1:53" s="71" customFormat="1" ht="15" customHeight="1" outlineLevel="1" x14ac:dyDescent="0.45">
      <c r="A22" s="61"/>
      <c r="B22" s="62"/>
      <c r="C22" s="62"/>
      <c r="D22" s="63"/>
      <c r="E22" s="52"/>
      <c r="F22" s="52"/>
      <c r="G22" s="52"/>
      <c r="H22" s="52"/>
      <c r="I22" s="52"/>
      <c r="J22" s="63"/>
      <c r="K22" s="63"/>
      <c r="L22" s="52"/>
      <c r="M22" s="63"/>
      <c r="N22" s="72" t="s">
        <v>142</v>
      </c>
      <c r="O22" s="65"/>
      <c r="P22" s="66"/>
      <c r="Q22" s="67"/>
      <c r="R22" s="68"/>
      <c r="S22" s="69">
        <f t="shared" ref="S22:BA22" si="4">SUBTOTAL(9,S19:S21)</f>
        <v>3960</v>
      </c>
      <c r="T22" s="69">
        <f t="shared" si="4"/>
        <v>0</v>
      </c>
      <c r="U22" s="69">
        <f t="shared" si="4"/>
        <v>0</v>
      </c>
      <c r="V22" s="69">
        <f t="shared" si="4"/>
        <v>0</v>
      </c>
      <c r="W22" s="69">
        <f t="shared" si="4"/>
        <v>0</v>
      </c>
      <c r="X22" s="69">
        <f t="shared" si="4"/>
        <v>0</v>
      </c>
      <c r="Y22" s="69">
        <f t="shared" si="4"/>
        <v>0</v>
      </c>
      <c r="Z22" s="69">
        <f t="shared" si="4"/>
        <v>0</v>
      </c>
      <c r="AA22" s="69">
        <f t="shared" si="4"/>
        <v>0</v>
      </c>
      <c r="AB22" s="69">
        <f t="shared" si="4"/>
        <v>0</v>
      </c>
      <c r="AC22" s="69">
        <f t="shared" si="4"/>
        <v>0</v>
      </c>
      <c r="AD22" s="69">
        <f t="shared" si="4"/>
        <v>0</v>
      </c>
      <c r="AE22" s="69">
        <f t="shared" si="4"/>
        <v>0</v>
      </c>
      <c r="AF22" s="69">
        <f t="shared" si="4"/>
        <v>0</v>
      </c>
      <c r="AG22" s="69">
        <f t="shared" si="4"/>
        <v>0</v>
      </c>
      <c r="AH22" s="69">
        <f t="shared" si="4"/>
        <v>0</v>
      </c>
      <c r="AI22" s="69">
        <f t="shared" si="4"/>
        <v>0</v>
      </c>
      <c r="AJ22" s="69">
        <f t="shared" si="4"/>
        <v>0</v>
      </c>
      <c r="AK22" s="69">
        <f t="shared" si="4"/>
        <v>0</v>
      </c>
      <c r="AL22" s="69">
        <f t="shared" si="4"/>
        <v>0</v>
      </c>
      <c r="AM22" s="69">
        <f t="shared" si="4"/>
        <v>0</v>
      </c>
      <c r="AN22" s="70">
        <f t="shared" si="4"/>
        <v>0</v>
      </c>
      <c r="AO22" s="70">
        <f t="shared" si="4"/>
        <v>393</v>
      </c>
      <c r="AP22" s="70">
        <f t="shared" si="4"/>
        <v>656</v>
      </c>
      <c r="AQ22" s="70">
        <f t="shared" si="4"/>
        <v>470</v>
      </c>
      <c r="AR22" s="70">
        <f t="shared" si="4"/>
        <v>766</v>
      </c>
      <c r="AS22" s="70">
        <f t="shared" si="4"/>
        <v>495</v>
      </c>
      <c r="AT22" s="70">
        <f t="shared" si="4"/>
        <v>611</v>
      </c>
      <c r="AU22" s="70">
        <f t="shared" si="4"/>
        <v>290</v>
      </c>
      <c r="AV22" s="69">
        <f t="shared" si="4"/>
        <v>279</v>
      </c>
      <c r="AW22" s="69">
        <f t="shared" si="4"/>
        <v>0</v>
      </c>
      <c r="AX22" s="69">
        <f t="shared" si="4"/>
        <v>0</v>
      </c>
      <c r="AY22" s="70">
        <f t="shared" si="4"/>
        <v>0</v>
      </c>
      <c r="AZ22" s="70">
        <f t="shared" si="4"/>
        <v>0</v>
      </c>
      <c r="BA22" s="70">
        <f t="shared" si="4"/>
        <v>0</v>
      </c>
    </row>
    <row r="23" spans="1:53" s="60" customFormat="1" ht="15" customHeight="1" outlineLevel="2" x14ac:dyDescent="0.45">
      <c r="A23" s="48">
        <v>4509528871</v>
      </c>
      <c r="B23" s="49">
        <v>10</v>
      </c>
      <c r="C23" s="49" t="s">
        <v>143</v>
      </c>
      <c r="D23" s="50"/>
      <c r="E23" s="51"/>
      <c r="F23" s="51" t="s">
        <v>96</v>
      </c>
      <c r="G23" s="51">
        <v>4992062</v>
      </c>
      <c r="H23" s="51" t="s">
        <v>144</v>
      </c>
      <c r="I23" s="51" t="s">
        <v>98</v>
      </c>
      <c r="J23" s="50"/>
      <c r="K23" s="50">
        <v>45199</v>
      </c>
      <c r="L23" s="52" t="s">
        <v>145</v>
      </c>
      <c r="M23" s="50">
        <v>45091</v>
      </c>
      <c r="N23" s="53" t="str">
        <f>+LEFT(L23,5)</f>
        <v>T3K65</v>
      </c>
      <c r="O23" s="54" t="s">
        <v>100</v>
      </c>
      <c r="P23" s="55" t="s">
        <v>101</v>
      </c>
      <c r="Q23" s="56" t="s">
        <v>102</v>
      </c>
      <c r="R23" s="57" t="s">
        <v>103</v>
      </c>
      <c r="S23" s="58">
        <f t="shared" si="0"/>
        <v>288</v>
      </c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9"/>
      <c r="AO23" s="59">
        <v>24</v>
      </c>
      <c r="AP23" s="59">
        <v>48</v>
      </c>
      <c r="AQ23" s="59">
        <v>48</v>
      </c>
      <c r="AR23" s="59">
        <v>48</v>
      </c>
      <c r="AS23" s="59">
        <v>48</v>
      </c>
      <c r="AT23" s="59">
        <v>72</v>
      </c>
      <c r="AU23" s="59"/>
      <c r="AV23" s="58"/>
      <c r="AW23" s="58"/>
      <c r="AX23" s="58"/>
      <c r="AY23" s="59"/>
      <c r="AZ23" s="59"/>
      <c r="BA23" s="59"/>
    </row>
    <row r="24" spans="1:53" s="60" customFormat="1" ht="15" customHeight="1" outlineLevel="2" x14ac:dyDescent="0.45">
      <c r="A24" s="48">
        <v>3503406249</v>
      </c>
      <c r="B24" s="49">
        <v>20</v>
      </c>
      <c r="C24" s="49" t="s">
        <v>146</v>
      </c>
      <c r="D24" s="50"/>
      <c r="E24" s="51"/>
      <c r="F24" s="51" t="s">
        <v>96</v>
      </c>
      <c r="G24" s="51">
        <v>1082</v>
      </c>
      <c r="H24" s="51" t="s">
        <v>97</v>
      </c>
      <c r="I24" s="51" t="s">
        <v>98</v>
      </c>
      <c r="J24" s="50"/>
      <c r="K24" s="50">
        <v>45199</v>
      </c>
      <c r="L24" s="52" t="s">
        <v>147</v>
      </c>
      <c r="M24" s="50">
        <v>45091</v>
      </c>
      <c r="N24" s="53" t="str">
        <f>+LEFT(L24,5)</f>
        <v>T3K65</v>
      </c>
      <c r="O24" s="54" t="s">
        <v>100</v>
      </c>
      <c r="P24" s="55" t="s">
        <v>101</v>
      </c>
      <c r="Q24" s="56" t="s">
        <v>102</v>
      </c>
      <c r="R24" s="57" t="s">
        <v>103</v>
      </c>
      <c r="S24" s="58">
        <f t="shared" si="0"/>
        <v>240</v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9"/>
      <c r="AO24" s="59">
        <v>30</v>
      </c>
      <c r="AP24" s="59">
        <v>36</v>
      </c>
      <c r="AQ24" s="59">
        <v>48</v>
      </c>
      <c r="AR24" s="59"/>
      <c r="AS24" s="59"/>
      <c r="AT24" s="59">
        <v>60</v>
      </c>
      <c r="AU24" s="59">
        <v>42</v>
      </c>
      <c r="AV24" s="58">
        <v>24</v>
      </c>
      <c r="AW24" s="58"/>
      <c r="AX24" s="58"/>
      <c r="AY24" s="59"/>
      <c r="AZ24" s="59"/>
      <c r="BA24" s="59"/>
    </row>
    <row r="25" spans="1:53" s="71" customFormat="1" ht="15" customHeight="1" outlineLevel="1" x14ac:dyDescent="0.45">
      <c r="A25" s="61"/>
      <c r="B25" s="62"/>
      <c r="C25" s="62"/>
      <c r="D25" s="63"/>
      <c r="E25" s="52"/>
      <c r="F25" s="52"/>
      <c r="G25" s="52"/>
      <c r="H25" s="52"/>
      <c r="I25" s="52"/>
      <c r="J25" s="63"/>
      <c r="K25" s="63"/>
      <c r="L25" s="52"/>
      <c r="M25" s="63"/>
      <c r="N25" s="72" t="s">
        <v>148</v>
      </c>
      <c r="O25" s="65"/>
      <c r="P25" s="66"/>
      <c r="Q25" s="67"/>
      <c r="R25" s="68"/>
      <c r="S25" s="69">
        <f t="shared" ref="S25:BA25" si="5">SUBTOTAL(9,S23:S24)</f>
        <v>528</v>
      </c>
      <c r="T25" s="69">
        <f t="shared" si="5"/>
        <v>0</v>
      </c>
      <c r="U25" s="69">
        <f t="shared" si="5"/>
        <v>0</v>
      </c>
      <c r="V25" s="69">
        <f t="shared" si="5"/>
        <v>0</v>
      </c>
      <c r="W25" s="69">
        <f t="shared" si="5"/>
        <v>0</v>
      </c>
      <c r="X25" s="69">
        <f t="shared" si="5"/>
        <v>0</v>
      </c>
      <c r="Y25" s="69">
        <f t="shared" si="5"/>
        <v>0</v>
      </c>
      <c r="Z25" s="69">
        <f t="shared" si="5"/>
        <v>0</v>
      </c>
      <c r="AA25" s="69">
        <f t="shared" si="5"/>
        <v>0</v>
      </c>
      <c r="AB25" s="69">
        <f t="shared" si="5"/>
        <v>0</v>
      </c>
      <c r="AC25" s="69">
        <f t="shared" si="5"/>
        <v>0</v>
      </c>
      <c r="AD25" s="69">
        <f t="shared" si="5"/>
        <v>0</v>
      </c>
      <c r="AE25" s="69">
        <f t="shared" si="5"/>
        <v>0</v>
      </c>
      <c r="AF25" s="69">
        <f t="shared" si="5"/>
        <v>0</v>
      </c>
      <c r="AG25" s="69">
        <f t="shared" si="5"/>
        <v>0</v>
      </c>
      <c r="AH25" s="69">
        <f t="shared" si="5"/>
        <v>0</v>
      </c>
      <c r="AI25" s="69">
        <f t="shared" si="5"/>
        <v>0</v>
      </c>
      <c r="AJ25" s="69">
        <f t="shared" si="5"/>
        <v>0</v>
      </c>
      <c r="AK25" s="69">
        <f t="shared" si="5"/>
        <v>0</v>
      </c>
      <c r="AL25" s="69">
        <f t="shared" si="5"/>
        <v>0</v>
      </c>
      <c r="AM25" s="69">
        <f t="shared" si="5"/>
        <v>0</v>
      </c>
      <c r="AN25" s="70">
        <f t="shared" si="5"/>
        <v>0</v>
      </c>
      <c r="AO25" s="70">
        <f t="shared" si="5"/>
        <v>54</v>
      </c>
      <c r="AP25" s="70">
        <f t="shared" si="5"/>
        <v>84</v>
      </c>
      <c r="AQ25" s="70">
        <f t="shared" si="5"/>
        <v>96</v>
      </c>
      <c r="AR25" s="70">
        <f t="shared" si="5"/>
        <v>48</v>
      </c>
      <c r="AS25" s="70">
        <f t="shared" si="5"/>
        <v>48</v>
      </c>
      <c r="AT25" s="70">
        <f t="shared" si="5"/>
        <v>132</v>
      </c>
      <c r="AU25" s="70">
        <f t="shared" si="5"/>
        <v>42</v>
      </c>
      <c r="AV25" s="69">
        <f t="shared" si="5"/>
        <v>24</v>
      </c>
      <c r="AW25" s="69">
        <f t="shared" si="5"/>
        <v>0</v>
      </c>
      <c r="AX25" s="69">
        <f t="shared" si="5"/>
        <v>0</v>
      </c>
      <c r="AY25" s="70">
        <f t="shared" si="5"/>
        <v>0</v>
      </c>
      <c r="AZ25" s="70">
        <f t="shared" si="5"/>
        <v>0</v>
      </c>
      <c r="BA25" s="70">
        <f t="shared" si="5"/>
        <v>0</v>
      </c>
    </row>
    <row r="26" spans="1:53" s="60" customFormat="1" ht="15" customHeight="1" outlineLevel="2" x14ac:dyDescent="0.45">
      <c r="A26" s="48">
        <v>4509530298</v>
      </c>
      <c r="B26" s="49">
        <v>50</v>
      </c>
      <c r="C26" s="49" t="s">
        <v>149</v>
      </c>
      <c r="D26" s="50"/>
      <c r="E26" s="51"/>
      <c r="F26" s="51" t="s">
        <v>150</v>
      </c>
      <c r="G26" s="51">
        <v>1042</v>
      </c>
      <c r="H26" s="51" t="s">
        <v>151</v>
      </c>
      <c r="I26" s="51" t="s">
        <v>152</v>
      </c>
      <c r="J26" s="50"/>
      <c r="K26" s="50">
        <v>45199</v>
      </c>
      <c r="L26" s="52" t="s">
        <v>153</v>
      </c>
      <c r="M26" s="50">
        <v>45091</v>
      </c>
      <c r="N26" s="53" t="str">
        <f>+LEFT(L26,5)</f>
        <v>T3K77</v>
      </c>
      <c r="O26" s="54" t="s">
        <v>154</v>
      </c>
      <c r="P26" s="55" t="s">
        <v>155</v>
      </c>
      <c r="Q26" s="56" t="s">
        <v>156</v>
      </c>
      <c r="R26" s="57" t="s">
        <v>103</v>
      </c>
      <c r="S26" s="58">
        <f t="shared" si="0"/>
        <v>0</v>
      </c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9"/>
      <c r="AO26" s="59"/>
      <c r="AP26" s="59"/>
      <c r="AQ26" s="59"/>
      <c r="AR26" s="59"/>
      <c r="AS26" s="59"/>
      <c r="AT26" s="59"/>
      <c r="AU26" s="59"/>
      <c r="AV26" s="58"/>
      <c r="AW26" s="58"/>
      <c r="AX26" s="58"/>
      <c r="AY26" s="59"/>
      <c r="AZ26" s="59"/>
      <c r="BA26" s="59"/>
    </row>
    <row r="27" spans="1:53" s="60" customFormat="1" ht="15" customHeight="1" outlineLevel="2" x14ac:dyDescent="0.45">
      <c r="A27" s="48">
        <v>4509530298</v>
      </c>
      <c r="B27" s="49">
        <v>10</v>
      </c>
      <c r="C27" s="49" t="s">
        <v>157</v>
      </c>
      <c r="D27" s="50"/>
      <c r="E27" s="51"/>
      <c r="F27" s="51" t="s">
        <v>150</v>
      </c>
      <c r="G27" s="51">
        <v>1042</v>
      </c>
      <c r="H27" s="51" t="s">
        <v>151</v>
      </c>
      <c r="I27" s="51" t="s">
        <v>152</v>
      </c>
      <c r="J27" s="50"/>
      <c r="K27" s="50">
        <v>45206</v>
      </c>
      <c r="L27" s="52" t="s">
        <v>158</v>
      </c>
      <c r="M27" s="50">
        <v>45091</v>
      </c>
      <c r="N27" s="53" t="str">
        <f>+LEFT(L27,5)</f>
        <v>T3K77</v>
      </c>
      <c r="O27" s="54" t="s">
        <v>154</v>
      </c>
      <c r="P27" s="55" t="s">
        <v>155</v>
      </c>
      <c r="Q27" s="56" t="s">
        <v>156</v>
      </c>
      <c r="R27" s="57" t="s">
        <v>103</v>
      </c>
      <c r="S27" s="58">
        <f t="shared" si="0"/>
        <v>0</v>
      </c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9"/>
      <c r="AO27" s="59"/>
      <c r="AP27" s="59"/>
      <c r="AQ27" s="59"/>
      <c r="AR27" s="59"/>
      <c r="AS27" s="59"/>
      <c r="AT27" s="59"/>
      <c r="AU27" s="59"/>
      <c r="AV27" s="58"/>
      <c r="AW27" s="58"/>
      <c r="AX27" s="58"/>
      <c r="AY27" s="59"/>
      <c r="AZ27" s="59"/>
      <c r="BA27" s="59"/>
    </row>
    <row r="28" spans="1:53" s="71" customFormat="1" ht="15" customHeight="1" outlineLevel="1" x14ac:dyDescent="0.45">
      <c r="A28" s="61"/>
      <c r="B28" s="62"/>
      <c r="C28" s="62"/>
      <c r="D28" s="63"/>
      <c r="E28" s="52"/>
      <c r="F28" s="52"/>
      <c r="G28" s="52"/>
      <c r="H28" s="52"/>
      <c r="I28" s="52"/>
      <c r="J28" s="63"/>
      <c r="K28" s="63"/>
      <c r="L28" s="52"/>
      <c r="M28" s="63"/>
      <c r="N28" s="72" t="s">
        <v>159</v>
      </c>
      <c r="O28" s="65"/>
      <c r="P28" s="66"/>
      <c r="Q28" s="67"/>
      <c r="R28" s="68"/>
      <c r="S28" s="69">
        <f t="shared" ref="S28:BA28" si="6">SUBTOTAL(9,S26:S27)</f>
        <v>0</v>
      </c>
      <c r="T28" s="69">
        <f t="shared" si="6"/>
        <v>0</v>
      </c>
      <c r="U28" s="69">
        <f t="shared" si="6"/>
        <v>0</v>
      </c>
      <c r="V28" s="69">
        <f t="shared" si="6"/>
        <v>0</v>
      </c>
      <c r="W28" s="69">
        <f t="shared" si="6"/>
        <v>0</v>
      </c>
      <c r="X28" s="69">
        <f t="shared" si="6"/>
        <v>0</v>
      </c>
      <c r="Y28" s="69">
        <f t="shared" si="6"/>
        <v>0</v>
      </c>
      <c r="Z28" s="69">
        <f t="shared" si="6"/>
        <v>0</v>
      </c>
      <c r="AA28" s="69">
        <f t="shared" si="6"/>
        <v>0</v>
      </c>
      <c r="AB28" s="69">
        <f t="shared" si="6"/>
        <v>0</v>
      </c>
      <c r="AC28" s="69">
        <f t="shared" si="6"/>
        <v>0</v>
      </c>
      <c r="AD28" s="69">
        <f t="shared" si="6"/>
        <v>0</v>
      </c>
      <c r="AE28" s="69">
        <f t="shared" si="6"/>
        <v>0</v>
      </c>
      <c r="AF28" s="69">
        <f t="shared" si="6"/>
        <v>0</v>
      </c>
      <c r="AG28" s="69">
        <f t="shared" si="6"/>
        <v>0</v>
      </c>
      <c r="AH28" s="69">
        <f t="shared" si="6"/>
        <v>0</v>
      </c>
      <c r="AI28" s="69">
        <f t="shared" si="6"/>
        <v>0</v>
      </c>
      <c r="AJ28" s="69">
        <f t="shared" si="6"/>
        <v>0</v>
      </c>
      <c r="AK28" s="69">
        <f t="shared" si="6"/>
        <v>0</v>
      </c>
      <c r="AL28" s="69">
        <f t="shared" si="6"/>
        <v>0</v>
      </c>
      <c r="AM28" s="69">
        <f t="shared" si="6"/>
        <v>0</v>
      </c>
      <c r="AN28" s="70">
        <f t="shared" si="6"/>
        <v>0</v>
      </c>
      <c r="AO28" s="70">
        <f t="shared" si="6"/>
        <v>0</v>
      </c>
      <c r="AP28" s="70">
        <f t="shared" si="6"/>
        <v>0</v>
      </c>
      <c r="AQ28" s="70">
        <f t="shared" si="6"/>
        <v>0</v>
      </c>
      <c r="AR28" s="70">
        <f t="shared" si="6"/>
        <v>0</v>
      </c>
      <c r="AS28" s="70">
        <f t="shared" si="6"/>
        <v>0</v>
      </c>
      <c r="AT28" s="70">
        <f t="shared" si="6"/>
        <v>0</v>
      </c>
      <c r="AU28" s="70">
        <f t="shared" si="6"/>
        <v>0</v>
      </c>
      <c r="AV28" s="69">
        <f t="shared" si="6"/>
        <v>0</v>
      </c>
      <c r="AW28" s="69">
        <f t="shared" si="6"/>
        <v>0</v>
      </c>
      <c r="AX28" s="69">
        <f t="shared" si="6"/>
        <v>0</v>
      </c>
      <c r="AY28" s="70">
        <f t="shared" si="6"/>
        <v>0</v>
      </c>
      <c r="AZ28" s="70">
        <f t="shared" si="6"/>
        <v>0</v>
      </c>
      <c r="BA28" s="70">
        <f t="shared" si="6"/>
        <v>0</v>
      </c>
    </row>
    <row r="29" spans="1:53" s="60" customFormat="1" ht="15" customHeight="1" outlineLevel="2" x14ac:dyDescent="0.45">
      <c r="A29" s="48">
        <v>4509530298</v>
      </c>
      <c r="B29" s="49">
        <v>30</v>
      </c>
      <c r="C29" s="49" t="s">
        <v>160</v>
      </c>
      <c r="D29" s="50"/>
      <c r="E29" s="51"/>
      <c r="F29" s="51" t="s">
        <v>150</v>
      </c>
      <c r="G29" s="51">
        <v>1042</v>
      </c>
      <c r="H29" s="51" t="s">
        <v>151</v>
      </c>
      <c r="I29" s="51" t="s">
        <v>152</v>
      </c>
      <c r="J29" s="50"/>
      <c r="K29" s="50">
        <v>45199</v>
      </c>
      <c r="L29" s="52" t="s">
        <v>161</v>
      </c>
      <c r="M29" s="50">
        <v>45091</v>
      </c>
      <c r="N29" s="53" t="str">
        <f>+LEFT(L29,5)</f>
        <v>T3K78</v>
      </c>
      <c r="O29" s="54" t="s">
        <v>162</v>
      </c>
      <c r="P29" s="55" t="s">
        <v>155</v>
      </c>
      <c r="Q29" s="56" t="s">
        <v>102</v>
      </c>
      <c r="R29" s="57" t="s">
        <v>103</v>
      </c>
      <c r="S29" s="58">
        <f t="shared" si="0"/>
        <v>138</v>
      </c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>
        <v>6</v>
      </c>
      <c r="AK29" s="58">
        <v>6</v>
      </c>
      <c r="AL29" s="58">
        <v>6</v>
      </c>
      <c r="AM29" s="58">
        <v>6</v>
      </c>
      <c r="AN29" s="59">
        <v>6</v>
      </c>
      <c r="AO29" s="59">
        <v>6</v>
      </c>
      <c r="AP29" s="59">
        <v>12</v>
      </c>
      <c r="AQ29" s="59">
        <v>12</v>
      </c>
      <c r="AR29" s="59">
        <v>18</v>
      </c>
      <c r="AS29" s="59">
        <v>12</v>
      </c>
      <c r="AT29" s="59">
        <v>18</v>
      </c>
      <c r="AU29" s="59">
        <v>12</v>
      </c>
      <c r="AV29" s="58">
        <v>18</v>
      </c>
      <c r="AW29" s="58"/>
      <c r="AX29" s="58"/>
      <c r="AY29" s="59"/>
      <c r="AZ29" s="59"/>
      <c r="BA29" s="59"/>
    </row>
    <row r="30" spans="1:53" s="71" customFormat="1" ht="15" customHeight="1" outlineLevel="1" x14ac:dyDescent="0.45">
      <c r="A30" s="61"/>
      <c r="B30" s="62"/>
      <c r="C30" s="62"/>
      <c r="D30" s="63"/>
      <c r="E30" s="52"/>
      <c r="F30" s="52"/>
      <c r="G30" s="52"/>
      <c r="H30" s="52"/>
      <c r="I30" s="52"/>
      <c r="J30" s="63"/>
      <c r="K30" s="63"/>
      <c r="L30" s="52"/>
      <c r="M30" s="63"/>
      <c r="N30" s="72" t="s">
        <v>163</v>
      </c>
      <c r="O30" s="65"/>
      <c r="P30" s="66"/>
      <c r="Q30" s="67"/>
      <c r="R30" s="68"/>
      <c r="S30" s="69">
        <f t="shared" ref="S30:BA30" si="7">SUBTOTAL(9,S29:S29)</f>
        <v>138</v>
      </c>
      <c r="T30" s="69">
        <f t="shared" si="7"/>
        <v>0</v>
      </c>
      <c r="U30" s="69">
        <f t="shared" si="7"/>
        <v>0</v>
      </c>
      <c r="V30" s="69">
        <f t="shared" si="7"/>
        <v>0</v>
      </c>
      <c r="W30" s="69">
        <f t="shared" si="7"/>
        <v>0</v>
      </c>
      <c r="X30" s="69">
        <f t="shared" si="7"/>
        <v>0</v>
      </c>
      <c r="Y30" s="69">
        <f t="shared" si="7"/>
        <v>0</v>
      </c>
      <c r="Z30" s="69">
        <f t="shared" si="7"/>
        <v>0</v>
      </c>
      <c r="AA30" s="69">
        <f t="shared" si="7"/>
        <v>0</v>
      </c>
      <c r="AB30" s="69">
        <f t="shared" si="7"/>
        <v>0</v>
      </c>
      <c r="AC30" s="69">
        <f t="shared" si="7"/>
        <v>0</v>
      </c>
      <c r="AD30" s="69">
        <f t="shared" si="7"/>
        <v>0</v>
      </c>
      <c r="AE30" s="69">
        <f t="shared" si="7"/>
        <v>0</v>
      </c>
      <c r="AF30" s="69">
        <f t="shared" si="7"/>
        <v>0</v>
      </c>
      <c r="AG30" s="69">
        <f t="shared" si="7"/>
        <v>0</v>
      </c>
      <c r="AH30" s="69">
        <f t="shared" si="7"/>
        <v>0</v>
      </c>
      <c r="AI30" s="69">
        <f t="shared" si="7"/>
        <v>0</v>
      </c>
      <c r="AJ30" s="69">
        <f t="shared" si="7"/>
        <v>6</v>
      </c>
      <c r="AK30" s="69">
        <f t="shared" si="7"/>
        <v>6</v>
      </c>
      <c r="AL30" s="69">
        <f t="shared" si="7"/>
        <v>6</v>
      </c>
      <c r="AM30" s="69">
        <f t="shared" si="7"/>
        <v>6</v>
      </c>
      <c r="AN30" s="70">
        <f t="shared" si="7"/>
        <v>6</v>
      </c>
      <c r="AO30" s="70">
        <f t="shared" si="7"/>
        <v>6</v>
      </c>
      <c r="AP30" s="70">
        <f t="shared" si="7"/>
        <v>12</v>
      </c>
      <c r="AQ30" s="70">
        <f t="shared" si="7"/>
        <v>12</v>
      </c>
      <c r="AR30" s="70">
        <f t="shared" si="7"/>
        <v>18</v>
      </c>
      <c r="AS30" s="70">
        <f t="shared" si="7"/>
        <v>12</v>
      </c>
      <c r="AT30" s="70">
        <f t="shared" si="7"/>
        <v>18</v>
      </c>
      <c r="AU30" s="70">
        <f t="shared" si="7"/>
        <v>12</v>
      </c>
      <c r="AV30" s="69">
        <f t="shared" si="7"/>
        <v>18</v>
      </c>
      <c r="AW30" s="69">
        <f t="shared" si="7"/>
        <v>0</v>
      </c>
      <c r="AX30" s="69">
        <f t="shared" si="7"/>
        <v>0</v>
      </c>
      <c r="AY30" s="70">
        <f t="shared" si="7"/>
        <v>0</v>
      </c>
      <c r="AZ30" s="70">
        <f t="shared" si="7"/>
        <v>0</v>
      </c>
      <c r="BA30" s="70">
        <f t="shared" si="7"/>
        <v>0</v>
      </c>
    </row>
    <row r="31" spans="1:53" s="60" customFormat="1" ht="15" customHeight="1" outlineLevel="2" x14ac:dyDescent="0.45">
      <c r="A31" s="48">
        <v>4509529624</v>
      </c>
      <c r="B31" s="49">
        <v>80</v>
      </c>
      <c r="C31" s="49" t="s">
        <v>164</v>
      </c>
      <c r="D31" s="50"/>
      <c r="E31" s="51" t="s">
        <v>165</v>
      </c>
      <c r="F31" s="51" t="s">
        <v>150</v>
      </c>
      <c r="G31" s="51">
        <v>1014</v>
      </c>
      <c r="H31" s="51" t="s">
        <v>118</v>
      </c>
      <c r="I31" s="51" t="s">
        <v>152</v>
      </c>
      <c r="J31" s="50"/>
      <c r="K31" s="50">
        <v>45199</v>
      </c>
      <c r="L31" s="52" t="s">
        <v>166</v>
      </c>
      <c r="M31" s="50">
        <v>45091</v>
      </c>
      <c r="N31" s="53" t="str">
        <f>+LEFT(L31,5)</f>
        <v>T3K79</v>
      </c>
      <c r="O31" s="54" t="s">
        <v>167</v>
      </c>
      <c r="P31" s="55" t="s">
        <v>155</v>
      </c>
      <c r="Q31" s="56" t="s">
        <v>102</v>
      </c>
      <c r="R31" s="57" t="s">
        <v>103</v>
      </c>
      <c r="S31" s="58">
        <f t="shared" si="0"/>
        <v>492</v>
      </c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>
        <v>36</v>
      </c>
      <c r="AK31" s="58">
        <v>18</v>
      </c>
      <c r="AL31" s="58">
        <v>36</v>
      </c>
      <c r="AM31" s="58">
        <v>18</v>
      </c>
      <c r="AN31" s="59">
        <v>36</v>
      </c>
      <c r="AO31" s="59">
        <v>24</v>
      </c>
      <c r="AP31" s="59">
        <v>42</v>
      </c>
      <c r="AQ31" s="59">
        <v>36</v>
      </c>
      <c r="AR31" s="59">
        <v>48</v>
      </c>
      <c r="AS31" s="59">
        <v>42</v>
      </c>
      <c r="AT31" s="59">
        <v>54</v>
      </c>
      <c r="AU31" s="59">
        <v>42</v>
      </c>
      <c r="AV31" s="58">
        <v>60</v>
      </c>
      <c r="AW31" s="58"/>
      <c r="AX31" s="58"/>
      <c r="AY31" s="59"/>
      <c r="AZ31" s="59"/>
      <c r="BA31" s="59"/>
    </row>
    <row r="32" spans="1:53" s="60" customFormat="1" ht="15" customHeight="1" outlineLevel="2" x14ac:dyDescent="0.45">
      <c r="A32" s="48">
        <v>6000729464</v>
      </c>
      <c r="B32" s="49">
        <v>100</v>
      </c>
      <c r="C32" s="49" t="s">
        <v>168</v>
      </c>
      <c r="D32" s="50"/>
      <c r="E32" s="51"/>
      <c r="F32" s="51" t="s">
        <v>150</v>
      </c>
      <c r="G32" s="51">
        <v>1076</v>
      </c>
      <c r="H32" s="51" t="s">
        <v>108</v>
      </c>
      <c r="I32" s="51" t="s">
        <v>152</v>
      </c>
      <c r="J32" s="50"/>
      <c r="K32" s="50">
        <v>45206</v>
      </c>
      <c r="L32" s="52" t="s">
        <v>169</v>
      </c>
      <c r="M32" s="50">
        <v>45091</v>
      </c>
      <c r="N32" s="53" t="str">
        <f>+LEFT(L32,5)</f>
        <v>T3K79</v>
      </c>
      <c r="O32" s="54" t="s">
        <v>167</v>
      </c>
      <c r="P32" s="55" t="s">
        <v>155</v>
      </c>
      <c r="Q32" s="56" t="s">
        <v>156</v>
      </c>
      <c r="R32" s="57" t="s">
        <v>103</v>
      </c>
      <c r="S32" s="58">
        <v>0</v>
      </c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9"/>
      <c r="AO32" s="59"/>
      <c r="AP32" s="59"/>
      <c r="AQ32" s="59"/>
      <c r="AR32" s="59"/>
      <c r="AS32" s="59"/>
      <c r="AT32" s="59"/>
      <c r="AU32" s="59"/>
      <c r="AV32" s="58"/>
      <c r="AW32" s="58"/>
      <c r="AX32" s="58"/>
      <c r="AY32" s="59"/>
      <c r="AZ32" s="59"/>
      <c r="BA32" s="59"/>
    </row>
    <row r="33" spans="1:53" s="71" customFormat="1" ht="15" customHeight="1" outlineLevel="1" x14ac:dyDescent="0.45">
      <c r="A33" s="61"/>
      <c r="B33" s="62"/>
      <c r="C33" s="62"/>
      <c r="D33" s="63"/>
      <c r="E33" s="52"/>
      <c r="F33" s="52"/>
      <c r="G33" s="52"/>
      <c r="H33" s="52"/>
      <c r="I33" s="52"/>
      <c r="J33" s="63"/>
      <c r="K33" s="63"/>
      <c r="L33" s="52"/>
      <c r="M33" s="63"/>
      <c r="N33" s="72" t="s">
        <v>170</v>
      </c>
      <c r="O33" s="65"/>
      <c r="P33" s="66"/>
      <c r="Q33" s="67"/>
      <c r="R33" s="68"/>
      <c r="S33" s="69">
        <f t="shared" ref="S33:BA33" si="8">SUBTOTAL(9,S31:S32)</f>
        <v>492</v>
      </c>
      <c r="T33" s="69">
        <f t="shared" si="8"/>
        <v>0</v>
      </c>
      <c r="U33" s="69">
        <f t="shared" si="8"/>
        <v>0</v>
      </c>
      <c r="V33" s="69">
        <f t="shared" si="8"/>
        <v>0</v>
      </c>
      <c r="W33" s="69">
        <f t="shared" si="8"/>
        <v>0</v>
      </c>
      <c r="X33" s="69">
        <f t="shared" si="8"/>
        <v>0</v>
      </c>
      <c r="Y33" s="69">
        <f t="shared" si="8"/>
        <v>0</v>
      </c>
      <c r="Z33" s="69">
        <f t="shared" si="8"/>
        <v>0</v>
      </c>
      <c r="AA33" s="69">
        <f t="shared" si="8"/>
        <v>0</v>
      </c>
      <c r="AB33" s="69">
        <f t="shared" si="8"/>
        <v>0</v>
      </c>
      <c r="AC33" s="69">
        <f t="shared" si="8"/>
        <v>0</v>
      </c>
      <c r="AD33" s="69">
        <f t="shared" si="8"/>
        <v>0</v>
      </c>
      <c r="AE33" s="69">
        <f t="shared" si="8"/>
        <v>0</v>
      </c>
      <c r="AF33" s="69">
        <f t="shared" si="8"/>
        <v>0</v>
      </c>
      <c r="AG33" s="69">
        <f t="shared" si="8"/>
        <v>0</v>
      </c>
      <c r="AH33" s="69">
        <f t="shared" si="8"/>
        <v>0</v>
      </c>
      <c r="AI33" s="69">
        <f t="shared" si="8"/>
        <v>0</v>
      </c>
      <c r="AJ33" s="69">
        <f t="shared" si="8"/>
        <v>36</v>
      </c>
      <c r="AK33" s="69">
        <f t="shared" si="8"/>
        <v>18</v>
      </c>
      <c r="AL33" s="69">
        <f t="shared" si="8"/>
        <v>36</v>
      </c>
      <c r="AM33" s="69">
        <f t="shared" si="8"/>
        <v>18</v>
      </c>
      <c r="AN33" s="70">
        <f t="shared" si="8"/>
        <v>36</v>
      </c>
      <c r="AO33" s="70">
        <f t="shared" si="8"/>
        <v>24</v>
      </c>
      <c r="AP33" s="70">
        <f t="shared" si="8"/>
        <v>42</v>
      </c>
      <c r="AQ33" s="70">
        <f t="shared" si="8"/>
        <v>36</v>
      </c>
      <c r="AR33" s="70">
        <f t="shared" si="8"/>
        <v>48</v>
      </c>
      <c r="AS33" s="70">
        <f t="shared" si="8"/>
        <v>42</v>
      </c>
      <c r="AT33" s="70">
        <f t="shared" si="8"/>
        <v>54</v>
      </c>
      <c r="AU33" s="70">
        <f t="shared" si="8"/>
        <v>42</v>
      </c>
      <c r="AV33" s="69">
        <f t="shared" si="8"/>
        <v>60</v>
      </c>
      <c r="AW33" s="69">
        <f t="shared" si="8"/>
        <v>0</v>
      </c>
      <c r="AX33" s="69">
        <f t="shared" si="8"/>
        <v>0</v>
      </c>
      <c r="AY33" s="70">
        <f t="shared" si="8"/>
        <v>0</v>
      </c>
      <c r="AZ33" s="70">
        <f t="shared" si="8"/>
        <v>0</v>
      </c>
      <c r="BA33" s="70">
        <f t="shared" si="8"/>
        <v>0</v>
      </c>
    </row>
    <row r="34" spans="1:53" s="60" customFormat="1" ht="15" customHeight="1" outlineLevel="2" x14ac:dyDescent="0.45">
      <c r="A34" s="48">
        <v>4509529624</v>
      </c>
      <c r="B34" s="49">
        <v>30</v>
      </c>
      <c r="C34" s="49" t="s">
        <v>171</v>
      </c>
      <c r="D34" s="50"/>
      <c r="E34" s="51" t="s">
        <v>165</v>
      </c>
      <c r="F34" s="51" t="s">
        <v>150</v>
      </c>
      <c r="G34" s="51">
        <v>1014</v>
      </c>
      <c r="H34" s="51" t="s">
        <v>118</v>
      </c>
      <c r="I34" s="51" t="s">
        <v>152</v>
      </c>
      <c r="J34" s="50"/>
      <c r="K34" s="50">
        <v>45199</v>
      </c>
      <c r="L34" s="52" t="s">
        <v>172</v>
      </c>
      <c r="M34" s="50">
        <v>45091</v>
      </c>
      <c r="N34" s="53" t="str">
        <f>+LEFT(L34,5)</f>
        <v>T3K80</v>
      </c>
      <c r="O34" s="54" t="s">
        <v>173</v>
      </c>
      <c r="P34" s="55" t="s">
        <v>174</v>
      </c>
      <c r="Q34" s="56" t="s">
        <v>102</v>
      </c>
      <c r="R34" s="57" t="s">
        <v>103</v>
      </c>
      <c r="S34" s="58">
        <f t="shared" si="0"/>
        <v>2820</v>
      </c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>
        <v>186</v>
      </c>
      <c r="AK34" s="58">
        <v>96</v>
      </c>
      <c r="AL34" s="58">
        <v>204</v>
      </c>
      <c r="AM34" s="58">
        <v>114</v>
      </c>
      <c r="AN34" s="59">
        <v>210</v>
      </c>
      <c r="AO34" s="59">
        <v>144</v>
      </c>
      <c r="AP34" s="59">
        <v>228</v>
      </c>
      <c r="AQ34" s="59">
        <v>198</v>
      </c>
      <c r="AR34" s="59">
        <v>276</v>
      </c>
      <c r="AS34" s="59">
        <v>246</v>
      </c>
      <c r="AT34" s="59">
        <v>312</v>
      </c>
      <c r="AU34" s="59">
        <v>258</v>
      </c>
      <c r="AV34" s="58">
        <v>348</v>
      </c>
      <c r="AW34" s="58"/>
      <c r="AX34" s="58"/>
      <c r="AY34" s="59"/>
      <c r="AZ34" s="59"/>
      <c r="BA34" s="59"/>
    </row>
    <row r="35" spans="1:53" s="60" customFormat="1" ht="15" customHeight="1" outlineLevel="2" x14ac:dyDescent="0.45">
      <c r="A35" s="48">
        <v>4509530298</v>
      </c>
      <c r="B35" s="49">
        <v>60</v>
      </c>
      <c r="C35" s="49" t="s">
        <v>175</v>
      </c>
      <c r="D35" s="50"/>
      <c r="E35" s="51" t="s">
        <v>165</v>
      </c>
      <c r="F35" s="51" t="s">
        <v>150</v>
      </c>
      <c r="G35" s="51">
        <v>1042</v>
      </c>
      <c r="H35" s="51" t="s">
        <v>151</v>
      </c>
      <c r="I35" s="51" t="s">
        <v>152</v>
      </c>
      <c r="J35" s="50"/>
      <c r="K35" s="50">
        <v>45199</v>
      </c>
      <c r="L35" s="52" t="s">
        <v>176</v>
      </c>
      <c r="M35" s="50">
        <v>45091</v>
      </c>
      <c r="N35" s="53" t="str">
        <f>+LEFT(L35,5)</f>
        <v>T3K80</v>
      </c>
      <c r="O35" s="54" t="s">
        <v>173</v>
      </c>
      <c r="P35" s="55" t="s">
        <v>174</v>
      </c>
      <c r="Q35" s="56" t="s">
        <v>102</v>
      </c>
      <c r="R35" s="57" t="s">
        <v>103</v>
      </c>
      <c r="S35" s="58">
        <f t="shared" si="0"/>
        <v>246</v>
      </c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>
        <v>18</v>
      </c>
      <c r="AK35" s="58">
        <v>6</v>
      </c>
      <c r="AL35" s="58">
        <v>18</v>
      </c>
      <c r="AM35" s="58">
        <v>6</v>
      </c>
      <c r="AN35" s="59">
        <v>18</v>
      </c>
      <c r="AO35" s="59">
        <v>12</v>
      </c>
      <c r="AP35" s="59">
        <v>24</v>
      </c>
      <c r="AQ35" s="59">
        <v>18</v>
      </c>
      <c r="AR35" s="59">
        <v>24</v>
      </c>
      <c r="AS35" s="59">
        <v>24</v>
      </c>
      <c r="AT35" s="59">
        <v>24</v>
      </c>
      <c r="AU35" s="59">
        <v>24</v>
      </c>
      <c r="AV35" s="58">
        <v>30</v>
      </c>
      <c r="AW35" s="58"/>
      <c r="AX35" s="58"/>
      <c r="AY35" s="59"/>
      <c r="AZ35" s="59"/>
      <c r="BA35" s="59"/>
    </row>
    <row r="36" spans="1:53" s="60" customFormat="1" ht="15" customHeight="1" outlineLevel="2" x14ac:dyDescent="0.45">
      <c r="A36" s="48">
        <v>6000729465</v>
      </c>
      <c r="B36" s="49">
        <v>100</v>
      </c>
      <c r="C36" s="49" t="s">
        <v>177</v>
      </c>
      <c r="D36" s="50"/>
      <c r="E36" s="51"/>
      <c r="F36" s="51" t="s">
        <v>150</v>
      </c>
      <c r="G36" s="51">
        <v>1076</v>
      </c>
      <c r="H36" s="51" t="s">
        <v>108</v>
      </c>
      <c r="I36" s="51" t="s">
        <v>152</v>
      </c>
      <c r="J36" s="50"/>
      <c r="K36" s="50">
        <v>45206</v>
      </c>
      <c r="L36" s="52" t="s">
        <v>178</v>
      </c>
      <c r="M36" s="50">
        <v>45091</v>
      </c>
      <c r="N36" s="53" t="str">
        <f>+LEFT(L36,5)</f>
        <v>T3K80</v>
      </c>
      <c r="O36" s="54" t="s">
        <v>173</v>
      </c>
      <c r="P36" s="55" t="s">
        <v>174</v>
      </c>
      <c r="Q36" s="56" t="s">
        <v>156</v>
      </c>
      <c r="R36" s="57" t="s">
        <v>103</v>
      </c>
      <c r="S36" s="58">
        <f t="shared" si="0"/>
        <v>0</v>
      </c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9"/>
      <c r="AO36" s="59"/>
      <c r="AP36" s="59"/>
      <c r="AQ36" s="59"/>
      <c r="AR36" s="59"/>
      <c r="AS36" s="59"/>
      <c r="AT36" s="59"/>
      <c r="AU36" s="59"/>
      <c r="AV36" s="58"/>
      <c r="AW36" s="58"/>
      <c r="AX36" s="58"/>
      <c r="AY36" s="59"/>
      <c r="AZ36" s="59"/>
      <c r="BA36" s="59"/>
    </row>
    <row r="37" spans="1:53" s="71" customFormat="1" ht="15" customHeight="1" outlineLevel="1" x14ac:dyDescent="0.45">
      <c r="A37" s="61"/>
      <c r="B37" s="62"/>
      <c r="C37" s="62"/>
      <c r="D37" s="63"/>
      <c r="E37" s="52"/>
      <c r="F37" s="52"/>
      <c r="G37" s="52"/>
      <c r="H37" s="52"/>
      <c r="I37" s="52"/>
      <c r="J37" s="63"/>
      <c r="K37" s="63"/>
      <c r="L37" s="52"/>
      <c r="M37" s="63"/>
      <c r="N37" s="72" t="s">
        <v>179</v>
      </c>
      <c r="O37" s="65"/>
      <c r="P37" s="66"/>
      <c r="Q37" s="67"/>
      <c r="R37" s="68"/>
      <c r="S37" s="69">
        <f t="shared" ref="S37:BA37" si="9">SUBTOTAL(9,S34:S36)</f>
        <v>3066</v>
      </c>
      <c r="T37" s="69">
        <f t="shared" si="9"/>
        <v>0</v>
      </c>
      <c r="U37" s="69">
        <f t="shared" si="9"/>
        <v>0</v>
      </c>
      <c r="V37" s="69">
        <f t="shared" si="9"/>
        <v>0</v>
      </c>
      <c r="W37" s="69">
        <f t="shared" si="9"/>
        <v>0</v>
      </c>
      <c r="X37" s="69">
        <f t="shared" si="9"/>
        <v>0</v>
      </c>
      <c r="Y37" s="69">
        <f t="shared" si="9"/>
        <v>0</v>
      </c>
      <c r="Z37" s="69">
        <f t="shared" si="9"/>
        <v>0</v>
      </c>
      <c r="AA37" s="69">
        <f t="shared" si="9"/>
        <v>0</v>
      </c>
      <c r="AB37" s="69">
        <f t="shared" si="9"/>
        <v>0</v>
      </c>
      <c r="AC37" s="69">
        <f t="shared" si="9"/>
        <v>0</v>
      </c>
      <c r="AD37" s="69">
        <f t="shared" si="9"/>
        <v>0</v>
      </c>
      <c r="AE37" s="69">
        <f t="shared" si="9"/>
        <v>0</v>
      </c>
      <c r="AF37" s="69">
        <f t="shared" si="9"/>
        <v>0</v>
      </c>
      <c r="AG37" s="69">
        <f t="shared" si="9"/>
        <v>0</v>
      </c>
      <c r="AH37" s="69">
        <f t="shared" si="9"/>
        <v>0</v>
      </c>
      <c r="AI37" s="69">
        <f t="shared" si="9"/>
        <v>0</v>
      </c>
      <c r="AJ37" s="69">
        <f t="shared" si="9"/>
        <v>204</v>
      </c>
      <c r="AK37" s="69">
        <f t="shared" si="9"/>
        <v>102</v>
      </c>
      <c r="AL37" s="69">
        <f t="shared" si="9"/>
        <v>222</v>
      </c>
      <c r="AM37" s="69">
        <f t="shared" si="9"/>
        <v>120</v>
      </c>
      <c r="AN37" s="70">
        <f t="shared" si="9"/>
        <v>228</v>
      </c>
      <c r="AO37" s="70">
        <f t="shared" si="9"/>
        <v>156</v>
      </c>
      <c r="AP37" s="70">
        <f t="shared" si="9"/>
        <v>252</v>
      </c>
      <c r="AQ37" s="70">
        <f t="shared" si="9"/>
        <v>216</v>
      </c>
      <c r="AR37" s="70">
        <f t="shared" si="9"/>
        <v>300</v>
      </c>
      <c r="AS37" s="70">
        <f t="shared" si="9"/>
        <v>270</v>
      </c>
      <c r="AT37" s="70">
        <f t="shared" si="9"/>
        <v>336</v>
      </c>
      <c r="AU37" s="70">
        <f t="shared" si="9"/>
        <v>282</v>
      </c>
      <c r="AV37" s="69">
        <f t="shared" si="9"/>
        <v>378</v>
      </c>
      <c r="AW37" s="69">
        <f t="shared" si="9"/>
        <v>0</v>
      </c>
      <c r="AX37" s="69">
        <f t="shared" si="9"/>
        <v>0</v>
      </c>
      <c r="AY37" s="70">
        <f t="shared" si="9"/>
        <v>0</v>
      </c>
      <c r="AZ37" s="70">
        <f t="shared" si="9"/>
        <v>0</v>
      </c>
      <c r="BA37" s="70">
        <f t="shared" si="9"/>
        <v>0</v>
      </c>
    </row>
    <row r="38" spans="1:53" s="60" customFormat="1" ht="15" customHeight="1" outlineLevel="2" x14ac:dyDescent="0.45">
      <c r="A38" s="48">
        <v>6000729466</v>
      </c>
      <c r="B38" s="49">
        <v>100</v>
      </c>
      <c r="C38" s="49" t="s">
        <v>180</v>
      </c>
      <c r="D38" s="50"/>
      <c r="E38" s="51"/>
      <c r="F38" s="51" t="s">
        <v>150</v>
      </c>
      <c r="G38" s="51">
        <v>1076</v>
      </c>
      <c r="H38" s="51" t="s">
        <v>108</v>
      </c>
      <c r="I38" s="51" t="s">
        <v>152</v>
      </c>
      <c r="J38" s="50"/>
      <c r="K38" s="50">
        <v>45206</v>
      </c>
      <c r="L38" s="52" t="s">
        <v>181</v>
      </c>
      <c r="M38" s="50">
        <v>45091</v>
      </c>
      <c r="N38" s="53" t="str">
        <f>+LEFT(L38,5)</f>
        <v>T3K81</v>
      </c>
      <c r="O38" s="54" t="s">
        <v>182</v>
      </c>
      <c r="P38" s="55" t="s">
        <v>174</v>
      </c>
      <c r="Q38" s="56" t="s">
        <v>102</v>
      </c>
      <c r="R38" s="57" t="s">
        <v>103</v>
      </c>
      <c r="S38" s="58">
        <f t="shared" si="0"/>
        <v>706</v>
      </c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>
        <v>3</v>
      </c>
      <c r="AK38" s="58"/>
      <c r="AL38" s="58">
        <v>3</v>
      </c>
      <c r="AM38" s="58"/>
      <c r="AN38" s="59">
        <v>6</v>
      </c>
      <c r="AO38" s="59">
        <v>34</v>
      </c>
      <c r="AP38" s="59">
        <v>81</v>
      </c>
      <c r="AQ38" s="59">
        <v>64</v>
      </c>
      <c r="AR38" s="59">
        <v>90</v>
      </c>
      <c r="AS38" s="59">
        <v>90</v>
      </c>
      <c r="AT38" s="59">
        <v>102</v>
      </c>
      <c r="AU38" s="59">
        <v>102</v>
      </c>
      <c r="AV38" s="58">
        <v>131</v>
      </c>
      <c r="AW38" s="58"/>
      <c r="AX38" s="58"/>
      <c r="AY38" s="59"/>
      <c r="AZ38" s="59"/>
      <c r="BA38" s="59"/>
    </row>
    <row r="39" spans="1:53" s="71" customFormat="1" ht="15" customHeight="1" outlineLevel="1" x14ac:dyDescent="0.45">
      <c r="A39" s="61"/>
      <c r="B39" s="62"/>
      <c r="C39" s="62"/>
      <c r="D39" s="63"/>
      <c r="E39" s="52"/>
      <c r="F39" s="52"/>
      <c r="G39" s="52"/>
      <c r="H39" s="52"/>
      <c r="I39" s="52"/>
      <c r="J39" s="63"/>
      <c r="K39" s="63"/>
      <c r="L39" s="52"/>
      <c r="M39" s="63"/>
      <c r="N39" s="72" t="s">
        <v>183</v>
      </c>
      <c r="O39" s="65"/>
      <c r="P39" s="66"/>
      <c r="Q39" s="67"/>
      <c r="R39" s="68"/>
      <c r="S39" s="69">
        <f t="shared" ref="S39:BA39" si="10">SUBTOTAL(9,S38:S38)</f>
        <v>706</v>
      </c>
      <c r="T39" s="69">
        <f t="shared" si="10"/>
        <v>0</v>
      </c>
      <c r="U39" s="69">
        <f t="shared" si="10"/>
        <v>0</v>
      </c>
      <c r="V39" s="69">
        <f t="shared" si="10"/>
        <v>0</v>
      </c>
      <c r="W39" s="69">
        <f t="shared" si="10"/>
        <v>0</v>
      </c>
      <c r="X39" s="69">
        <f t="shared" si="10"/>
        <v>0</v>
      </c>
      <c r="Y39" s="69">
        <f t="shared" si="10"/>
        <v>0</v>
      </c>
      <c r="Z39" s="69">
        <f t="shared" si="10"/>
        <v>0</v>
      </c>
      <c r="AA39" s="69">
        <f t="shared" si="10"/>
        <v>0</v>
      </c>
      <c r="AB39" s="69">
        <f t="shared" si="10"/>
        <v>0</v>
      </c>
      <c r="AC39" s="69">
        <f t="shared" si="10"/>
        <v>0</v>
      </c>
      <c r="AD39" s="69">
        <f t="shared" si="10"/>
        <v>0</v>
      </c>
      <c r="AE39" s="69">
        <f t="shared" si="10"/>
        <v>0</v>
      </c>
      <c r="AF39" s="69">
        <f t="shared" si="10"/>
        <v>0</v>
      </c>
      <c r="AG39" s="69">
        <f t="shared" si="10"/>
        <v>0</v>
      </c>
      <c r="AH39" s="69">
        <f t="shared" si="10"/>
        <v>0</v>
      </c>
      <c r="AI39" s="69">
        <f t="shared" si="10"/>
        <v>0</v>
      </c>
      <c r="AJ39" s="69">
        <f t="shared" si="10"/>
        <v>3</v>
      </c>
      <c r="AK39" s="69">
        <f t="shared" si="10"/>
        <v>0</v>
      </c>
      <c r="AL39" s="69">
        <f t="shared" si="10"/>
        <v>3</v>
      </c>
      <c r="AM39" s="69">
        <f t="shared" si="10"/>
        <v>0</v>
      </c>
      <c r="AN39" s="70">
        <f t="shared" si="10"/>
        <v>6</v>
      </c>
      <c r="AO39" s="70">
        <f t="shared" si="10"/>
        <v>34</v>
      </c>
      <c r="AP39" s="70">
        <f t="shared" si="10"/>
        <v>81</v>
      </c>
      <c r="AQ39" s="70">
        <f t="shared" si="10"/>
        <v>64</v>
      </c>
      <c r="AR39" s="70">
        <f t="shared" si="10"/>
        <v>90</v>
      </c>
      <c r="AS39" s="70">
        <f t="shared" si="10"/>
        <v>90</v>
      </c>
      <c r="AT39" s="70">
        <f t="shared" si="10"/>
        <v>102</v>
      </c>
      <c r="AU39" s="70">
        <f t="shared" si="10"/>
        <v>102</v>
      </c>
      <c r="AV39" s="69">
        <f t="shared" si="10"/>
        <v>131</v>
      </c>
      <c r="AW39" s="69">
        <f t="shared" si="10"/>
        <v>0</v>
      </c>
      <c r="AX39" s="69">
        <f t="shared" si="10"/>
        <v>0</v>
      </c>
      <c r="AY39" s="70">
        <f t="shared" si="10"/>
        <v>0</v>
      </c>
      <c r="AZ39" s="70">
        <f t="shared" si="10"/>
        <v>0</v>
      </c>
      <c r="BA39" s="70">
        <f t="shared" si="10"/>
        <v>0</v>
      </c>
    </row>
    <row r="40" spans="1:53" s="60" customFormat="1" ht="15" customHeight="1" outlineLevel="2" x14ac:dyDescent="0.45">
      <c r="A40" s="48">
        <v>3503405147</v>
      </c>
      <c r="B40" s="49">
        <v>20</v>
      </c>
      <c r="C40" s="49" t="s">
        <v>184</v>
      </c>
      <c r="D40" s="50"/>
      <c r="E40" s="51"/>
      <c r="F40" s="51" t="s">
        <v>96</v>
      </c>
      <c r="G40" s="51">
        <v>1084</v>
      </c>
      <c r="H40" s="51" t="s">
        <v>105</v>
      </c>
      <c r="I40" s="51" t="s">
        <v>98</v>
      </c>
      <c r="J40" s="50"/>
      <c r="K40" s="50">
        <v>45213</v>
      </c>
      <c r="L40" s="52" t="s">
        <v>185</v>
      </c>
      <c r="M40" s="50">
        <v>45091</v>
      </c>
      <c r="N40" s="53" t="str">
        <f>+LEFT(L40,5)</f>
        <v>T3M17</v>
      </c>
      <c r="O40" s="54" t="s">
        <v>100</v>
      </c>
      <c r="P40" s="55" t="s">
        <v>101</v>
      </c>
      <c r="Q40" s="56" t="s">
        <v>102</v>
      </c>
      <c r="R40" s="57" t="s">
        <v>103</v>
      </c>
      <c r="S40" s="58">
        <f t="shared" si="0"/>
        <v>174</v>
      </c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9"/>
      <c r="AO40" s="59">
        <v>42</v>
      </c>
      <c r="AP40" s="59">
        <v>36</v>
      </c>
      <c r="AQ40" s="59"/>
      <c r="AR40" s="59">
        <v>30</v>
      </c>
      <c r="AS40" s="59"/>
      <c r="AT40" s="59">
        <v>30</v>
      </c>
      <c r="AU40" s="59">
        <v>18</v>
      </c>
      <c r="AV40" s="58">
        <v>18</v>
      </c>
      <c r="AW40" s="58"/>
      <c r="AX40" s="58"/>
      <c r="AY40" s="59"/>
      <c r="AZ40" s="59"/>
      <c r="BA40" s="59"/>
    </row>
    <row r="41" spans="1:53" s="60" customFormat="1" ht="15" customHeight="1" outlineLevel="2" x14ac:dyDescent="0.45">
      <c r="A41" s="48">
        <v>3503406251</v>
      </c>
      <c r="B41" s="49">
        <v>10</v>
      </c>
      <c r="C41" s="49" t="s">
        <v>186</v>
      </c>
      <c r="D41" s="50"/>
      <c r="E41" s="51"/>
      <c r="F41" s="51" t="s">
        <v>96</v>
      </c>
      <c r="G41" s="51">
        <v>5026206</v>
      </c>
      <c r="H41" s="51" t="s">
        <v>97</v>
      </c>
      <c r="I41" s="51" t="s">
        <v>98</v>
      </c>
      <c r="J41" s="50"/>
      <c r="K41" s="50">
        <v>45220</v>
      </c>
      <c r="L41" s="52" t="s">
        <v>187</v>
      </c>
      <c r="M41" s="50">
        <v>45091</v>
      </c>
      <c r="N41" s="53" t="str">
        <f>+LEFT(L41,5)</f>
        <v>T3M17</v>
      </c>
      <c r="O41" s="54" t="s">
        <v>100</v>
      </c>
      <c r="P41" s="55" t="s">
        <v>101</v>
      </c>
      <c r="Q41" s="56" t="s">
        <v>102</v>
      </c>
      <c r="R41" s="57" t="s">
        <v>103</v>
      </c>
      <c r="S41" s="58">
        <f t="shared" si="0"/>
        <v>300</v>
      </c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9"/>
      <c r="AO41" s="59">
        <v>12</v>
      </c>
      <c r="AP41" s="59">
        <v>42</v>
      </c>
      <c r="AQ41" s="59">
        <v>72</v>
      </c>
      <c r="AR41" s="59"/>
      <c r="AS41" s="59"/>
      <c r="AT41" s="59">
        <v>78</v>
      </c>
      <c r="AU41" s="59">
        <v>54</v>
      </c>
      <c r="AV41" s="58">
        <v>42</v>
      </c>
      <c r="AW41" s="58"/>
      <c r="AX41" s="58"/>
      <c r="AY41" s="59"/>
      <c r="AZ41" s="59"/>
      <c r="BA41" s="59"/>
    </row>
    <row r="42" spans="1:53" s="71" customFormat="1" ht="15" customHeight="1" outlineLevel="1" x14ac:dyDescent="0.45">
      <c r="A42" s="61"/>
      <c r="B42" s="62"/>
      <c r="C42" s="62"/>
      <c r="D42" s="63"/>
      <c r="E42" s="52"/>
      <c r="F42" s="52"/>
      <c r="G42" s="52"/>
      <c r="H42" s="52"/>
      <c r="I42" s="52"/>
      <c r="J42" s="63"/>
      <c r="K42" s="63"/>
      <c r="L42" s="52"/>
      <c r="M42" s="63"/>
      <c r="N42" s="72" t="s">
        <v>188</v>
      </c>
      <c r="O42" s="65"/>
      <c r="P42" s="66"/>
      <c r="Q42" s="67"/>
      <c r="R42" s="68"/>
      <c r="S42" s="69">
        <f t="shared" ref="S42:BA42" si="11">SUBTOTAL(9,S40:S41)</f>
        <v>474</v>
      </c>
      <c r="T42" s="69">
        <f t="shared" si="11"/>
        <v>0</v>
      </c>
      <c r="U42" s="69">
        <f t="shared" si="11"/>
        <v>0</v>
      </c>
      <c r="V42" s="69">
        <f t="shared" si="11"/>
        <v>0</v>
      </c>
      <c r="W42" s="69">
        <f t="shared" si="11"/>
        <v>0</v>
      </c>
      <c r="X42" s="69">
        <f t="shared" si="11"/>
        <v>0</v>
      </c>
      <c r="Y42" s="69">
        <f t="shared" si="11"/>
        <v>0</v>
      </c>
      <c r="Z42" s="69">
        <f t="shared" si="11"/>
        <v>0</v>
      </c>
      <c r="AA42" s="69">
        <f t="shared" si="11"/>
        <v>0</v>
      </c>
      <c r="AB42" s="69">
        <f t="shared" si="11"/>
        <v>0</v>
      </c>
      <c r="AC42" s="69">
        <f t="shared" si="11"/>
        <v>0</v>
      </c>
      <c r="AD42" s="69">
        <f t="shared" si="11"/>
        <v>0</v>
      </c>
      <c r="AE42" s="69">
        <f t="shared" si="11"/>
        <v>0</v>
      </c>
      <c r="AF42" s="69">
        <f t="shared" si="11"/>
        <v>0</v>
      </c>
      <c r="AG42" s="69">
        <f t="shared" si="11"/>
        <v>0</v>
      </c>
      <c r="AH42" s="69">
        <f t="shared" si="11"/>
        <v>0</v>
      </c>
      <c r="AI42" s="69">
        <f t="shared" si="11"/>
        <v>0</v>
      </c>
      <c r="AJ42" s="69">
        <f t="shared" si="11"/>
        <v>0</v>
      </c>
      <c r="AK42" s="69">
        <f t="shared" si="11"/>
        <v>0</v>
      </c>
      <c r="AL42" s="69">
        <f t="shared" si="11"/>
        <v>0</v>
      </c>
      <c r="AM42" s="69">
        <f t="shared" si="11"/>
        <v>0</v>
      </c>
      <c r="AN42" s="70">
        <f t="shared" si="11"/>
        <v>0</v>
      </c>
      <c r="AO42" s="70">
        <f t="shared" si="11"/>
        <v>54</v>
      </c>
      <c r="AP42" s="70">
        <f t="shared" si="11"/>
        <v>78</v>
      </c>
      <c r="AQ42" s="70">
        <f t="shared" si="11"/>
        <v>72</v>
      </c>
      <c r="AR42" s="70">
        <f t="shared" si="11"/>
        <v>30</v>
      </c>
      <c r="AS42" s="70">
        <f t="shared" si="11"/>
        <v>0</v>
      </c>
      <c r="AT42" s="70">
        <f t="shared" si="11"/>
        <v>108</v>
      </c>
      <c r="AU42" s="70">
        <f t="shared" si="11"/>
        <v>72</v>
      </c>
      <c r="AV42" s="69">
        <f t="shared" si="11"/>
        <v>60</v>
      </c>
      <c r="AW42" s="69">
        <f t="shared" si="11"/>
        <v>0</v>
      </c>
      <c r="AX42" s="69">
        <f t="shared" si="11"/>
        <v>0</v>
      </c>
      <c r="AY42" s="70">
        <f t="shared" si="11"/>
        <v>0</v>
      </c>
      <c r="AZ42" s="70">
        <f t="shared" si="11"/>
        <v>0</v>
      </c>
      <c r="BA42" s="70">
        <f t="shared" si="11"/>
        <v>0</v>
      </c>
    </row>
    <row r="43" spans="1:53" s="60" customFormat="1" ht="15" customHeight="1" outlineLevel="2" x14ac:dyDescent="0.45">
      <c r="A43" s="48">
        <v>4509530298</v>
      </c>
      <c r="B43" s="49">
        <v>20</v>
      </c>
      <c r="C43" s="49" t="s">
        <v>189</v>
      </c>
      <c r="D43" s="50"/>
      <c r="E43" s="51"/>
      <c r="F43" s="51" t="s">
        <v>150</v>
      </c>
      <c r="G43" s="51">
        <v>1042</v>
      </c>
      <c r="H43" s="51" t="s">
        <v>151</v>
      </c>
      <c r="I43" s="51" t="s">
        <v>152</v>
      </c>
      <c r="J43" s="50"/>
      <c r="K43" s="50">
        <v>45220</v>
      </c>
      <c r="L43" s="52" t="s">
        <v>190</v>
      </c>
      <c r="M43" s="50">
        <v>45091</v>
      </c>
      <c r="N43" s="53" t="str">
        <f>+LEFT(L43,5)</f>
        <v>T3M21</v>
      </c>
      <c r="O43" s="54" t="s">
        <v>154</v>
      </c>
      <c r="P43" s="55" t="s">
        <v>155</v>
      </c>
      <c r="Q43" s="56" t="s">
        <v>156</v>
      </c>
      <c r="R43" s="57" t="s">
        <v>103</v>
      </c>
      <c r="S43" s="58">
        <f t="shared" si="0"/>
        <v>0</v>
      </c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9"/>
      <c r="AO43" s="59"/>
      <c r="AP43" s="59"/>
      <c r="AQ43" s="59"/>
      <c r="AR43" s="59"/>
      <c r="AS43" s="59"/>
      <c r="AT43" s="59"/>
      <c r="AU43" s="59"/>
      <c r="AV43" s="58"/>
      <c r="AW43" s="58"/>
      <c r="AX43" s="58"/>
      <c r="AY43" s="59"/>
      <c r="AZ43" s="59"/>
      <c r="BA43" s="59"/>
    </row>
    <row r="44" spans="1:53" s="71" customFormat="1" ht="15" customHeight="1" outlineLevel="1" x14ac:dyDescent="0.45">
      <c r="A44" s="61"/>
      <c r="B44" s="62"/>
      <c r="C44" s="62"/>
      <c r="D44" s="63"/>
      <c r="E44" s="52"/>
      <c r="F44" s="52"/>
      <c r="G44" s="52"/>
      <c r="H44" s="52"/>
      <c r="I44" s="52"/>
      <c r="J44" s="63"/>
      <c r="K44" s="63"/>
      <c r="L44" s="52"/>
      <c r="M44" s="63"/>
      <c r="N44" s="72" t="s">
        <v>191</v>
      </c>
      <c r="O44" s="65"/>
      <c r="P44" s="66"/>
      <c r="Q44" s="67"/>
      <c r="R44" s="68"/>
      <c r="S44" s="69">
        <f t="shared" ref="S44:BA44" si="12">SUBTOTAL(9,S43:S43)</f>
        <v>0</v>
      </c>
      <c r="T44" s="69">
        <f t="shared" si="12"/>
        <v>0</v>
      </c>
      <c r="U44" s="69">
        <f t="shared" si="12"/>
        <v>0</v>
      </c>
      <c r="V44" s="69">
        <f t="shared" si="12"/>
        <v>0</v>
      </c>
      <c r="W44" s="69">
        <f t="shared" si="12"/>
        <v>0</v>
      </c>
      <c r="X44" s="69">
        <f t="shared" si="12"/>
        <v>0</v>
      </c>
      <c r="Y44" s="69">
        <f t="shared" si="12"/>
        <v>0</v>
      </c>
      <c r="Z44" s="69">
        <f t="shared" si="12"/>
        <v>0</v>
      </c>
      <c r="AA44" s="69">
        <f t="shared" si="12"/>
        <v>0</v>
      </c>
      <c r="AB44" s="69">
        <f t="shared" si="12"/>
        <v>0</v>
      </c>
      <c r="AC44" s="69">
        <f t="shared" si="12"/>
        <v>0</v>
      </c>
      <c r="AD44" s="69">
        <f t="shared" si="12"/>
        <v>0</v>
      </c>
      <c r="AE44" s="69">
        <f t="shared" si="12"/>
        <v>0</v>
      </c>
      <c r="AF44" s="69">
        <f t="shared" si="12"/>
        <v>0</v>
      </c>
      <c r="AG44" s="69">
        <f t="shared" si="12"/>
        <v>0</v>
      </c>
      <c r="AH44" s="69">
        <f t="shared" si="12"/>
        <v>0</v>
      </c>
      <c r="AI44" s="69">
        <f t="shared" si="12"/>
        <v>0</v>
      </c>
      <c r="AJ44" s="69">
        <f t="shared" si="12"/>
        <v>0</v>
      </c>
      <c r="AK44" s="69">
        <f t="shared" si="12"/>
        <v>0</v>
      </c>
      <c r="AL44" s="69">
        <f t="shared" si="12"/>
        <v>0</v>
      </c>
      <c r="AM44" s="69">
        <f t="shared" si="12"/>
        <v>0</v>
      </c>
      <c r="AN44" s="70">
        <f t="shared" si="12"/>
        <v>0</v>
      </c>
      <c r="AO44" s="70">
        <f t="shared" si="12"/>
        <v>0</v>
      </c>
      <c r="AP44" s="70">
        <f t="shared" si="12"/>
        <v>0</v>
      </c>
      <c r="AQ44" s="70">
        <f t="shared" si="12"/>
        <v>0</v>
      </c>
      <c r="AR44" s="70">
        <f t="shared" si="12"/>
        <v>0</v>
      </c>
      <c r="AS44" s="70">
        <f t="shared" si="12"/>
        <v>0</v>
      </c>
      <c r="AT44" s="70">
        <f t="shared" si="12"/>
        <v>0</v>
      </c>
      <c r="AU44" s="70">
        <f t="shared" si="12"/>
        <v>0</v>
      </c>
      <c r="AV44" s="69">
        <f t="shared" si="12"/>
        <v>0</v>
      </c>
      <c r="AW44" s="69">
        <f t="shared" si="12"/>
        <v>0</v>
      </c>
      <c r="AX44" s="69">
        <f t="shared" si="12"/>
        <v>0</v>
      </c>
      <c r="AY44" s="70">
        <f t="shared" si="12"/>
        <v>0</v>
      </c>
      <c r="AZ44" s="70">
        <f t="shared" si="12"/>
        <v>0</v>
      </c>
      <c r="BA44" s="70">
        <f t="shared" si="12"/>
        <v>0</v>
      </c>
    </row>
    <row r="45" spans="1:53" s="60" customFormat="1" ht="15" customHeight="1" outlineLevel="2" x14ac:dyDescent="0.45">
      <c r="A45" s="48">
        <v>4509529624</v>
      </c>
      <c r="B45" s="49">
        <v>50</v>
      </c>
      <c r="C45" s="49" t="s">
        <v>192</v>
      </c>
      <c r="D45" s="50"/>
      <c r="E45" s="51"/>
      <c r="F45" s="51" t="s">
        <v>150</v>
      </c>
      <c r="G45" s="51">
        <v>1014</v>
      </c>
      <c r="H45" s="51" t="s">
        <v>118</v>
      </c>
      <c r="I45" s="51" t="s">
        <v>152</v>
      </c>
      <c r="J45" s="50"/>
      <c r="K45" s="50">
        <v>45220</v>
      </c>
      <c r="L45" s="52" t="s">
        <v>193</v>
      </c>
      <c r="M45" s="50">
        <v>45091</v>
      </c>
      <c r="N45" s="53" t="str">
        <f t="shared" ref="N45:N50" si="13">+LEFT(L45,5)</f>
        <v>T3M22</v>
      </c>
      <c r="O45" s="54" t="s">
        <v>162</v>
      </c>
      <c r="P45" s="55" t="s">
        <v>155</v>
      </c>
      <c r="Q45" s="56" t="s">
        <v>102</v>
      </c>
      <c r="R45" s="57" t="s">
        <v>103</v>
      </c>
      <c r="S45" s="58">
        <f t="shared" si="0"/>
        <v>1212</v>
      </c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>
        <v>24</v>
      </c>
      <c r="AK45" s="58">
        <v>12</v>
      </c>
      <c r="AL45" s="58">
        <v>24</v>
      </c>
      <c r="AM45" s="58">
        <v>18</v>
      </c>
      <c r="AN45" s="59">
        <v>18</v>
      </c>
      <c r="AO45" s="59">
        <v>78</v>
      </c>
      <c r="AP45" s="59">
        <v>132</v>
      </c>
      <c r="AQ45" s="59">
        <v>108</v>
      </c>
      <c r="AR45" s="59">
        <v>162</v>
      </c>
      <c r="AS45" s="59">
        <v>138</v>
      </c>
      <c r="AT45" s="59">
        <v>174</v>
      </c>
      <c r="AU45" s="59">
        <v>138</v>
      </c>
      <c r="AV45" s="58">
        <v>186</v>
      </c>
      <c r="AW45" s="58"/>
      <c r="AX45" s="58"/>
      <c r="AY45" s="59"/>
      <c r="AZ45" s="59"/>
      <c r="BA45" s="59"/>
    </row>
    <row r="46" spans="1:53" s="60" customFormat="1" ht="15" customHeight="1" outlineLevel="2" x14ac:dyDescent="0.45">
      <c r="A46" s="48">
        <v>4509529624</v>
      </c>
      <c r="B46" s="49">
        <v>10</v>
      </c>
      <c r="C46" s="49" t="s">
        <v>194</v>
      </c>
      <c r="D46" s="50"/>
      <c r="E46" s="51"/>
      <c r="F46" s="51" t="s">
        <v>150</v>
      </c>
      <c r="G46" s="51">
        <v>1014</v>
      </c>
      <c r="H46" s="51" t="s">
        <v>118</v>
      </c>
      <c r="I46" s="51" t="s">
        <v>152</v>
      </c>
      <c r="J46" s="50"/>
      <c r="K46" s="50">
        <v>45227</v>
      </c>
      <c r="L46" s="52" t="s">
        <v>195</v>
      </c>
      <c r="M46" s="50">
        <v>45091</v>
      </c>
      <c r="N46" s="53" t="str">
        <f t="shared" si="13"/>
        <v>T3M22</v>
      </c>
      <c r="O46" s="54" t="s">
        <v>162</v>
      </c>
      <c r="P46" s="55" t="s">
        <v>155</v>
      </c>
      <c r="Q46" s="56" t="s">
        <v>662</v>
      </c>
      <c r="R46" s="57" t="s">
        <v>103</v>
      </c>
      <c r="S46" s="58">
        <f t="shared" si="0"/>
        <v>834</v>
      </c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>
        <v>12</v>
      </c>
      <c r="AK46" s="58">
        <v>6</v>
      </c>
      <c r="AL46" s="58">
        <v>12</v>
      </c>
      <c r="AM46" s="58">
        <v>12</v>
      </c>
      <c r="AN46" s="59">
        <v>12</v>
      </c>
      <c r="AO46" s="59">
        <v>54</v>
      </c>
      <c r="AP46" s="59">
        <v>96</v>
      </c>
      <c r="AQ46" s="59">
        <v>78</v>
      </c>
      <c r="AR46" s="59">
        <v>114</v>
      </c>
      <c r="AS46" s="59">
        <v>96</v>
      </c>
      <c r="AT46" s="59">
        <v>120</v>
      </c>
      <c r="AU46" s="59">
        <v>90</v>
      </c>
      <c r="AV46" s="58">
        <v>132</v>
      </c>
      <c r="AW46" s="58"/>
      <c r="AX46" s="58"/>
      <c r="AY46" s="59"/>
      <c r="AZ46" s="59"/>
      <c r="BA46" s="59"/>
    </row>
    <row r="47" spans="1:53" s="60" customFormat="1" ht="15" customHeight="1" outlineLevel="2" x14ac:dyDescent="0.45">
      <c r="A47" s="48">
        <v>4509529458</v>
      </c>
      <c r="B47" s="49">
        <v>10</v>
      </c>
      <c r="C47" s="49" t="s">
        <v>196</v>
      </c>
      <c r="D47" s="50"/>
      <c r="E47" s="51"/>
      <c r="F47" s="51" t="s">
        <v>150</v>
      </c>
      <c r="G47" s="51">
        <v>1064</v>
      </c>
      <c r="H47" s="51" t="s">
        <v>5</v>
      </c>
      <c r="I47" s="51" t="s">
        <v>152</v>
      </c>
      <c r="J47" s="50"/>
      <c r="K47" s="50">
        <v>45213</v>
      </c>
      <c r="L47" s="52" t="s">
        <v>197</v>
      </c>
      <c r="M47" s="50">
        <v>45091</v>
      </c>
      <c r="N47" s="53" t="str">
        <f t="shared" si="13"/>
        <v>T3M22</v>
      </c>
      <c r="O47" s="54" t="s">
        <v>162</v>
      </c>
      <c r="P47" s="55" t="s">
        <v>155</v>
      </c>
      <c r="Q47" s="56" t="s">
        <v>613</v>
      </c>
      <c r="R47" s="57" t="s">
        <v>103</v>
      </c>
      <c r="S47" s="58">
        <f t="shared" si="0"/>
        <v>328</v>
      </c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>
        <v>10</v>
      </c>
      <c r="AM47" s="58"/>
      <c r="AN47" s="59"/>
      <c r="AO47" s="59">
        <v>34</v>
      </c>
      <c r="AP47" s="59">
        <v>10</v>
      </c>
      <c r="AQ47" s="59">
        <v>43</v>
      </c>
      <c r="AR47" s="59">
        <v>53</v>
      </c>
      <c r="AS47" s="59">
        <v>53</v>
      </c>
      <c r="AT47" s="59">
        <v>38</v>
      </c>
      <c r="AU47" s="59">
        <v>53</v>
      </c>
      <c r="AV47" s="58">
        <v>34</v>
      </c>
      <c r="AW47" s="58"/>
      <c r="AX47" s="58"/>
      <c r="AY47" s="59"/>
      <c r="AZ47" s="59"/>
      <c r="BA47" s="59"/>
    </row>
    <row r="48" spans="1:53" s="60" customFormat="1" ht="15" customHeight="1" outlineLevel="2" x14ac:dyDescent="0.45">
      <c r="A48" s="48">
        <v>4509529458</v>
      </c>
      <c r="B48" s="49">
        <v>20</v>
      </c>
      <c r="C48" s="49" t="s">
        <v>198</v>
      </c>
      <c r="D48" s="50"/>
      <c r="E48" s="51"/>
      <c r="F48" s="51" t="s">
        <v>150</v>
      </c>
      <c r="G48" s="51">
        <v>1064</v>
      </c>
      <c r="H48" s="51" t="s">
        <v>5</v>
      </c>
      <c r="I48" s="51" t="s">
        <v>152</v>
      </c>
      <c r="J48" s="50"/>
      <c r="K48" s="50">
        <v>45220</v>
      </c>
      <c r="L48" s="52" t="s">
        <v>199</v>
      </c>
      <c r="M48" s="50">
        <v>45091</v>
      </c>
      <c r="N48" s="53" t="str">
        <f t="shared" si="13"/>
        <v>T3M22</v>
      </c>
      <c r="O48" s="54" t="s">
        <v>162</v>
      </c>
      <c r="P48" s="55" t="s">
        <v>155</v>
      </c>
      <c r="Q48" s="56" t="s">
        <v>617</v>
      </c>
      <c r="R48" s="57" t="s">
        <v>103</v>
      </c>
      <c r="S48" s="58">
        <f t="shared" si="0"/>
        <v>129</v>
      </c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>
        <v>5</v>
      </c>
      <c r="AM48" s="58"/>
      <c r="AN48" s="59"/>
      <c r="AO48" s="59">
        <v>14</v>
      </c>
      <c r="AP48" s="59"/>
      <c r="AQ48" s="59">
        <v>19</v>
      </c>
      <c r="AR48" s="59">
        <v>19</v>
      </c>
      <c r="AS48" s="59">
        <v>24</v>
      </c>
      <c r="AT48" s="59">
        <v>14</v>
      </c>
      <c r="AU48" s="59">
        <v>24</v>
      </c>
      <c r="AV48" s="58">
        <v>10</v>
      </c>
      <c r="AW48" s="58"/>
      <c r="AX48" s="58"/>
      <c r="AY48" s="59"/>
      <c r="AZ48" s="59"/>
      <c r="BA48" s="59"/>
    </row>
    <row r="49" spans="1:53" s="60" customFormat="1" ht="15" customHeight="1" outlineLevel="2" x14ac:dyDescent="0.45">
      <c r="A49" s="48">
        <v>4509529458</v>
      </c>
      <c r="B49" s="49">
        <v>30</v>
      </c>
      <c r="C49" s="49" t="s">
        <v>200</v>
      </c>
      <c r="D49" s="50"/>
      <c r="E49" s="51"/>
      <c r="F49" s="51" t="s">
        <v>150</v>
      </c>
      <c r="G49" s="51">
        <v>1064</v>
      </c>
      <c r="H49" s="51" t="s">
        <v>5</v>
      </c>
      <c r="I49" s="51" t="s">
        <v>152</v>
      </c>
      <c r="J49" s="50"/>
      <c r="K49" s="50">
        <v>45227</v>
      </c>
      <c r="L49" s="52" t="s">
        <v>201</v>
      </c>
      <c r="M49" s="50">
        <v>45091</v>
      </c>
      <c r="N49" s="53" t="str">
        <f t="shared" si="13"/>
        <v>T3M22</v>
      </c>
      <c r="O49" s="54" t="s">
        <v>162</v>
      </c>
      <c r="P49" s="55" t="s">
        <v>155</v>
      </c>
      <c r="Q49" s="56" t="s">
        <v>621</v>
      </c>
      <c r="R49" s="57" t="s">
        <v>103</v>
      </c>
      <c r="S49" s="58">
        <f t="shared" si="0"/>
        <v>308</v>
      </c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9"/>
      <c r="AO49" s="59">
        <v>10</v>
      </c>
      <c r="AP49" s="59"/>
      <c r="AQ49" s="59">
        <v>58</v>
      </c>
      <c r="AR49" s="59">
        <v>24</v>
      </c>
      <c r="AS49" s="59">
        <v>86</v>
      </c>
      <c r="AT49" s="59">
        <v>72</v>
      </c>
      <c r="AU49" s="59">
        <v>58</v>
      </c>
      <c r="AV49" s="58">
        <v>0</v>
      </c>
      <c r="AW49" s="58"/>
      <c r="AX49" s="58"/>
      <c r="AY49" s="59"/>
      <c r="AZ49" s="59"/>
      <c r="BA49" s="59"/>
    </row>
    <row r="50" spans="1:53" s="60" customFormat="1" ht="15" customHeight="1" outlineLevel="2" x14ac:dyDescent="0.45">
      <c r="A50" s="48">
        <v>4509530298</v>
      </c>
      <c r="B50" s="49">
        <v>40</v>
      </c>
      <c r="C50" s="49" t="s">
        <v>202</v>
      </c>
      <c r="D50" s="50"/>
      <c r="E50" s="51"/>
      <c r="F50" s="51" t="s">
        <v>150</v>
      </c>
      <c r="G50" s="51">
        <v>1042</v>
      </c>
      <c r="H50" s="51" t="s">
        <v>151</v>
      </c>
      <c r="I50" s="51" t="s">
        <v>152</v>
      </c>
      <c r="J50" s="50"/>
      <c r="K50" s="50">
        <v>45220</v>
      </c>
      <c r="L50" s="52" t="s">
        <v>203</v>
      </c>
      <c r="M50" s="50">
        <v>45091</v>
      </c>
      <c r="N50" s="53" t="str">
        <f t="shared" si="13"/>
        <v>T3M22</v>
      </c>
      <c r="O50" s="54" t="s">
        <v>162</v>
      </c>
      <c r="P50" s="55" t="s">
        <v>155</v>
      </c>
      <c r="Q50" s="56" t="s">
        <v>102</v>
      </c>
      <c r="R50" s="57" t="s">
        <v>103</v>
      </c>
      <c r="S50" s="58">
        <f t="shared" si="0"/>
        <v>108</v>
      </c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9"/>
      <c r="AO50" s="59">
        <v>6</v>
      </c>
      <c r="AP50" s="59">
        <v>12</v>
      </c>
      <c r="AQ50" s="59">
        <v>12</v>
      </c>
      <c r="AR50" s="59">
        <v>18</v>
      </c>
      <c r="AS50" s="59">
        <v>12</v>
      </c>
      <c r="AT50" s="59">
        <v>18</v>
      </c>
      <c r="AU50" s="59">
        <v>12</v>
      </c>
      <c r="AV50" s="58">
        <v>18</v>
      </c>
      <c r="AW50" s="58"/>
      <c r="AX50" s="58"/>
      <c r="AY50" s="59"/>
      <c r="AZ50" s="59"/>
      <c r="BA50" s="59"/>
    </row>
    <row r="51" spans="1:53" s="60" customFormat="1" ht="15" customHeight="1" outlineLevel="2" x14ac:dyDescent="0.45">
      <c r="A51" s="48">
        <v>4509529458</v>
      </c>
      <c r="B51" s="49">
        <v>40</v>
      </c>
      <c r="C51" s="49" t="s">
        <v>610</v>
      </c>
      <c r="D51" s="50"/>
      <c r="E51" s="51"/>
      <c r="F51" s="51" t="s">
        <v>150</v>
      </c>
      <c r="G51" s="51">
        <v>1064</v>
      </c>
      <c r="H51" s="51" t="s">
        <v>5</v>
      </c>
      <c r="I51" s="51" t="s">
        <v>152</v>
      </c>
      <c r="J51" s="50"/>
      <c r="K51" s="50">
        <v>45213</v>
      </c>
      <c r="L51" s="52" t="s">
        <v>611</v>
      </c>
      <c r="M51" s="50">
        <v>45091</v>
      </c>
      <c r="N51" s="53" t="str">
        <f t="shared" ref="N51:N54" si="14">+LEFT(L51,5)</f>
        <v>T3M22</v>
      </c>
      <c r="O51" s="54" t="s">
        <v>162</v>
      </c>
      <c r="P51" s="55" t="s">
        <v>155</v>
      </c>
      <c r="Q51" s="56" t="s">
        <v>612</v>
      </c>
      <c r="R51" s="57" t="s">
        <v>103</v>
      </c>
      <c r="S51" s="58">
        <f t="shared" ref="S51:S53" si="15">SUM(T51:BA51)</f>
        <v>80</v>
      </c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>
        <v>2</v>
      </c>
      <c r="AM51" s="58"/>
      <c r="AN51" s="59"/>
      <c r="AO51" s="59">
        <v>8</v>
      </c>
      <c r="AP51" s="59">
        <v>2</v>
      </c>
      <c r="AQ51" s="59">
        <v>11</v>
      </c>
      <c r="AR51" s="59">
        <v>13</v>
      </c>
      <c r="AS51" s="59">
        <v>13</v>
      </c>
      <c r="AT51" s="59">
        <v>10</v>
      </c>
      <c r="AU51" s="59">
        <v>13</v>
      </c>
      <c r="AV51" s="58">
        <v>8</v>
      </c>
      <c r="AW51" s="58"/>
      <c r="AX51" s="58"/>
      <c r="AY51" s="59"/>
      <c r="AZ51" s="59"/>
      <c r="BA51" s="59"/>
    </row>
    <row r="52" spans="1:53" s="60" customFormat="1" ht="15" customHeight="1" outlineLevel="2" x14ac:dyDescent="0.45">
      <c r="A52" s="48">
        <v>4509529458</v>
      </c>
      <c r="B52" s="49">
        <v>50</v>
      </c>
      <c r="C52" s="49" t="s">
        <v>614</v>
      </c>
      <c r="D52" s="50"/>
      <c r="E52" s="51"/>
      <c r="F52" s="51" t="s">
        <v>150</v>
      </c>
      <c r="G52" s="51">
        <v>1064</v>
      </c>
      <c r="H52" s="51" t="s">
        <v>5</v>
      </c>
      <c r="I52" s="51" t="s">
        <v>152</v>
      </c>
      <c r="J52" s="50"/>
      <c r="K52" s="50">
        <v>45220</v>
      </c>
      <c r="L52" s="52" t="s">
        <v>615</v>
      </c>
      <c r="M52" s="50">
        <v>45091</v>
      </c>
      <c r="N52" s="53" t="str">
        <f t="shared" si="14"/>
        <v>T3M22</v>
      </c>
      <c r="O52" s="54" t="s">
        <v>162</v>
      </c>
      <c r="P52" s="55" t="s">
        <v>155</v>
      </c>
      <c r="Q52" s="56" t="s">
        <v>616</v>
      </c>
      <c r="R52" s="57" t="s">
        <v>103</v>
      </c>
      <c r="S52" s="58">
        <f t="shared" si="15"/>
        <v>33</v>
      </c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>
        <v>1</v>
      </c>
      <c r="AM52" s="58"/>
      <c r="AN52" s="59"/>
      <c r="AO52" s="59">
        <v>4</v>
      </c>
      <c r="AP52" s="59"/>
      <c r="AQ52" s="59">
        <v>5</v>
      </c>
      <c r="AR52" s="59">
        <v>5</v>
      </c>
      <c r="AS52" s="59">
        <v>6</v>
      </c>
      <c r="AT52" s="59">
        <v>4</v>
      </c>
      <c r="AU52" s="59">
        <v>6</v>
      </c>
      <c r="AV52" s="58">
        <v>2</v>
      </c>
      <c r="AW52" s="58"/>
      <c r="AX52" s="58"/>
      <c r="AY52" s="59"/>
      <c r="AZ52" s="59"/>
      <c r="BA52" s="59"/>
    </row>
    <row r="53" spans="1:53" s="60" customFormat="1" ht="15" customHeight="1" outlineLevel="2" x14ac:dyDescent="0.45">
      <c r="A53" s="48">
        <v>4509529458</v>
      </c>
      <c r="B53" s="49">
        <v>60</v>
      </c>
      <c r="C53" s="49" t="s">
        <v>618</v>
      </c>
      <c r="D53" s="50"/>
      <c r="E53" s="51"/>
      <c r="F53" s="51" t="s">
        <v>150</v>
      </c>
      <c r="G53" s="51">
        <v>1064</v>
      </c>
      <c r="H53" s="51" t="s">
        <v>5</v>
      </c>
      <c r="I53" s="51" t="s">
        <v>152</v>
      </c>
      <c r="J53" s="50"/>
      <c r="K53" s="50">
        <v>45227</v>
      </c>
      <c r="L53" s="52" t="s">
        <v>619</v>
      </c>
      <c r="M53" s="50">
        <v>45091</v>
      </c>
      <c r="N53" s="53" t="str">
        <f t="shared" si="14"/>
        <v>T3M22</v>
      </c>
      <c r="O53" s="54" t="s">
        <v>162</v>
      </c>
      <c r="P53" s="55" t="s">
        <v>155</v>
      </c>
      <c r="Q53" s="56" t="s">
        <v>620</v>
      </c>
      <c r="R53" s="57" t="s">
        <v>103</v>
      </c>
      <c r="S53" s="58">
        <f t="shared" si="15"/>
        <v>76</v>
      </c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9"/>
      <c r="AO53" s="59">
        <v>2</v>
      </c>
      <c r="AP53" s="59"/>
      <c r="AQ53" s="59">
        <v>14</v>
      </c>
      <c r="AR53" s="59">
        <v>6</v>
      </c>
      <c r="AS53" s="59">
        <v>22</v>
      </c>
      <c r="AT53" s="59">
        <v>18</v>
      </c>
      <c r="AU53" s="59">
        <v>14</v>
      </c>
      <c r="AV53" s="58"/>
      <c r="AW53" s="58"/>
      <c r="AX53" s="58"/>
      <c r="AY53" s="59"/>
      <c r="AZ53" s="59"/>
      <c r="BA53" s="59"/>
    </row>
    <row r="54" spans="1:53" s="60" customFormat="1" ht="15" customHeight="1" outlineLevel="2" x14ac:dyDescent="0.45">
      <c r="A54" s="48" t="s">
        <v>658</v>
      </c>
      <c r="B54" s="49" t="s">
        <v>657</v>
      </c>
      <c r="C54" s="49" t="s">
        <v>659</v>
      </c>
      <c r="D54" s="50"/>
      <c r="E54" s="51"/>
      <c r="F54" s="51" t="s">
        <v>150</v>
      </c>
      <c r="G54" s="51">
        <v>433959</v>
      </c>
      <c r="H54" s="51" t="s">
        <v>118</v>
      </c>
      <c r="I54" s="51" t="s">
        <v>152</v>
      </c>
      <c r="J54" s="50"/>
      <c r="K54" s="50">
        <v>45227</v>
      </c>
      <c r="L54" s="52" t="s">
        <v>660</v>
      </c>
      <c r="M54" s="50">
        <v>45091</v>
      </c>
      <c r="N54" s="53" t="str">
        <f t="shared" si="14"/>
        <v>T3M22</v>
      </c>
      <c r="O54" s="54" t="s">
        <v>162</v>
      </c>
      <c r="P54" s="55" t="s">
        <v>155</v>
      </c>
      <c r="Q54" s="56" t="s">
        <v>661</v>
      </c>
      <c r="R54" s="57" t="s">
        <v>103</v>
      </c>
      <c r="S54" s="58">
        <f t="shared" ref="S54" si="16">SUM(T54:BA54)</f>
        <v>102</v>
      </c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>
        <v>6</v>
      </c>
      <c r="AK54" s="58">
        <v>6</v>
      </c>
      <c r="AL54" s="58">
        <v>6</v>
      </c>
      <c r="AM54" s="58">
        <v>6</v>
      </c>
      <c r="AN54" s="59">
        <v>6</v>
      </c>
      <c r="AO54" s="59">
        <v>6</v>
      </c>
      <c r="AP54" s="59">
        <v>6</v>
      </c>
      <c r="AQ54" s="59">
        <v>6</v>
      </c>
      <c r="AR54" s="59">
        <v>12</v>
      </c>
      <c r="AS54" s="59">
        <v>6</v>
      </c>
      <c r="AT54" s="59">
        <v>12</v>
      </c>
      <c r="AU54" s="59">
        <v>12</v>
      </c>
      <c r="AV54" s="58">
        <v>12</v>
      </c>
      <c r="AW54" s="58"/>
      <c r="AX54" s="58"/>
      <c r="AY54" s="59"/>
      <c r="AZ54" s="59"/>
      <c r="BA54" s="59"/>
    </row>
    <row r="55" spans="1:53" s="71" customFormat="1" ht="15" customHeight="1" outlineLevel="1" x14ac:dyDescent="0.45">
      <c r="A55" s="61"/>
      <c r="B55" s="62"/>
      <c r="C55" s="62"/>
      <c r="D55" s="63"/>
      <c r="E55" s="52"/>
      <c r="F55" s="52"/>
      <c r="G55" s="52"/>
      <c r="H55" s="52"/>
      <c r="I55" s="52"/>
      <c r="J55" s="63"/>
      <c r="K55" s="63"/>
      <c r="L55" s="52"/>
      <c r="M55" s="63"/>
      <c r="N55" s="72" t="s">
        <v>204</v>
      </c>
      <c r="O55" s="65"/>
      <c r="P55" s="66"/>
      <c r="Q55" s="67"/>
      <c r="R55" s="68"/>
      <c r="S55" s="69">
        <f>SUBTOTAL(9,S45:S54)</f>
        <v>3210</v>
      </c>
      <c r="T55" s="69">
        <f t="shared" ref="T55:BA55" si="17">SUBTOTAL(9,T45:T54)</f>
        <v>0</v>
      </c>
      <c r="U55" s="69">
        <f t="shared" si="17"/>
        <v>0</v>
      </c>
      <c r="V55" s="69">
        <f t="shared" si="17"/>
        <v>0</v>
      </c>
      <c r="W55" s="69">
        <f t="shared" si="17"/>
        <v>0</v>
      </c>
      <c r="X55" s="69">
        <f t="shared" si="17"/>
        <v>0</v>
      </c>
      <c r="Y55" s="69">
        <f t="shared" si="17"/>
        <v>0</v>
      </c>
      <c r="Z55" s="69">
        <f t="shared" si="17"/>
        <v>0</v>
      </c>
      <c r="AA55" s="69">
        <f t="shared" si="17"/>
        <v>0</v>
      </c>
      <c r="AB55" s="69">
        <f t="shared" si="17"/>
        <v>0</v>
      </c>
      <c r="AC55" s="69">
        <f t="shared" si="17"/>
        <v>0</v>
      </c>
      <c r="AD55" s="69">
        <f t="shared" si="17"/>
        <v>0</v>
      </c>
      <c r="AE55" s="69">
        <f t="shared" si="17"/>
        <v>0</v>
      </c>
      <c r="AF55" s="69">
        <f t="shared" si="17"/>
        <v>0</v>
      </c>
      <c r="AG55" s="69">
        <f t="shared" si="17"/>
        <v>0</v>
      </c>
      <c r="AH55" s="69">
        <f t="shared" si="17"/>
        <v>0</v>
      </c>
      <c r="AI55" s="69">
        <f t="shared" si="17"/>
        <v>0</v>
      </c>
      <c r="AJ55" s="69">
        <f t="shared" si="17"/>
        <v>42</v>
      </c>
      <c r="AK55" s="69">
        <f t="shared" si="17"/>
        <v>24</v>
      </c>
      <c r="AL55" s="69">
        <f t="shared" si="17"/>
        <v>60</v>
      </c>
      <c r="AM55" s="69">
        <f t="shared" si="17"/>
        <v>36</v>
      </c>
      <c r="AN55" s="69">
        <f t="shared" si="17"/>
        <v>36</v>
      </c>
      <c r="AO55" s="69">
        <f t="shared" si="17"/>
        <v>216</v>
      </c>
      <c r="AP55" s="69">
        <f t="shared" si="17"/>
        <v>258</v>
      </c>
      <c r="AQ55" s="69">
        <f t="shared" si="17"/>
        <v>354</v>
      </c>
      <c r="AR55" s="69">
        <f t="shared" si="17"/>
        <v>426</v>
      </c>
      <c r="AS55" s="69">
        <f t="shared" si="17"/>
        <v>456</v>
      </c>
      <c r="AT55" s="69">
        <f t="shared" si="17"/>
        <v>480</v>
      </c>
      <c r="AU55" s="69">
        <f t="shared" si="17"/>
        <v>420</v>
      </c>
      <c r="AV55" s="69">
        <f t="shared" si="17"/>
        <v>402</v>
      </c>
      <c r="AW55" s="69">
        <f t="shared" si="17"/>
        <v>0</v>
      </c>
      <c r="AX55" s="69">
        <f t="shared" si="17"/>
        <v>0</v>
      </c>
      <c r="AY55" s="69">
        <f t="shared" si="17"/>
        <v>0</v>
      </c>
      <c r="AZ55" s="69">
        <f t="shared" si="17"/>
        <v>0</v>
      </c>
      <c r="BA55" s="69">
        <f t="shared" si="17"/>
        <v>0</v>
      </c>
    </row>
    <row r="56" spans="1:53" s="60" customFormat="1" ht="15" customHeight="1" outlineLevel="2" x14ac:dyDescent="0.45">
      <c r="A56" s="48">
        <v>4509529624</v>
      </c>
      <c r="B56" s="49">
        <v>70</v>
      </c>
      <c r="C56" s="49" t="s">
        <v>205</v>
      </c>
      <c r="D56" s="50"/>
      <c r="E56" s="51" t="s">
        <v>165</v>
      </c>
      <c r="F56" s="51" t="s">
        <v>150</v>
      </c>
      <c r="G56" s="51">
        <v>1014</v>
      </c>
      <c r="H56" s="51" t="s">
        <v>118</v>
      </c>
      <c r="I56" s="51" t="s">
        <v>152</v>
      </c>
      <c r="J56" s="50"/>
      <c r="K56" s="50">
        <v>45220</v>
      </c>
      <c r="L56" s="52" t="s">
        <v>206</v>
      </c>
      <c r="M56" s="50">
        <v>45091</v>
      </c>
      <c r="N56" s="53" t="str">
        <f>+LEFT(L56,5)</f>
        <v>T3M23</v>
      </c>
      <c r="O56" s="54" t="s">
        <v>167</v>
      </c>
      <c r="P56" s="55" t="s">
        <v>155</v>
      </c>
      <c r="Q56" s="56" t="s">
        <v>102</v>
      </c>
      <c r="R56" s="57" t="s">
        <v>103</v>
      </c>
      <c r="S56" s="58">
        <f t="shared" si="0"/>
        <v>1074</v>
      </c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>
        <v>72</v>
      </c>
      <c r="AK56" s="58">
        <v>42</v>
      </c>
      <c r="AL56" s="58">
        <v>78</v>
      </c>
      <c r="AM56" s="58">
        <v>42</v>
      </c>
      <c r="AN56" s="59">
        <v>78</v>
      </c>
      <c r="AO56" s="59">
        <v>54</v>
      </c>
      <c r="AP56" s="59">
        <v>90</v>
      </c>
      <c r="AQ56" s="59">
        <v>78</v>
      </c>
      <c r="AR56" s="59">
        <v>102</v>
      </c>
      <c r="AS56" s="59">
        <v>90</v>
      </c>
      <c r="AT56" s="59">
        <v>120</v>
      </c>
      <c r="AU56" s="59">
        <v>96</v>
      </c>
      <c r="AV56" s="58">
        <v>132</v>
      </c>
      <c r="AW56" s="58"/>
      <c r="AX56" s="58"/>
      <c r="AY56" s="59"/>
      <c r="AZ56" s="59"/>
      <c r="BA56" s="59"/>
    </row>
    <row r="57" spans="1:53" s="60" customFormat="1" ht="15" customHeight="1" outlineLevel="2" x14ac:dyDescent="0.45">
      <c r="A57" s="48">
        <v>4509529624</v>
      </c>
      <c r="B57" s="49">
        <v>60</v>
      </c>
      <c r="C57" s="49" t="s">
        <v>207</v>
      </c>
      <c r="D57" s="50"/>
      <c r="E57" s="51" t="s">
        <v>165</v>
      </c>
      <c r="F57" s="51" t="s">
        <v>150</v>
      </c>
      <c r="G57" s="51">
        <v>1014</v>
      </c>
      <c r="H57" s="51" t="s">
        <v>118</v>
      </c>
      <c r="I57" s="51" t="s">
        <v>152</v>
      </c>
      <c r="J57" s="50"/>
      <c r="K57" s="50">
        <v>45227</v>
      </c>
      <c r="L57" s="52" t="s">
        <v>208</v>
      </c>
      <c r="M57" s="50">
        <v>45091</v>
      </c>
      <c r="N57" s="53" t="str">
        <f>+LEFT(L57,5)</f>
        <v>T3M23</v>
      </c>
      <c r="O57" s="54" t="s">
        <v>167</v>
      </c>
      <c r="P57" s="55" t="s">
        <v>155</v>
      </c>
      <c r="Q57" s="56" t="s">
        <v>667</v>
      </c>
      <c r="R57" s="57" t="s">
        <v>103</v>
      </c>
      <c r="S57" s="58">
        <f t="shared" si="0"/>
        <v>570</v>
      </c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>
        <v>42</v>
      </c>
      <c r="AK57" s="58">
        <v>18</v>
      </c>
      <c r="AL57" s="58">
        <v>42</v>
      </c>
      <c r="AM57" s="58">
        <v>24</v>
      </c>
      <c r="AN57" s="59">
        <v>42</v>
      </c>
      <c r="AO57" s="59">
        <v>30</v>
      </c>
      <c r="AP57" s="59">
        <v>48</v>
      </c>
      <c r="AQ57" s="59">
        <v>36</v>
      </c>
      <c r="AR57" s="59">
        <v>54</v>
      </c>
      <c r="AS57" s="59">
        <v>48</v>
      </c>
      <c r="AT57" s="59">
        <v>66</v>
      </c>
      <c r="AU57" s="59">
        <v>54</v>
      </c>
      <c r="AV57" s="58">
        <v>66</v>
      </c>
      <c r="AW57" s="58"/>
      <c r="AX57" s="58"/>
      <c r="AY57" s="59"/>
      <c r="AZ57" s="59"/>
      <c r="BA57" s="59"/>
    </row>
    <row r="58" spans="1:53" s="60" customFormat="1" ht="15" customHeight="1" outlineLevel="2" x14ac:dyDescent="0.45">
      <c r="A58" s="48">
        <v>6000729852</v>
      </c>
      <c r="B58" s="49">
        <v>100</v>
      </c>
      <c r="C58" s="49" t="s">
        <v>209</v>
      </c>
      <c r="D58" s="50"/>
      <c r="E58" s="51"/>
      <c r="F58" s="51" t="s">
        <v>150</v>
      </c>
      <c r="G58" s="51">
        <v>1025</v>
      </c>
      <c r="H58" s="51" t="s">
        <v>108</v>
      </c>
      <c r="I58" s="51" t="s">
        <v>152</v>
      </c>
      <c r="J58" s="50"/>
      <c r="K58" s="50">
        <v>45227</v>
      </c>
      <c r="L58" s="52" t="s">
        <v>210</v>
      </c>
      <c r="M58" s="50">
        <v>45091</v>
      </c>
      <c r="N58" s="53" t="str">
        <f>+LEFT(L58,5)</f>
        <v>T3M23</v>
      </c>
      <c r="O58" s="54" t="s">
        <v>167</v>
      </c>
      <c r="P58" s="55" t="s">
        <v>155</v>
      </c>
      <c r="Q58" s="56" t="s">
        <v>211</v>
      </c>
      <c r="R58" s="57" t="s">
        <v>103</v>
      </c>
      <c r="S58" s="58">
        <f t="shared" si="0"/>
        <v>3000</v>
      </c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9"/>
      <c r="AO58" s="59">
        <v>159</v>
      </c>
      <c r="AP58" s="59">
        <v>424</v>
      </c>
      <c r="AQ58" s="59">
        <v>198</v>
      </c>
      <c r="AR58" s="59">
        <v>707</v>
      </c>
      <c r="AS58" s="59">
        <v>385</v>
      </c>
      <c r="AT58" s="59">
        <v>598</v>
      </c>
      <c r="AU58" s="59">
        <v>108</v>
      </c>
      <c r="AV58" s="58">
        <v>421</v>
      </c>
      <c r="AW58" s="58"/>
      <c r="AX58" s="58"/>
      <c r="AY58" s="59"/>
      <c r="AZ58" s="59"/>
      <c r="BA58" s="59"/>
    </row>
    <row r="59" spans="1:53" s="60" customFormat="1" ht="15" customHeight="1" outlineLevel="2" x14ac:dyDescent="0.45">
      <c r="A59" s="48">
        <v>4509529624</v>
      </c>
      <c r="B59" s="49" t="s">
        <v>664</v>
      </c>
      <c r="C59" s="49" t="s">
        <v>665</v>
      </c>
      <c r="D59" s="50"/>
      <c r="E59" s="51" t="s">
        <v>165</v>
      </c>
      <c r="F59" s="51" t="s">
        <v>150</v>
      </c>
      <c r="G59" s="51">
        <v>433959</v>
      </c>
      <c r="H59" s="51" t="s">
        <v>118</v>
      </c>
      <c r="I59" s="51" t="s">
        <v>152</v>
      </c>
      <c r="J59" s="50"/>
      <c r="K59" s="50">
        <v>45227</v>
      </c>
      <c r="L59" s="52" t="s">
        <v>663</v>
      </c>
      <c r="M59" s="50">
        <v>45091</v>
      </c>
      <c r="N59" s="53" t="str">
        <f>+LEFT(L59,5)</f>
        <v>T3M23</v>
      </c>
      <c r="O59" s="54" t="s">
        <v>167</v>
      </c>
      <c r="P59" s="55" t="s">
        <v>155</v>
      </c>
      <c r="Q59" s="56" t="s">
        <v>666</v>
      </c>
      <c r="R59" s="57" t="s">
        <v>103</v>
      </c>
      <c r="S59" s="58">
        <f t="shared" ref="S59" si="18">SUM(T59:BA59)</f>
        <v>138</v>
      </c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>
        <v>6</v>
      </c>
      <c r="AK59" s="58">
        <v>6</v>
      </c>
      <c r="AL59" s="58">
        <v>12</v>
      </c>
      <c r="AM59" s="58">
        <v>6</v>
      </c>
      <c r="AN59" s="59">
        <v>12</v>
      </c>
      <c r="AO59" s="59">
        <v>6</v>
      </c>
      <c r="AP59" s="59">
        <v>12</v>
      </c>
      <c r="AQ59" s="59">
        <v>12</v>
      </c>
      <c r="AR59" s="59">
        <v>12</v>
      </c>
      <c r="AS59" s="59">
        <v>12</v>
      </c>
      <c r="AT59" s="59">
        <v>12</v>
      </c>
      <c r="AU59" s="59">
        <v>12</v>
      </c>
      <c r="AV59" s="58">
        <v>18</v>
      </c>
      <c r="AW59" s="58"/>
      <c r="AX59" s="58"/>
      <c r="AY59" s="59"/>
      <c r="AZ59" s="59"/>
      <c r="BA59" s="59"/>
    </row>
    <row r="60" spans="1:53" s="71" customFormat="1" ht="15" customHeight="1" outlineLevel="1" x14ac:dyDescent="0.45">
      <c r="A60" s="61"/>
      <c r="B60" s="62"/>
      <c r="C60" s="62"/>
      <c r="D60" s="63"/>
      <c r="E60" s="52"/>
      <c r="F60" s="52"/>
      <c r="G60" s="52"/>
      <c r="H60" s="52"/>
      <c r="I60" s="52"/>
      <c r="J60" s="63"/>
      <c r="K60" s="63"/>
      <c r="L60" s="52"/>
      <c r="M60" s="63"/>
      <c r="N60" s="72" t="s">
        <v>212</v>
      </c>
      <c r="O60" s="65"/>
      <c r="P60" s="66"/>
      <c r="Q60" s="67"/>
      <c r="R60" s="68"/>
      <c r="S60" s="69">
        <f>SUBTOTAL(9,S56:S59)</f>
        <v>4782</v>
      </c>
      <c r="T60" s="69">
        <f t="shared" ref="T60:BA60" si="19">SUBTOTAL(9,T56:T59)</f>
        <v>0</v>
      </c>
      <c r="U60" s="69">
        <f t="shared" si="19"/>
        <v>0</v>
      </c>
      <c r="V60" s="69">
        <f t="shared" si="19"/>
        <v>0</v>
      </c>
      <c r="W60" s="69">
        <f t="shared" si="19"/>
        <v>0</v>
      </c>
      <c r="X60" s="69">
        <f t="shared" si="19"/>
        <v>0</v>
      </c>
      <c r="Y60" s="69">
        <f t="shared" si="19"/>
        <v>0</v>
      </c>
      <c r="Z60" s="69">
        <f t="shared" si="19"/>
        <v>0</v>
      </c>
      <c r="AA60" s="69">
        <f t="shared" si="19"/>
        <v>0</v>
      </c>
      <c r="AB60" s="69">
        <f t="shared" si="19"/>
        <v>0</v>
      </c>
      <c r="AC60" s="69">
        <f t="shared" si="19"/>
        <v>0</v>
      </c>
      <c r="AD60" s="69">
        <f t="shared" si="19"/>
        <v>0</v>
      </c>
      <c r="AE60" s="69">
        <f t="shared" si="19"/>
        <v>0</v>
      </c>
      <c r="AF60" s="69">
        <f t="shared" si="19"/>
        <v>0</v>
      </c>
      <c r="AG60" s="69">
        <f t="shared" si="19"/>
        <v>0</v>
      </c>
      <c r="AH60" s="69">
        <f t="shared" si="19"/>
        <v>0</v>
      </c>
      <c r="AI60" s="69">
        <f t="shared" si="19"/>
        <v>0</v>
      </c>
      <c r="AJ60" s="69">
        <f t="shared" si="19"/>
        <v>120</v>
      </c>
      <c r="AK60" s="69">
        <f t="shared" si="19"/>
        <v>66</v>
      </c>
      <c r="AL60" s="69">
        <f t="shared" si="19"/>
        <v>132</v>
      </c>
      <c r="AM60" s="69">
        <f t="shared" si="19"/>
        <v>72</v>
      </c>
      <c r="AN60" s="69">
        <f t="shared" si="19"/>
        <v>132</v>
      </c>
      <c r="AO60" s="69">
        <f t="shared" si="19"/>
        <v>249</v>
      </c>
      <c r="AP60" s="69">
        <f t="shared" si="19"/>
        <v>574</v>
      </c>
      <c r="AQ60" s="69">
        <f t="shared" si="19"/>
        <v>324</v>
      </c>
      <c r="AR60" s="69">
        <f t="shared" si="19"/>
        <v>875</v>
      </c>
      <c r="AS60" s="69">
        <f t="shared" si="19"/>
        <v>535</v>
      </c>
      <c r="AT60" s="69">
        <f t="shared" si="19"/>
        <v>796</v>
      </c>
      <c r="AU60" s="69">
        <f t="shared" si="19"/>
        <v>270</v>
      </c>
      <c r="AV60" s="69">
        <f t="shared" si="19"/>
        <v>637</v>
      </c>
      <c r="AW60" s="69">
        <f t="shared" si="19"/>
        <v>0</v>
      </c>
      <c r="AX60" s="69">
        <f t="shared" si="19"/>
        <v>0</v>
      </c>
      <c r="AY60" s="69">
        <f t="shared" si="19"/>
        <v>0</v>
      </c>
      <c r="AZ60" s="69">
        <f t="shared" si="19"/>
        <v>0</v>
      </c>
      <c r="BA60" s="69">
        <f t="shared" si="19"/>
        <v>0</v>
      </c>
    </row>
    <row r="61" spans="1:53" s="60" customFormat="1" ht="15" customHeight="1" outlineLevel="2" x14ac:dyDescent="0.45">
      <c r="A61" s="48">
        <v>6000729852</v>
      </c>
      <c r="B61" s="49">
        <v>200</v>
      </c>
      <c r="C61" s="49" t="s">
        <v>213</v>
      </c>
      <c r="D61" s="50"/>
      <c r="E61" s="51"/>
      <c r="F61" s="51" t="s">
        <v>150</v>
      </c>
      <c r="G61" s="51">
        <v>1025</v>
      </c>
      <c r="H61" s="51" t="s">
        <v>108</v>
      </c>
      <c r="I61" s="51" t="s">
        <v>152</v>
      </c>
      <c r="J61" s="50"/>
      <c r="K61" s="50">
        <v>45227</v>
      </c>
      <c r="L61" s="52" t="s">
        <v>214</v>
      </c>
      <c r="M61" s="50">
        <v>45091</v>
      </c>
      <c r="N61" s="53" t="str">
        <f>+LEFT(L61,5)</f>
        <v>T3M24</v>
      </c>
      <c r="O61" s="54" t="s">
        <v>167</v>
      </c>
      <c r="P61" s="55" t="s">
        <v>155</v>
      </c>
      <c r="Q61" s="56" t="s">
        <v>156</v>
      </c>
      <c r="R61" s="57" t="s">
        <v>103</v>
      </c>
      <c r="S61" s="58">
        <f t="shared" si="0"/>
        <v>0</v>
      </c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9"/>
      <c r="AO61" s="59"/>
      <c r="AP61" s="59"/>
      <c r="AQ61" s="59"/>
      <c r="AR61" s="59"/>
      <c r="AS61" s="59"/>
      <c r="AT61" s="59"/>
      <c r="AU61" s="59"/>
      <c r="AV61" s="58"/>
      <c r="AW61" s="58"/>
      <c r="AX61" s="58"/>
      <c r="AY61" s="59"/>
      <c r="AZ61" s="59"/>
      <c r="BA61" s="59"/>
    </row>
    <row r="62" spans="1:53" s="71" customFormat="1" ht="15" customHeight="1" outlineLevel="1" x14ac:dyDescent="0.45">
      <c r="A62" s="61"/>
      <c r="B62" s="62"/>
      <c r="C62" s="62"/>
      <c r="D62" s="63"/>
      <c r="E62" s="52"/>
      <c r="F62" s="52"/>
      <c r="G62" s="52"/>
      <c r="H62" s="52"/>
      <c r="I62" s="52"/>
      <c r="J62" s="63"/>
      <c r="K62" s="63"/>
      <c r="L62" s="52"/>
      <c r="M62" s="63"/>
      <c r="N62" s="72" t="s">
        <v>215</v>
      </c>
      <c r="O62" s="65"/>
      <c r="P62" s="66"/>
      <c r="Q62" s="67"/>
      <c r="R62" s="68"/>
      <c r="S62" s="69">
        <f t="shared" ref="S62:BA62" si="20">SUBTOTAL(9,S61:S61)</f>
        <v>0</v>
      </c>
      <c r="T62" s="69">
        <f t="shared" si="20"/>
        <v>0</v>
      </c>
      <c r="U62" s="69">
        <f t="shared" si="20"/>
        <v>0</v>
      </c>
      <c r="V62" s="69">
        <f t="shared" si="20"/>
        <v>0</v>
      </c>
      <c r="W62" s="69">
        <f t="shared" si="20"/>
        <v>0</v>
      </c>
      <c r="X62" s="69">
        <f t="shared" si="20"/>
        <v>0</v>
      </c>
      <c r="Y62" s="69">
        <f t="shared" si="20"/>
        <v>0</v>
      </c>
      <c r="Z62" s="69">
        <f t="shared" si="20"/>
        <v>0</v>
      </c>
      <c r="AA62" s="69">
        <f t="shared" si="20"/>
        <v>0</v>
      </c>
      <c r="AB62" s="69">
        <f t="shared" si="20"/>
        <v>0</v>
      </c>
      <c r="AC62" s="69">
        <f t="shared" si="20"/>
        <v>0</v>
      </c>
      <c r="AD62" s="69">
        <f t="shared" si="20"/>
        <v>0</v>
      </c>
      <c r="AE62" s="69">
        <f t="shared" si="20"/>
        <v>0</v>
      </c>
      <c r="AF62" s="69">
        <f t="shared" si="20"/>
        <v>0</v>
      </c>
      <c r="AG62" s="69">
        <f t="shared" si="20"/>
        <v>0</v>
      </c>
      <c r="AH62" s="69">
        <f t="shared" si="20"/>
        <v>0</v>
      </c>
      <c r="AI62" s="69">
        <f t="shared" si="20"/>
        <v>0</v>
      </c>
      <c r="AJ62" s="69">
        <f t="shared" si="20"/>
        <v>0</v>
      </c>
      <c r="AK62" s="69">
        <f t="shared" si="20"/>
        <v>0</v>
      </c>
      <c r="AL62" s="69">
        <f t="shared" si="20"/>
        <v>0</v>
      </c>
      <c r="AM62" s="69">
        <f t="shared" si="20"/>
        <v>0</v>
      </c>
      <c r="AN62" s="70">
        <f t="shared" si="20"/>
        <v>0</v>
      </c>
      <c r="AO62" s="70">
        <f t="shared" si="20"/>
        <v>0</v>
      </c>
      <c r="AP62" s="70">
        <f t="shared" si="20"/>
        <v>0</v>
      </c>
      <c r="AQ62" s="70">
        <f t="shared" si="20"/>
        <v>0</v>
      </c>
      <c r="AR62" s="70">
        <f t="shared" si="20"/>
        <v>0</v>
      </c>
      <c r="AS62" s="70">
        <f t="shared" si="20"/>
        <v>0</v>
      </c>
      <c r="AT62" s="70">
        <f t="shared" si="20"/>
        <v>0</v>
      </c>
      <c r="AU62" s="70">
        <f t="shared" si="20"/>
        <v>0</v>
      </c>
      <c r="AV62" s="69">
        <f t="shared" si="20"/>
        <v>0</v>
      </c>
      <c r="AW62" s="69">
        <f t="shared" si="20"/>
        <v>0</v>
      </c>
      <c r="AX62" s="69">
        <f t="shared" si="20"/>
        <v>0</v>
      </c>
      <c r="AY62" s="70">
        <f t="shared" si="20"/>
        <v>0</v>
      </c>
      <c r="AZ62" s="70">
        <f t="shared" si="20"/>
        <v>0</v>
      </c>
      <c r="BA62" s="70">
        <f t="shared" si="20"/>
        <v>0</v>
      </c>
    </row>
    <row r="63" spans="1:53" s="60" customFormat="1" ht="15" customHeight="1" outlineLevel="2" x14ac:dyDescent="0.45">
      <c r="A63" s="48">
        <v>6000729854</v>
      </c>
      <c r="B63" s="49">
        <v>100</v>
      </c>
      <c r="C63" s="49" t="s">
        <v>216</v>
      </c>
      <c r="D63" s="50"/>
      <c r="E63" s="51"/>
      <c r="F63" s="51" t="s">
        <v>150</v>
      </c>
      <c r="G63" s="51">
        <v>1025</v>
      </c>
      <c r="H63" s="51" t="s">
        <v>108</v>
      </c>
      <c r="I63" s="51" t="s">
        <v>152</v>
      </c>
      <c r="J63" s="50"/>
      <c r="K63" s="50">
        <v>45213</v>
      </c>
      <c r="L63" s="52" t="s">
        <v>217</v>
      </c>
      <c r="M63" s="50">
        <v>45091</v>
      </c>
      <c r="N63" s="53" t="str">
        <f>+LEFT(L63,5)</f>
        <v>T3M25</v>
      </c>
      <c r="O63" s="54" t="s">
        <v>182</v>
      </c>
      <c r="P63" s="55" t="s">
        <v>174</v>
      </c>
      <c r="Q63" s="56" t="s">
        <v>102</v>
      </c>
      <c r="R63" s="57" t="s">
        <v>103</v>
      </c>
      <c r="S63" s="58">
        <f t="shared" si="0"/>
        <v>5592</v>
      </c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>
        <v>6</v>
      </c>
      <c r="AM63" s="58"/>
      <c r="AN63" s="59">
        <v>6</v>
      </c>
      <c r="AO63" s="59">
        <v>296</v>
      </c>
      <c r="AP63" s="59">
        <v>788</v>
      </c>
      <c r="AQ63" s="59">
        <v>369</v>
      </c>
      <c r="AR63" s="59">
        <v>1314</v>
      </c>
      <c r="AS63" s="59">
        <v>716</v>
      </c>
      <c r="AT63" s="59">
        <v>1113</v>
      </c>
      <c r="AU63" s="59">
        <v>201</v>
      </c>
      <c r="AV63" s="58">
        <v>783</v>
      </c>
      <c r="AW63" s="58"/>
      <c r="AX63" s="58"/>
      <c r="AY63" s="59"/>
      <c r="AZ63" s="59"/>
      <c r="BA63" s="59"/>
    </row>
    <row r="64" spans="1:53" s="71" customFormat="1" ht="15" customHeight="1" outlineLevel="1" x14ac:dyDescent="0.45">
      <c r="A64" s="61"/>
      <c r="B64" s="62"/>
      <c r="C64" s="62"/>
      <c r="D64" s="63"/>
      <c r="E64" s="52"/>
      <c r="F64" s="52"/>
      <c r="G64" s="52"/>
      <c r="H64" s="52"/>
      <c r="I64" s="52"/>
      <c r="J64" s="63"/>
      <c r="K64" s="63"/>
      <c r="L64" s="52"/>
      <c r="M64" s="63"/>
      <c r="N64" s="72" t="s">
        <v>218</v>
      </c>
      <c r="O64" s="65"/>
      <c r="P64" s="66"/>
      <c r="Q64" s="67"/>
      <c r="R64" s="68"/>
      <c r="S64" s="69">
        <f t="shared" ref="S64:BA64" si="21">SUBTOTAL(9,S63:S63)</f>
        <v>5592</v>
      </c>
      <c r="T64" s="69">
        <f t="shared" si="21"/>
        <v>0</v>
      </c>
      <c r="U64" s="69">
        <f t="shared" si="21"/>
        <v>0</v>
      </c>
      <c r="V64" s="69">
        <f t="shared" si="21"/>
        <v>0</v>
      </c>
      <c r="W64" s="69">
        <f t="shared" si="21"/>
        <v>0</v>
      </c>
      <c r="X64" s="69">
        <f t="shared" si="21"/>
        <v>0</v>
      </c>
      <c r="Y64" s="69">
        <f t="shared" si="21"/>
        <v>0</v>
      </c>
      <c r="Z64" s="69">
        <f t="shared" si="21"/>
        <v>0</v>
      </c>
      <c r="AA64" s="69">
        <f t="shared" si="21"/>
        <v>0</v>
      </c>
      <c r="AB64" s="69">
        <f t="shared" si="21"/>
        <v>0</v>
      </c>
      <c r="AC64" s="69">
        <f t="shared" si="21"/>
        <v>0</v>
      </c>
      <c r="AD64" s="69">
        <f t="shared" si="21"/>
        <v>0</v>
      </c>
      <c r="AE64" s="69">
        <f t="shared" si="21"/>
        <v>0</v>
      </c>
      <c r="AF64" s="69">
        <f t="shared" si="21"/>
        <v>0</v>
      </c>
      <c r="AG64" s="69">
        <f t="shared" si="21"/>
        <v>0</v>
      </c>
      <c r="AH64" s="69">
        <f t="shared" si="21"/>
        <v>0</v>
      </c>
      <c r="AI64" s="69">
        <f t="shared" si="21"/>
        <v>0</v>
      </c>
      <c r="AJ64" s="69">
        <f t="shared" si="21"/>
        <v>0</v>
      </c>
      <c r="AK64" s="69">
        <f t="shared" si="21"/>
        <v>0</v>
      </c>
      <c r="AL64" s="69">
        <f t="shared" si="21"/>
        <v>6</v>
      </c>
      <c r="AM64" s="69">
        <f t="shared" si="21"/>
        <v>0</v>
      </c>
      <c r="AN64" s="70">
        <f t="shared" si="21"/>
        <v>6</v>
      </c>
      <c r="AO64" s="70">
        <f t="shared" si="21"/>
        <v>296</v>
      </c>
      <c r="AP64" s="70">
        <f t="shared" si="21"/>
        <v>788</v>
      </c>
      <c r="AQ64" s="70">
        <f t="shared" si="21"/>
        <v>369</v>
      </c>
      <c r="AR64" s="70">
        <f t="shared" si="21"/>
        <v>1314</v>
      </c>
      <c r="AS64" s="70">
        <f t="shared" si="21"/>
        <v>716</v>
      </c>
      <c r="AT64" s="70">
        <f t="shared" si="21"/>
        <v>1113</v>
      </c>
      <c r="AU64" s="70">
        <f t="shared" si="21"/>
        <v>201</v>
      </c>
      <c r="AV64" s="69">
        <f t="shared" si="21"/>
        <v>783</v>
      </c>
      <c r="AW64" s="69">
        <f t="shared" si="21"/>
        <v>0</v>
      </c>
      <c r="AX64" s="69">
        <f t="shared" si="21"/>
        <v>0</v>
      </c>
      <c r="AY64" s="70">
        <f t="shared" si="21"/>
        <v>0</v>
      </c>
      <c r="AZ64" s="70">
        <f t="shared" si="21"/>
        <v>0</v>
      </c>
      <c r="BA64" s="70">
        <f t="shared" si="21"/>
        <v>0</v>
      </c>
    </row>
    <row r="65" spans="1:53" s="60" customFormat="1" ht="15" customHeight="1" outlineLevel="2" x14ac:dyDescent="0.45">
      <c r="A65" s="48">
        <v>4509537649</v>
      </c>
      <c r="B65" s="49">
        <v>40</v>
      </c>
      <c r="C65" s="49" t="s">
        <v>562</v>
      </c>
      <c r="D65" s="50"/>
      <c r="E65" s="51"/>
      <c r="F65" s="51" t="s">
        <v>526</v>
      </c>
      <c r="G65" s="51">
        <v>1014</v>
      </c>
      <c r="H65" s="51" t="s">
        <v>118</v>
      </c>
      <c r="I65" s="51" t="s">
        <v>98</v>
      </c>
      <c r="J65" s="50"/>
      <c r="K65" s="50">
        <v>45178</v>
      </c>
      <c r="L65" s="52" t="s">
        <v>563</v>
      </c>
      <c r="M65" s="50">
        <v>45093</v>
      </c>
      <c r="N65" s="53" t="str">
        <f>+LEFT(L65,5)</f>
        <v>T3HAX</v>
      </c>
      <c r="O65" s="54" t="s">
        <v>564</v>
      </c>
      <c r="P65" s="55" t="s">
        <v>529</v>
      </c>
      <c r="Q65" s="56" t="s">
        <v>102</v>
      </c>
      <c r="R65" s="57" t="s">
        <v>530</v>
      </c>
      <c r="S65" s="58">
        <f>SUM(T65:BA65)</f>
        <v>1158</v>
      </c>
      <c r="T65" s="58"/>
      <c r="U65" s="58"/>
      <c r="V65" s="58"/>
      <c r="W65" s="58"/>
      <c r="X65" s="58"/>
      <c r="Y65" s="58"/>
      <c r="Z65" s="58"/>
      <c r="AA65" s="58"/>
      <c r="AB65" s="58"/>
      <c r="AC65" s="58">
        <v>15</v>
      </c>
      <c r="AD65" s="58">
        <v>75</v>
      </c>
      <c r="AE65" s="58">
        <v>22</v>
      </c>
      <c r="AF65" s="58">
        <v>97</v>
      </c>
      <c r="AG65" s="58">
        <v>25</v>
      </c>
      <c r="AH65" s="58">
        <v>124</v>
      </c>
      <c r="AI65" s="58">
        <v>36</v>
      </c>
      <c r="AJ65" s="58">
        <v>146</v>
      </c>
      <c r="AK65" s="58">
        <v>83</v>
      </c>
      <c r="AL65" s="58">
        <v>260</v>
      </c>
      <c r="AM65" s="58">
        <v>87</v>
      </c>
      <c r="AN65" s="59">
        <v>188</v>
      </c>
      <c r="AO65" s="59"/>
      <c r="AP65" s="59"/>
      <c r="AQ65" s="59"/>
      <c r="AR65" s="59"/>
      <c r="AS65" s="59"/>
      <c r="AT65" s="59"/>
      <c r="AU65" s="59"/>
      <c r="AV65" s="58"/>
      <c r="AW65" s="58"/>
      <c r="AX65" s="58"/>
      <c r="AY65" s="59"/>
      <c r="AZ65" s="59"/>
      <c r="BA65" s="59"/>
    </row>
    <row r="66" spans="1:53" s="71" customFormat="1" ht="15" customHeight="1" outlineLevel="1" x14ac:dyDescent="0.45">
      <c r="A66" s="61"/>
      <c r="B66" s="62"/>
      <c r="C66" s="62"/>
      <c r="D66" s="63"/>
      <c r="E66" s="52"/>
      <c r="F66" s="52"/>
      <c r="G66" s="52"/>
      <c r="H66" s="52"/>
      <c r="I66" s="52"/>
      <c r="J66" s="63"/>
      <c r="K66" s="63"/>
      <c r="L66" s="52"/>
      <c r="M66" s="63"/>
      <c r="N66" s="64" t="s">
        <v>565</v>
      </c>
      <c r="O66" s="65"/>
      <c r="P66" s="66"/>
      <c r="Q66" s="67"/>
      <c r="R66" s="68"/>
      <c r="S66" s="69">
        <f t="shared" ref="S66:BA66" si="22">SUBTOTAL(9,S65:S65)</f>
        <v>1158</v>
      </c>
      <c r="T66" s="69">
        <f t="shared" si="22"/>
        <v>0</v>
      </c>
      <c r="U66" s="69">
        <f t="shared" si="22"/>
        <v>0</v>
      </c>
      <c r="V66" s="69">
        <f t="shared" si="22"/>
        <v>0</v>
      </c>
      <c r="W66" s="69">
        <f t="shared" si="22"/>
        <v>0</v>
      </c>
      <c r="X66" s="69">
        <f t="shared" si="22"/>
        <v>0</v>
      </c>
      <c r="Y66" s="69">
        <f t="shared" si="22"/>
        <v>0</v>
      </c>
      <c r="Z66" s="69">
        <f t="shared" si="22"/>
        <v>0</v>
      </c>
      <c r="AA66" s="69">
        <f t="shared" si="22"/>
        <v>0</v>
      </c>
      <c r="AB66" s="69">
        <f t="shared" si="22"/>
        <v>0</v>
      </c>
      <c r="AC66" s="69">
        <f t="shared" si="22"/>
        <v>15</v>
      </c>
      <c r="AD66" s="69">
        <f t="shared" si="22"/>
        <v>75</v>
      </c>
      <c r="AE66" s="69">
        <f t="shared" si="22"/>
        <v>22</v>
      </c>
      <c r="AF66" s="69">
        <f t="shared" si="22"/>
        <v>97</v>
      </c>
      <c r="AG66" s="69">
        <f t="shared" si="22"/>
        <v>25</v>
      </c>
      <c r="AH66" s="69">
        <f t="shared" si="22"/>
        <v>124</v>
      </c>
      <c r="AI66" s="69">
        <f t="shared" si="22"/>
        <v>36</v>
      </c>
      <c r="AJ66" s="69">
        <f t="shared" si="22"/>
        <v>146</v>
      </c>
      <c r="AK66" s="69">
        <f t="shared" si="22"/>
        <v>83</v>
      </c>
      <c r="AL66" s="69">
        <f t="shared" si="22"/>
        <v>260</v>
      </c>
      <c r="AM66" s="69">
        <f t="shared" si="22"/>
        <v>87</v>
      </c>
      <c r="AN66" s="70">
        <f t="shared" si="22"/>
        <v>188</v>
      </c>
      <c r="AO66" s="70">
        <f t="shared" si="22"/>
        <v>0</v>
      </c>
      <c r="AP66" s="70">
        <f t="shared" si="22"/>
        <v>0</v>
      </c>
      <c r="AQ66" s="70">
        <f t="shared" si="22"/>
        <v>0</v>
      </c>
      <c r="AR66" s="70">
        <f t="shared" si="22"/>
        <v>0</v>
      </c>
      <c r="AS66" s="70">
        <f t="shared" si="22"/>
        <v>0</v>
      </c>
      <c r="AT66" s="70">
        <f t="shared" si="22"/>
        <v>0</v>
      </c>
      <c r="AU66" s="70">
        <f t="shared" si="22"/>
        <v>0</v>
      </c>
      <c r="AV66" s="69">
        <f t="shared" si="22"/>
        <v>0</v>
      </c>
      <c r="AW66" s="69">
        <f t="shared" si="22"/>
        <v>0</v>
      </c>
      <c r="AX66" s="69">
        <f t="shared" si="22"/>
        <v>0</v>
      </c>
      <c r="AY66" s="70">
        <f t="shared" si="22"/>
        <v>0</v>
      </c>
      <c r="AZ66" s="70">
        <f t="shared" si="22"/>
        <v>0</v>
      </c>
      <c r="BA66" s="70">
        <f t="shared" si="22"/>
        <v>0</v>
      </c>
    </row>
    <row r="67" spans="1:53" s="60" customFormat="1" ht="15" customHeight="1" outlineLevel="2" x14ac:dyDescent="0.45">
      <c r="A67" s="48">
        <v>4509537649</v>
      </c>
      <c r="B67" s="49">
        <v>30</v>
      </c>
      <c r="C67" s="49" t="s">
        <v>566</v>
      </c>
      <c r="D67" s="50"/>
      <c r="E67" s="51"/>
      <c r="F67" s="51" t="s">
        <v>117</v>
      </c>
      <c r="G67" s="51">
        <v>1014</v>
      </c>
      <c r="H67" s="51" t="s">
        <v>118</v>
      </c>
      <c r="I67" s="51" t="s">
        <v>98</v>
      </c>
      <c r="J67" s="50"/>
      <c r="K67" s="50">
        <v>45192</v>
      </c>
      <c r="L67" s="52" t="s">
        <v>567</v>
      </c>
      <c r="M67" s="50">
        <v>45093</v>
      </c>
      <c r="N67" s="53" t="str">
        <f>+LEFT(L67,5)</f>
        <v>T3K82</v>
      </c>
      <c r="O67" s="54" t="s">
        <v>534</v>
      </c>
      <c r="P67" s="55" t="s">
        <v>121</v>
      </c>
      <c r="Q67" s="56" t="s">
        <v>102</v>
      </c>
      <c r="R67" s="57" t="s">
        <v>103</v>
      </c>
      <c r="S67" s="58">
        <f t="shared" ref="S67:S71" si="23">SUM(T67:BA67)</f>
        <v>3201</v>
      </c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9"/>
      <c r="AO67" s="59">
        <v>308</v>
      </c>
      <c r="AP67" s="59">
        <v>517</v>
      </c>
      <c r="AQ67" s="59">
        <v>290</v>
      </c>
      <c r="AR67" s="59">
        <v>531</v>
      </c>
      <c r="AS67" s="59">
        <v>283</v>
      </c>
      <c r="AT67" s="59">
        <v>512</v>
      </c>
      <c r="AU67" s="59">
        <v>360</v>
      </c>
      <c r="AV67" s="58">
        <v>400</v>
      </c>
      <c r="AW67" s="58"/>
      <c r="AX67" s="58"/>
      <c r="AY67" s="59"/>
      <c r="AZ67" s="59"/>
      <c r="BA67" s="59"/>
    </row>
    <row r="68" spans="1:53" s="71" customFormat="1" ht="15" customHeight="1" outlineLevel="1" x14ac:dyDescent="0.45">
      <c r="A68" s="61"/>
      <c r="B68" s="62"/>
      <c r="C68" s="62"/>
      <c r="D68" s="63"/>
      <c r="E68" s="52"/>
      <c r="F68" s="52"/>
      <c r="G68" s="52"/>
      <c r="H68" s="52"/>
      <c r="I68" s="52"/>
      <c r="J68" s="63"/>
      <c r="K68" s="63"/>
      <c r="L68" s="52"/>
      <c r="M68" s="63"/>
      <c r="N68" s="72" t="s">
        <v>568</v>
      </c>
      <c r="O68" s="65"/>
      <c r="P68" s="66"/>
      <c r="Q68" s="67"/>
      <c r="R68" s="68"/>
      <c r="S68" s="69">
        <f t="shared" ref="S68:BA68" si="24">SUBTOTAL(9,S67:S67)</f>
        <v>3201</v>
      </c>
      <c r="T68" s="69">
        <f t="shared" si="24"/>
        <v>0</v>
      </c>
      <c r="U68" s="69">
        <f t="shared" si="24"/>
        <v>0</v>
      </c>
      <c r="V68" s="69">
        <f t="shared" si="24"/>
        <v>0</v>
      </c>
      <c r="W68" s="69">
        <f t="shared" si="24"/>
        <v>0</v>
      </c>
      <c r="X68" s="69">
        <f t="shared" si="24"/>
        <v>0</v>
      </c>
      <c r="Y68" s="69">
        <f t="shared" si="24"/>
        <v>0</v>
      </c>
      <c r="Z68" s="69">
        <f t="shared" si="24"/>
        <v>0</v>
      </c>
      <c r="AA68" s="69">
        <f t="shared" si="24"/>
        <v>0</v>
      </c>
      <c r="AB68" s="69">
        <f t="shared" si="24"/>
        <v>0</v>
      </c>
      <c r="AC68" s="69">
        <f t="shared" si="24"/>
        <v>0</v>
      </c>
      <c r="AD68" s="69">
        <f t="shared" si="24"/>
        <v>0</v>
      </c>
      <c r="AE68" s="69">
        <f t="shared" si="24"/>
        <v>0</v>
      </c>
      <c r="AF68" s="69">
        <f t="shared" si="24"/>
        <v>0</v>
      </c>
      <c r="AG68" s="69">
        <f t="shared" si="24"/>
        <v>0</v>
      </c>
      <c r="AH68" s="69">
        <f t="shared" si="24"/>
        <v>0</v>
      </c>
      <c r="AI68" s="69">
        <f t="shared" si="24"/>
        <v>0</v>
      </c>
      <c r="AJ68" s="69">
        <f t="shared" si="24"/>
        <v>0</v>
      </c>
      <c r="AK68" s="69">
        <f t="shared" si="24"/>
        <v>0</v>
      </c>
      <c r="AL68" s="69">
        <f t="shared" si="24"/>
        <v>0</v>
      </c>
      <c r="AM68" s="69">
        <f t="shared" si="24"/>
        <v>0</v>
      </c>
      <c r="AN68" s="70">
        <f t="shared" si="24"/>
        <v>0</v>
      </c>
      <c r="AO68" s="70">
        <f t="shared" si="24"/>
        <v>308</v>
      </c>
      <c r="AP68" s="70">
        <f t="shared" si="24"/>
        <v>517</v>
      </c>
      <c r="AQ68" s="70">
        <f t="shared" si="24"/>
        <v>290</v>
      </c>
      <c r="AR68" s="70">
        <f t="shared" si="24"/>
        <v>531</v>
      </c>
      <c r="AS68" s="70">
        <f t="shared" si="24"/>
        <v>283</v>
      </c>
      <c r="AT68" s="70">
        <f t="shared" si="24"/>
        <v>512</v>
      </c>
      <c r="AU68" s="70">
        <f t="shared" si="24"/>
        <v>360</v>
      </c>
      <c r="AV68" s="69">
        <f t="shared" si="24"/>
        <v>400</v>
      </c>
      <c r="AW68" s="69">
        <f t="shared" si="24"/>
        <v>0</v>
      </c>
      <c r="AX68" s="69">
        <f t="shared" si="24"/>
        <v>0</v>
      </c>
      <c r="AY68" s="70">
        <f t="shared" si="24"/>
        <v>0</v>
      </c>
      <c r="AZ68" s="70">
        <f t="shared" si="24"/>
        <v>0</v>
      </c>
      <c r="BA68" s="70">
        <f t="shared" si="24"/>
        <v>0</v>
      </c>
    </row>
    <row r="69" spans="1:53" s="60" customFormat="1" ht="15" customHeight="1" outlineLevel="2" x14ac:dyDescent="0.45">
      <c r="A69" s="48">
        <v>4509537649</v>
      </c>
      <c r="B69" s="49">
        <v>20</v>
      </c>
      <c r="C69" s="49" t="s">
        <v>569</v>
      </c>
      <c r="D69" s="50"/>
      <c r="E69" s="51"/>
      <c r="F69" s="51" t="s">
        <v>117</v>
      </c>
      <c r="G69" s="51">
        <v>1014</v>
      </c>
      <c r="H69" s="51" t="s">
        <v>118</v>
      </c>
      <c r="I69" s="51" t="s">
        <v>98</v>
      </c>
      <c r="J69" s="50"/>
      <c r="K69" s="50">
        <v>45192</v>
      </c>
      <c r="L69" s="52" t="s">
        <v>570</v>
      </c>
      <c r="M69" s="50">
        <v>45093</v>
      </c>
      <c r="N69" s="53" t="str">
        <f>+LEFT(L69,5)</f>
        <v>T3K83</v>
      </c>
      <c r="O69" s="54" t="s">
        <v>120</v>
      </c>
      <c r="P69" s="55" t="s">
        <v>121</v>
      </c>
      <c r="Q69" s="56" t="s">
        <v>102</v>
      </c>
      <c r="R69" s="57" t="s">
        <v>103</v>
      </c>
      <c r="S69" s="58">
        <f t="shared" si="23"/>
        <v>1460</v>
      </c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9"/>
      <c r="AO69" s="59">
        <v>89</v>
      </c>
      <c r="AP69" s="59">
        <v>74</v>
      </c>
      <c r="AQ69" s="59">
        <v>164</v>
      </c>
      <c r="AR69" s="59">
        <v>264</v>
      </c>
      <c r="AS69" s="59">
        <v>142</v>
      </c>
      <c r="AT69" s="59">
        <v>133</v>
      </c>
      <c r="AU69" s="59">
        <v>251</v>
      </c>
      <c r="AV69" s="58">
        <v>343</v>
      </c>
      <c r="AW69" s="58"/>
      <c r="AX69" s="58"/>
      <c r="AY69" s="59"/>
      <c r="AZ69" s="59"/>
      <c r="BA69" s="59"/>
    </row>
    <row r="70" spans="1:53" s="71" customFormat="1" ht="15" customHeight="1" outlineLevel="1" x14ac:dyDescent="0.45">
      <c r="A70" s="61"/>
      <c r="B70" s="62"/>
      <c r="C70" s="62"/>
      <c r="D70" s="63"/>
      <c r="E70" s="52"/>
      <c r="F70" s="52"/>
      <c r="G70" s="52"/>
      <c r="H70" s="52"/>
      <c r="I70" s="52"/>
      <c r="J70" s="63"/>
      <c r="K70" s="63"/>
      <c r="L70" s="52"/>
      <c r="M70" s="63"/>
      <c r="N70" s="72" t="s">
        <v>571</v>
      </c>
      <c r="O70" s="65"/>
      <c r="P70" s="66"/>
      <c r="Q70" s="67"/>
      <c r="R70" s="68"/>
      <c r="S70" s="69">
        <f t="shared" ref="S70:BA70" si="25">SUBTOTAL(9,S69:S69)</f>
        <v>1460</v>
      </c>
      <c r="T70" s="69">
        <f t="shared" si="25"/>
        <v>0</v>
      </c>
      <c r="U70" s="69">
        <f t="shared" si="25"/>
        <v>0</v>
      </c>
      <c r="V70" s="69">
        <f t="shared" si="25"/>
        <v>0</v>
      </c>
      <c r="W70" s="69">
        <f t="shared" si="25"/>
        <v>0</v>
      </c>
      <c r="X70" s="69">
        <f t="shared" si="25"/>
        <v>0</v>
      </c>
      <c r="Y70" s="69">
        <f t="shared" si="25"/>
        <v>0</v>
      </c>
      <c r="Z70" s="69">
        <f t="shared" si="25"/>
        <v>0</v>
      </c>
      <c r="AA70" s="69">
        <f t="shared" si="25"/>
        <v>0</v>
      </c>
      <c r="AB70" s="69">
        <f t="shared" si="25"/>
        <v>0</v>
      </c>
      <c r="AC70" s="69">
        <f t="shared" si="25"/>
        <v>0</v>
      </c>
      <c r="AD70" s="69">
        <f t="shared" si="25"/>
        <v>0</v>
      </c>
      <c r="AE70" s="69">
        <f t="shared" si="25"/>
        <v>0</v>
      </c>
      <c r="AF70" s="69">
        <f t="shared" si="25"/>
        <v>0</v>
      </c>
      <c r="AG70" s="69">
        <f t="shared" si="25"/>
        <v>0</v>
      </c>
      <c r="AH70" s="69">
        <f t="shared" si="25"/>
        <v>0</v>
      </c>
      <c r="AI70" s="69">
        <f t="shared" si="25"/>
        <v>0</v>
      </c>
      <c r="AJ70" s="69">
        <f t="shared" si="25"/>
        <v>0</v>
      </c>
      <c r="AK70" s="69">
        <f t="shared" si="25"/>
        <v>0</v>
      </c>
      <c r="AL70" s="69">
        <f t="shared" si="25"/>
        <v>0</v>
      </c>
      <c r="AM70" s="69">
        <f t="shared" si="25"/>
        <v>0</v>
      </c>
      <c r="AN70" s="70">
        <f t="shared" si="25"/>
        <v>0</v>
      </c>
      <c r="AO70" s="70">
        <f t="shared" si="25"/>
        <v>89</v>
      </c>
      <c r="AP70" s="70">
        <f t="shared" si="25"/>
        <v>74</v>
      </c>
      <c r="AQ70" s="70">
        <f t="shared" si="25"/>
        <v>164</v>
      </c>
      <c r="AR70" s="70">
        <f t="shared" si="25"/>
        <v>264</v>
      </c>
      <c r="AS70" s="70">
        <f t="shared" si="25"/>
        <v>142</v>
      </c>
      <c r="AT70" s="70">
        <f t="shared" si="25"/>
        <v>133</v>
      </c>
      <c r="AU70" s="70">
        <f t="shared" si="25"/>
        <v>251</v>
      </c>
      <c r="AV70" s="69">
        <f t="shared" si="25"/>
        <v>343</v>
      </c>
      <c r="AW70" s="69">
        <f t="shared" si="25"/>
        <v>0</v>
      </c>
      <c r="AX70" s="69">
        <f t="shared" si="25"/>
        <v>0</v>
      </c>
      <c r="AY70" s="70">
        <f t="shared" si="25"/>
        <v>0</v>
      </c>
      <c r="AZ70" s="70">
        <f t="shared" si="25"/>
        <v>0</v>
      </c>
      <c r="BA70" s="70">
        <f t="shared" si="25"/>
        <v>0</v>
      </c>
    </row>
    <row r="71" spans="1:53" s="60" customFormat="1" ht="15" customHeight="1" outlineLevel="2" x14ac:dyDescent="0.45">
      <c r="A71" s="48">
        <v>4509537649</v>
      </c>
      <c r="B71" s="49">
        <v>10</v>
      </c>
      <c r="C71" s="49" t="s">
        <v>572</v>
      </c>
      <c r="D71" s="50"/>
      <c r="E71" s="51"/>
      <c r="F71" s="51" t="s">
        <v>117</v>
      </c>
      <c r="G71" s="51">
        <v>1014</v>
      </c>
      <c r="H71" s="51" t="s">
        <v>118</v>
      </c>
      <c r="I71" s="51" t="s">
        <v>98</v>
      </c>
      <c r="J71" s="50"/>
      <c r="K71" s="50">
        <v>45185</v>
      </c>
      <c r="L71" s="52" t="s">
        <v>573</v>
      </c>
      <c r="M71" s="50">
        <v>45093</v>
      </c>
      <c r="N71" s="53" t="str">
        <f>+LEFT(L71,5)</f>
        <v>T3K84</v>
      </c>
      <c r="O71" s="54" t="s">
        <v>574</v>
      </c>
      <c r="P71" s="55" t="s">
        <v>121</v>
      </c>
      <c r="Q71" s="56" t="s">
        <v>102</v>
      </c>
      <c r="R71" s="57" t="s">
        <v>103</v>
      </c>
      <c r="S71" s="58">
        <f t="shared" si="23"/>
        <v>1423</v>
      </c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9"/>
      <c r="AO71" s="59">
        <v>124</v>
      </c>
      <c r="AP71" s="59">
        <v>154</v>
      </c>
      <c r="AQ71" s="59">
        <v>137</v>
      </c>
      <c r="AR71" s="59">
        <v>226</v>
      </c>
      <c r="AS71" s="59">
        <v>157</v>
      </c>
      <c r="AT71" s="59">
        <v>209</v>
      </c>
      <c r="AU71" s="59">
        <v>189</v>
      </c>
      <c r="AV71" s="58">
        <v>227</v>
      </c>
      <c r="AW71" s="58"/>
      <c r="AX71" s="58"/>
      <c r="AY71" s="59"/>
      <c r="AZ71" s="59"/>
      <c r="BA71" s="59"/>
    </row>
    <row r="72" spans="1:53" s="71" customFormat="1" ht="15" customHeight="1" outlineLevel="1" x14ac:dyDescent="0.45">
      <c r="A72" s="61"/>
      <c r="B72" s="62"/>
      <c r="C72" s="62"/>
      <c r="D72" s="63"/>
      <c r="E72" s="52"/>
      <c r="F72" s="52"/>
      <c r="G72" s="52"/>
      <c r="H72" s="52"/>
      <c r="I72" s="52"/>
      <c r="J72" s="63"/>
      <c r="K72" s="63"/>
      <c r="L72" s="52"/>
      <c r="M72" s="63"/>
      <c r="N72" s="72" t="s">
        <v>575</v>
      </c>
      <c r="O72" s="65"/>
      <c r="P72" s="66"/>
      <c r="Q72" s="67"/>
      <c r="R72" s="68"/>
      <c r="S72" s="69">
        <f t="shared" ref="S72:BA72" si="26">SUBTOTAL(9,S71:S71)</f>
        <v>1423</v>
      </c>
      <c r="T72" s="69">
        <f t="shared" si="26"/>
        <v>0</v>
      </c>
      <c r="U72" s="69">
        <f t="shared" si="26"/>
        <v>0</v>
      </c>
      <c r="V72" s="69">
        <f t="shared" si="26"/>
        <v>0</v>
      </c>
      <c r="W72" s="69">
        <f t="shared" si="26"/>
        <v>0</v>
      </c>
      <c r="X72" s="69">
        <f t="shared" si="26"/>
        <v>0</v>
      </c>
      <c r="Y72" s="69">
        <f t="shared" si="26"/>
        <v>0</v>
      </c>
      <c r="Z72" s="69">
        <f t="shared" si="26"/>
        <v>0</v>
      </c>
      <c r="AA72" s="69">
        <f t="shared" si="26"/>
        <v>0</v>
      </c>
      <c r="AB72" s="69">
        <f t="shared" si="26"/>
        <v>0</v>
      </c>
      <c r="AC72" s="69">
        <f t="shared" si="26"/>
        <v>0</v>
      </c>
      <c r="AD72" s="69">
        <f t="shared" si="26"/>
        <v>0</v>
      </c>
      <c r="AE72" s="69">
        <f t="shared" si="26"/>
        <v>0</v>
      </c>
      <c r="AF72" s="69">
        <f t="shared" si="26"/>
        <v>0</v>
      </c>
      <c r="AG72" s="69">
        <f t="shared" si="26"/>
        <v>0</v>
      </c>
      <c r="AH72" s="69">
        <f t="shared" si="26"/>
        <v>0</v>
      </c>
      <c r="AI72" s="69">
        <f t="shared" si="26"/>
        <v>0</v>
      </c>
      <c r="AJ72" s="69">
        <f t="shared" si="26"/>
        <v>0</v>
      </c>
      <c r="AK72" s="69">
        <f t="shared" si="26"/>
        <v>0</v>
      </c>
      <c r="AL72" s="69">
        <f t="shared" si="26"/>
        <v>0</v>
      </c>
      <c r="AM72" s="69">
        <f t="shared" si="26"/>
        <v>0</v>
      </c>
      <c r="AN72" s="70">
        <f t="shared" si="26"/>
        <v>0</v>
      </c>
      <c r="AO72" s="70">
        <f t="shared" si="26"/>
        <v>124</v>
      </c>
      <c r="AP72" s="70">
        <f t="shared" si="26"/>
        <v>154</v>
      </c>
      <c r="AQ72" s="70">
        <f t="shared" si="26"/>
        <v>137</v>
      </c>
      <c r="AR72" s="70">
        <f t="shared" si="26"/>
        <v>226</v>
      </c>
      <c r="AS72" s="70">
        <f t="shared" si="26"/>
        <v>157</v>
      </c>
      <c r="AT72" s="70">
        <f t="shared" si="26"/>
        <v>209</v>
      </c>
      <c r="AU72" s="70">
        <f t="shared" si="26"/>
        <v>189</v>
      </c>
      <c r="AV72" s="69">
        <f t="shared" si="26"/>
        <v>227</v>
      </c>
      <c r="AW72" s="69">
        <f t="shared" si="26"/>
        <v>0</v>
      </c>
      <c r="AX72" s="69">
        <f t="shared" si="26"/>
        <v>0</v>
      </c>
      <c r="AY72" s="70">
        <f t="shared" si="26"/>
        <v>0</v>
      </c>
      <c r="AZ72" s="70">
        <f t="shared" si="26"/>
        <v>0</v>
      </c>
      <c r="BA72" s="70">
        <f t="shared" si="26"/>
        <v>0</v>
      </c>
    </row>
    <row r="73" spans="1:53" s="60" customFormat="1" ht="15" customHeight="1" outlineLevel="2" x14ac:dyDescent="0.45">
      <c r="A73" s="48">
        <v>4509541916</v>
      </c>
      <c r="B73" s="49">
        <v>100</v>
      </c>
      <c r="C73" s="49" t="s">
        <v>593</v>
      </c>
      <c r="D73" s="50"/>
      <c r="E73" s="51" t="s">
        <v>165</v>
      </c>
      <c r="F73" s="51" t="s">
        <v>150</v>
      </c>
      <c r="G73" s="51">
        <v>526079</v>
      </c>
      <c r="H73" s="51" t="s">
        <v>118</v>
      </c>
      <c r="I73" s="51" t="s">
        <v>152</v>
      </c>
      <c r="J73" s="50"/>
      <c r="K73" s="50">
        <v>45199</v>
      </c>
      <c r="L73" s="52" t="s">
        <v>594</v>
      </c>
      <c r="M73" s="50">
        <v>45097</v>
      </c>
      <c r="N73" s="53" t="str">
        <f>+LEFT(L73,5)</f>
        <v>T3K87</v>
      </c>
      <c r="O73" s="54" t="s">
        <v>167</v>
      </c>
      <c r="P73" s="55" t="s">
        <v>155</v>
      </c>
      <c r="Q73" s="56" t="s">
        <v>595</v>
      </c>
      <c r="R73" s="57" t="s">
        <v>103</v>
      </c>
      <c r="S73" s="58">
        <f>SUM(T73:BA73)</f>
        <v>1</v>
      </c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9"/>
      <c r="AO73" s="59"/>
      <c r="AP73" s="59">
        <v>1</v>
      </c>
      <c r="AQ73" s="59"/>
      <c r="AR73" s="59"/>
      <c r="AS73" s="59"/>
      <c r="AT73" s="59"/>
      <c r="AU73" s="59"/>
      <c r="AV73" s="58"/>
      <c r="AW73" s="58"/>
      <c r="AX73" s="58"/>
      <c r="AY73" s="59"/>
      <c r="AZ73" s="59"/>
      <c r="BA73" s="59"/>
    </row>
    <row r="74" spans="1:53" s="71" customFormat="1" ht="15" customHeight="1" outlineLevel="1" x14ac:dyDescent="0.45">
      <c r="A74" s="61"/>
      <c r="B74" s="62"/>
      <c r="C74" s="62"/>
      <c r="D74" s="63"/>
      <c r="E74" s="52"/>
      <c r="F74" s="52"/>
      <c r="G74" s="52"/>
      <c r="H74" s="52"/>
      <c r="I74" s="52"/>
      <c r="J74" s="63"/>
      <c r="K74" s="63"/>
      <c r="L74" s="52"/>
      <c r="M74" s="63"/>
      <c r="N74" s="72" t="s">
        <v>596</v>
      </c>
      <c r="O74" s="65"/>
      <c r="P74" s="66"/>
      <c r="Q74" s="67"/>
      <c r="R74" s="68"/>
      <c r="S74" s="69">
        <f t="shared" ref="S74:BA74" si="27">SUBTOTAL(9,S73:S73)</f>
        <v>1</v>
      </c>
      <c r="T74" s="69">
        <f t="shared" si="27"/>
        <v>0</v>
      </c>
      <c r="U74" s="69">
        <f t="shared" si="27"/>
        <v>0</v>
      </c>
      <c r="V74" s="69">
        <f t="shared" si="27"/>
        <v>0</v>
      </c>
      <c r="W74" s="69">
        <f t="shared" si="27"/>
        <v>0</v>
      </c>
      <c r="X74" s="69">
        <f t="shared" si="27"/>
        <v>0</v>
      </c>
      <c r="Y74" s="69">
        <f t="shared" si="27"/>
        <v>0</v>
      </c>
      <c r="Z74" s="69">
        <f t="shared" si="27"/>
        <v>0</v>
      </c>
      <c r="AA74" s="69">
        <f t="shared" si="27"/>
        <v>0</v>
      </c>
      <c r="AB74" s="69">
        <f t="shared" si="27"/>
        <v>0</v>
      </c>
      <c r="AC74" s="69">
        <f t="shared" si="27"/>
        <v>0</v>
      </c>
      <c r="AD74" s="69">
        <f t="shared" si="27"/>
        <v>0</v>
      </c>
      <c r="AE74" s="69">
        <f t="shared" si="27"/>
        <v>0</v>
      </c>
      <c r="AF74" s="69">
        <f t="shared" si="27"/>
        <v>0</v>
      </c>
      <c r="AG74" s="69">
        <f t="shared" si="27"/>
        <v>0</v>
      </c>
      <c r="AH74" s="69">
        <f t="shared" si="27"/>
        <v>0</v>
      </c>
      <c r="AI74" s="69">
        <f t="shared" si="27"/>
        <v>0</v>
      </c>
      <c r="AJ74" s="69">
        <f t="shared" si="27"/>
        <v>0</v>
      </c>
      <c r="AK74" s="69">
        <f t="shared" si="27"/>
        <v>0</v>
      </c>
      <c r="AL74" s="69">
        <f t="shared" si="27"/>
        <v>0</v>
      </c>
      <c r="AM74" s="69">
        <f t="shared" si="27"/>
        <v>0</v>
      </c>
      <c r="AN74" s="70">
        <f t="shared" si="27"/>
        <v>0</v>
      </c>
      <c r="AO74" s="70">
        <f t="shared" si="27"/>
        <v>0</v>
      </c>
      <c r="AP74" s="70">
        <f t="shared" si="27"/>
        <v>1</v>
      </c>
      <c r="AQ74" s="70">
        <f t="shared" si="27"/>
        <v>0</v>
      </c>
      <c r="AR74" s="70">
        <f t="shared" si="27"/>
        <v>0</v>
      </c>
      <c r="AS74" s="70">
        <f t="shared" si="27"/>
        <v>0</v>
      </c>
      <c r="AT74" s="70">
        <f t="shared" si="27"/>
        <v>0</v>
      </c>
      <c r="AU74" s="70">
        <f t="shared" si="27"/>
        <v>0</v>
      </c>
      <c r="AV74" s="69">
        <f t="shared" si="27"/>
        <v>0</v>
      </c>
      <c r="AW74" s="69">
        <f t="shared" si="27"/>
        <v>0</v>
      </c>
      <c r="AX74" s="69">
        <f t="shared" si="27"/>
        <v>0</v>
      </c>
      <c r="AY74" s="70">
        <f t="shared" si="27"/>
        <v>0</v>
      </c>
      <c r="AZ74" s="70">
        <f t="shared" si="27"/>
        <v>0</v>
      </c>
      <c r="BA74" s="70">
        <f t="shared" si="27"/>
        <v>0</v>
      </c>
    </row>
    <row r="75" spans="1:53" s="60" customFormat="1" ht="15" customHeight="1" outlineLevel="2" x14ac:dyDescent="0.45">
      <c r="A75" s="48">
        <v>4509562002</v>
      </c>
      <c r="B75" s="49">
        <v>20</v>
      </c>
      <c r="C75" s="49" t="s">
        <v>673</v>
      </c>
      <c r="D75" s="50"/>
      <c r="E75" s="51"/>
      <c r="F75" s="51" t="s">
        <v>150</v>
      </c>
      <c r="G75" s="51">
        <v>448548</v>
      </c>
      <c r="H75" s="51" t="s">
        <v>674</v>
      </c>
      <c r="I75" s="51" t="s">
        <v>152</v>
      </c>
      <c r="J75" s="50"/>
      <c r="K75" s="50">
        <v>45206</v>
      </c>
      <c r="L75" s="52" t="s">
        <v>675</v>
      </c>
      <c r="M75" s="50">
        <v>45105</v>
      </c>
      <c r="N75" s="53" t="str">
        <f>+LEFT(L75,5)</f>
        <v>T3KA6</v>
      </c>
      <c r="O75" s="54" t="s">
        <v>676</v>
      </c>
      <c r="P75" s="55" t="s">
        <v>155</v>
      </c>
      <c r="Q75" s="56" t="s">
        <v>677</v>
      </c>
      <c r="R75" s="57" t="s">
        <v>103</v>
      </c>
      <c r="S75" s="58">
        <f>SUM(T75:BA75)</f>
        <v>1</v>
      </c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9"/>
      <c r="AO75" s="59"/>
      <c r="AP75" s="59"/>
      <c r="AQ75" s="59"/>
      <c r="AR75" s="59">
        <v>1</v>
      </c>
      <c r="AS75" s="59"/>
      <c r="AT75" s="59"/>
      <c r="AU75" s="59"/>
      <c r="AV75" s="58"/>
      <c r="AW75" s="58"/>
      <c r="AX75" s="58"/>
      <c r="AY75" s="59"/>
      <c r="AZ75" s="59"/>
      <c r="BA75" s="59"/>
    </row>
    <row r="76" spans="1:53" s="71" customFormat="1" ht="15" customHeight="1" outlineLevel="1" x14ac:dyDescent="0.45">
      <c r="A76" s="61"/>
      <c r="B76" s="62"/>
      <c r="C76" s="62"/>
      <c r="D76" s="63"/>
      <c r="E76" s="52"/>
      <c r="F76" s="52"/>
      <c r="G76" s="52"/>
      <c r="H76" s="52"/>
      <c r="I76" s="52"/>
      <c r="J76" s="63"/>
      <c r="K76" s="63"/>
      <c r="L76" s="52"/>
      <c r="M76" s="63"/>
      <c r="N76" s="127" t="s">
        <v>678</v>
      </c>
      <c r="O76" s="65"/>
      <c r="P76" s="66"/>
      <c r="Q76" s="67"/>
      <c r="R76" s="68"/>
      <c r="S76" s="69">
        <f t="shared" ref="S76:BA76" si="28">SUBTOTAL(9,S75:S75)</f>
        <v>1</v>
      </c>
      <c r="T76" s="69">
        <f t="shared" si="28"/>
        <v>0</v>
      </c>
      <c r="U76" s="69">
        <f t="shared" si="28"/>
        <v>0</v>
      </c>
      <c r="V76" s="69">
        <f t="shared" si="28"/>
        <v>0</v>
      </c>
      <c r="W76" s="69">
        <f t="shared" si="28"/>
        <v>0</v>
      </c>
      <c r="X76" s="69">
        <f t="shared" si="28"/>
        <v>0</v>
      </c>
      <c r="Y76" s="69">
        <f t="shared" si="28"/>
        <v>0</v>
      </c>
      <c r="Z76" s="69">
        <f t="shared" si="28"/>
        <v>0</v>
      </c>
      <c r="AA76" s="69">
        <f t="shared" si="28"/>
        <v>0</v>
      </c>
      <c r="AB76" s="69">
        <f t="shared" si="28"/>
        <v>0</v>
      </c>
      <c r="AC76" s="69">
        <f t="shared" si="28"/>
        <v>0</v>
      </c>
      <c r="AD76" s="69">
        <f t="shared" si="28"/>
        <v>0</v>
      </c>
      <c r="AE76" s="69">
        <f t="shared" si="28"/>
        <v>0</v>
      </c>
      <c r="AF76" s="69">
        <f t="shared" si="28"/>
        <v>0</v>
      </c>
      <c r="AG76" s="69">
        <f t="shared" si="28"/>
        <v>0</v>
      </c>
      <c r="AH76" s="69">
        <f t="shared" si="28"/>
        <v>0</v>
      </c>
      <c r="AI76" s="69">
        <f t="shared" si="28"/>
        <v>0</v>
      </c>
      <c r="AJ76" s="69">
        <f t="shared" si="28"/>
        <v>0</v>
      </c>
      <c r="AK76" s="69">
        <f t="shared" si="28"/>
        <v>0</v>
      </c>
      <c r="AL76" s="69">
        <f t="shared" si="28"/>
        <v>0</v>
      </c>
      <c r="AM76" s="69">
        <f t="shared" si="28"/>
        <v>0</v>
      </c>
      <c r="AN76" s="70">
        <f t="shared" si="28"/>
        <v>0</v>
      </c>
      <c r="AO76" s="70">
        <f t="shared" si="28"/>
        <v>0</v>
      </c>
      <c r="AP76" s="70">
        <f t="shared" si="28"/>
        <v>0</v>
      </c>
      <c r="AQ76" s="70">
        <f t="shared" si="28"/>
        <v>0</v>
      </c>
      <c r="AR76" s="70">
        <f t="shared" si="28"/>
        <v>1</v>
      </c>
      <c r="AS76" s="70">
        <f t="shared" si="28"/>
        <v>0</v>
      </c>
      <c r="AT76" s="70">
        <f t="shared" si="28"/>
        <v>0</v>
      </c>
      <c r="AU76" s="70">
        <f t="shared" si="28"/>
        <v>0</v>
      </c>
      <c r="AV76" s="69">
        <f t="shared" si="28"/>
        <v>0</v>
      </c>
      <c r="AW76" s="69">
        <f t="shared" si="28"/>
        <v>0</v>
      </c>
      <c r="AX76" s="69">
        <f t="shared" si="28"/>
        <v>0</v>
      </c>
      <c r="AY76" s="70">
        <f t="shared" si="28"/>
        <v>0</v>
      </c>
      <c r="AZ76" s="70">
        <f t="shared" si="28"/>
        <v>0</v>
      </c>
      <c r="BA76" s="70">
        <f t="shared" si="28"/>
        <v>0</v>
      </c>
    </row>
    <row r="77" spans="1:53" s="60" customFormat="1" ht="15" customHeight="1" outlineLevel="2" x14ac:dyDescent="0.45">
      <c r="A77" s="48">
        <v>4509562002</v>
      </c>
      <c r="B77" s="49">
        <v>10</v>
      </c>
      <c r="C77" s="49" t="s">
        <v>679</v>
      </c>
      <c r="D77" s="50"/>
      <c r="E77" s="51"/>
      <c r="F77" s="51" t="s">
        <v>150</v>
      </c>
      <c r="G77" s="51">
        <v>448548</v>
      </c>
      <c r="H77" s="51" t="s">
        <v>674</v>
      </c>
      <c r="I77" s="51" t="s">
        <v>152</v>
      </c>
      <c r="J77" s="50"/>
      <c r="K77" s="50">
        <v>45206</v>
      </c>
      <c r="L77" s="52" t="s">
        <v>680</v>
      </c>
      <c r="M77" s="50">
        <v>45105</v>
      </c>
      <c r="N77" s="53" t="str">
        <f>+LEFT(L77,5)</f>
        <v>T3KA7</v>
      </c>
      <c r="O77" s="54" t="s">
        <v>681</v>
      </c>
      <c r="P77" s="55" t="s">
        <v>155</v>
      </c>
      <c r="Q77" s="56" t="s">
        <v>677</v>
      </c>
      <c r="R77" s="57" t="s">
        <v>103</v>
      </c>
      <c r="S77" s="58">
        <f t="shared" ref="S77:S87" si="29">SUM(T77:BA77)</f>
        <v>1</v>
      </c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9"/>
      <c r="AO77" s="59"/>
      <c r="AP77" s="59"/>
      <c r="AQ77" s="59"/>
      <c r="AR77" s="59">
        <v>1</v>
      </c>
      <c r="AS77" s="59"/>
      <c r="AT77" s="59"/>
      <c r="AU77" s="59"/>
      <c r="AV77" s="58"/>
      <c r="AW77" s="58"/>
      <c r="AX77" s="58"/>
      <c r="AY77" s="59"/>
      <c r="AZ77" s="59"/>
      <c r="BA77" s="59"/>
    </row>
    <row r="78" spans="1:53" s="71" customFormat="1" ht="15" customHeight="1" outlineLevel="1" x14ac:dyDescent="0.45">
      <c r="A78" s="61"/>
      <c r="B78" s="62"/>
      <c r="C78" s="62"/>
      <c r="D78" s="63"/>
      <c r="E78" s="52"/>
      <c r="F78" s="52"/>
      <c r="G78" s="52"/>
      <c r="H78" s="52"/>
      <c r="I78" s="52"/>
      <c r="J78" s="63"/>
      <c r="K78" s="63"/>
      <c r="L78" s="52"/>
      <c r="M78" s="63"/>
      <c r="N78" s="72" t="s">
        <v>682</v>
      </c>
      <c r="O78" s="65"/>
      <c r="P78" s="66"/>
      <c r="Q78" s="67"/>
      <c r="R78" s="68"/>
      <c r="S78" s="69">
        <f t="shared" ref="S78:BA78" si="30">SUBTOTAL(9,S77:S77)</f>
        <v>1</v>
      </c>
      <c r="T78" s="69">
        <f t="shared" si="30"/>
        <v>0</v>
      </c>
      <c r="U78" s="69">
        <f t="shared" si="30"/>
        <v>0</v>
      </c>
      <c r="V78" s="69">
        <f t="shared" si="30"/>
        <v>0</v>
      </c>
      <c r="W78" s="69">
        <f t="shared" si="30"/>
        <v>0</v>
      </c>
      <c r="X78" s="69">
        <f t="shared" si="30"/>
        <v>0</v>
      </c>
      <c r="Y78" s="69">
        <f t="shared" si="30"/>
        <v>0</v>
      </c>
      <c r="Z78" s="69">
        <f t="shared" si="30"/>
        <v>0</v>
      </c>
      <c r="AA78" s="69">
        <f t="shared" si="30"/>
        <v>0</v>
      </c>
      <c r="AB78" s="69">
        <f t="shared" si="30"/>
        <v>0</v>
      </c>
      <c r="AC78" s="69">
        <f t="shared" si="30"/>
        <v>0</v>
      </c>
      <c r="AD78" s="69">
        <f t="shared" si="30"/>
        <v>0</v>
      </c>
      <c r="AE78" s="69">
        <f t="shared" si="30"/>
        <v>0</v>
      </c>
      <c r="AF78" s="69">
        <f t="shared" si="30"/>
        <v>0</v>
      </c>
      <c r="AG78" s="69">
        <f t="shared" si="30"/>
        <v>0</v>
      </c>
      <c r="AH78" s="69">
        <f t="shared" si="30"/>
        <v>0</v>
      </c>
      <c r="AI78" s="69">
        <f t="shared" si="30"/>
        <v>0</v>
      </c>
      <c r="AJ78" s="69">
        <f t="shared" si="30"/>
        <v>0</v>
      </c>
      <c r="AK78" s="69">
        <f t="shared" si="30"/>
        <v>0</v>
      </c>
      <c r="AL78" s="69">
        <f t="shared" si="30"/>
        <v>0</v>
      </c>
      <c r="AM78" s="69">
        <f t="shared" si="30"/>
        <v>0</v>
      </c>
      <c r="AN78" s="70">
        <f t="shared" si="30"/>
        <v>0</v>
      </c>
      <c r="AO78" s="70">
        <f t="shared" si="30"/>
        <v>0</v>
      </c>
      <c r="AP78" s="70">
        <f t="shared" si="30"/>
        <v>0</v>
      </c>
      <c r="AQ78" s="70">
        <f t="shared" si="30"/>
        <v>0</v>
      </c>
      <c r="AR78" s="70">
        <f t="shared" si="30"/>
        <v>1</v>
      </c>
      <c r="AS78" s="70">
        <f t="shared" si="30"/>
        <v>0</v>
      </c>
      <c r="AT78" s="70">
        <f t="shared" si="30"/>
        <v>0</v>
      </c>
      <c r="AU78" s="70">
        <f t="shared" si="30"/>
        <v>0</v>
      </c>
      <c r="AV78" s="69">
        <f t="shared" si="30"/>
        <v>0</v>
      </c>
      <c r="AW78" s="69">
        <f t="shared" si="30"/>
        <v>0</v>
      </c>
      <c r="AX78" s="69">
        <f t="shared" si="30"/>
        <v>0</v>
      </c>
      <c r="AY78" s="70">
        <f t="shared" si="30"/>
        <v>0</v>
      </c>
      <c r="AZ78" s="70">
        <f t="shared" si="30"/>
        <v>0</v>
      </c>
      <c r="BA78" s="70">
        <f t="shared" si="30"/>
        <v>0</v>
      </c>
    </row>
    <row r="79" spans="1:53" s="60" customFormat="1" ht="15" customHeight="1" outlineLevel="2" x14ac:dyDescent="0.45">
      <c r="A79" s="48">
        <v>4509553679</v>
      </c>
      <c r="B79" s="49">
        <v>10</v>
      </c>
      <c r="C79" s="49" t="s">
        <v>683</v>
      </c>
      <c r="D79" s="50"/>
      <c r="E79" s="51"/>
      <c r="F79" s="51" t="s">
        <v>684</v>
      </c>
      <c r="G79" s="51">
        <v>1064</v>
      </c>
      <c r="H79" s="51" t="s">
        <v>5</v>
      </c>
      <c r="I79" s="51" t="s">
        <v>152</v>
      </c>
      <c r="J79" s="50"/>
      <c r="K79" s="50">
        <v>45199</v>
      </c>
      <c r="L79" s="52" t="s">
        <v>685</v>
      </c>
      <c r="M79" s="50">
        <v>45105</v>
      </c>
      <c r="N79" s="53" t="str">
        <f t="shared" ref="N79:N85" si="31">+LEFT(L79,5)</f>
        <v>T3KA8</v>
      </c>
      <c r="O79" s="54" t="s">
        <v>686</v>
      </c>
      <c r="P79" s="55" t="s">
        <v>687</v>
      </c>
      <c r="Q79" s="56" t="s">
        <v>677</v>
      </c>
      <c r="R79" s="57" t="s">
        <v>688</v>
      </c>
      <c r="S79" s="58">
        <f t="shared" si="29"/>
        <v>492</v>
      </c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>
        <v>6</v>
      </c>
      <c r="AK79" s="58">
        <v>6</v>
      </c>
      <c r="AL79" s="58">
        <v>6</v>
      </c>
      <c r="AM79" s="58">
        <v>6</v>
      </c>
      <c r="AN79" s="59">
        <v>6</v>
      </c>
      <c r="AO79" s="59">
        <v>42</v>
      </c>
      <c r="AP79" s="59">
        <v>48</v>
      </c>
      <c r="AQ79" s="59">
        <v>66</v>
      </c>
      <c r="AR79" s="59">
        <v>78</v>
      </c>
      <c r="AS79" s="59">
        <v>72</v>
      </c>
      <c r="AT79" s="59">
        <v>54</v>
      </c>
      <c r="AU79" s="59">
        <v>66</v>
      </c>
      <c r="AV79" s="58">
        <v>36</v>
      </c>
      <c r="AW79" s="58"/>
      <c r="AX79" s="58"/>
      <c r="AY79" s="59"/>
      <c r="AZ79" s="59"/>
      <c r="BA79" s="59"/>
    </row>
    <row r="80" spans="1:53" s="60" customFormat="1" ht="15" customHeight="1" outlineLevel="2" x14ac:dyDescent="0.45">
      <c r="A80" s="48">
        <v>4509560854</v>
      </c>
      <c r="B80" s="49">
        <v>10</v>
      </c>
      <c r="C80" s="49" t="s">
        <v>689</v>
      </c>
      <c r="D80" s="50"/>
      <c r="E80" s="51"/>
      <c r="F80" s="51" t="s">
        <v>684</v>
      </c>
      <c r="G80" s="51">
        <v>467424</v>
      </c>
      <c r="H80" s="51" t="s">
        <v>690</v>
      </c>
      <c r="I80" s="51" t="s">
        <v>152</v>
      </c>
      <c r="J80" s="50"/>
      <c r="K80" s="50">
        <v>45199</v>
      </c>
      <c r="L80" s="52" t="s">
        <v>691</v>
      </c>
      <c r="M80" s="50">
        <v>45105</v>
      </c>
      <c r="N80" s="53" t="str">
        <f t="shared" si="31"/>
        <v>T3KA8</v>
      </c>
      <c r="O80" s="54" t="s">
        <v>686</v>
      </c>
      <c r="P80" s="55" t="s">
        <v>687</v>
      </c>
      <c r="Q80" s="56" t="s">
        <v>677</v>
      </c>
      <c r="R80" s="57" t="s">
        <v>688</v>
      </c>
      <c r="S80" s="58">
        <f t="shared" si="29"/>
        <v>132</v>
      </c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>
        <v>4</v>
      </c>
      <c r="AK80" s="58">
        <v>2</v>
      </c>
      <c r="AL80" s="58">
        <v>6</v>
      </c>
      <c r="AM80" s="58">
        <v>2</v>
      </c>
      <c r="AN80" s="59">
        <v>6</v>
      </c>
      <c r="AO80" s="59">
        <v>6</v>
      </c>
      <c r="AP80" s="59">
        <v>8</v>
      </c>
      <c r="AQ80" s="59">
        <v>10</v>
      </c>
      <c r="AR80" s="59">
        <v>18</v>
      </c>
      <c r="AS80" s="59">
        <v>12</v>
      </c>
      <c r="AT80" s="59">
        <v>18</v>
      </c>
      <c r="AU80" s="59">
        <v>20</v>
      </c>
      <c r="AV80" s="58">
        <v>20</v>
      </c>
      <c r="AW80" s="58"/>
      <c r="AX80" s="58"/>
      <c r="AY80" s="59"/>
      <c r="AZ80" s="59"/>
      <c r="BA80" s="59"/>
    </row>
    <row r="81" spans="1:53" s="60" customFormat="1" ht="15" customHeight="1" outlineLevel="2" x14ac:dyDescent="0.45">
      <c r="A81" s="48">
        <v>4509561081</v>
      </c>
      <c r="B81" s="49">
        <v>10</v>
      </c>
      <c r="C81" s="49" t="s">
        <v>692</v>
      </c>
      <c r="D81" s="50"/>
      <c r="E81" s="51"/>
      <c r="F81" s="51" t="s">
        <v>684</v>
      </c>
      <c r="G81" s="51">
        <v>448539</v>
      </c>
      <c r="H81" s="51" t="s">
        <v>693</v>
      </c>
      <c r="I81" s="51" t="s">
        <v>152</v>
      </c>
      <c r="J81" s="50"/>
      <c r="K81" s="50">
        <v>45199</v>
      </c>
      <c r="L81" s="52" t="s">
        <v>694</v>
      </c>
      <c r="M81" s="50">
        <v>45105</v>
      </c>
      <c r="N81" s="53" t="str">
        <f t="shared" si="31"/>
        <v>T3KA8</v>
      </c>
      <c r="O81" s="54" t="s">
        <v>686</v>
      </c>
      <c r="P81" s="55" t="s">
        <v>687</v>
      </c>
      <c r="Q81" s="56" t="s">
        <v>677</v>
      </c>
      <c r="R81" s="57" t="s">
        <v>688</v>
      </c>
      <c r="S81" s="58">
        <f t="shared" si="29"/>
        <v>720</v>
      </c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>
        <v>30</v>
      </c>
      <c r="AK81" s="58">
        <v>33</v>
      </c>
      <c r="AL81" s="58">
        <v>30</v>
      </c>
      <c r="AM81" s="58">
        <v>57</v>
      </c>
      <c r="AN81" s="59">
        <v>33</v>
      </c>
      <c r="AO81" s="59">
        <v>54</v>
      </c>
      <c r="AP81" s="59">
        <v>63</v>
      </c>
      <c r="AQ81" s="59">
        <v>54</v>
      </c>
      <c r="AR81" s="59">
        <v>90</v>
      </c>
      <c r="AS81" s="59">
        <v>90</v>
      </c>
      <c r="AT81" s="59">
        <v>60</v>
      </c>
      <c r="AU81" s="59">
        <v>63</v>
      </c>
      <c r="AV81" s="58">
        <v>63</v>
      </c>
      <c r="AW81" s="58"/>
      <c r="AX81" s="58"/>
      <c r="AY81" s="59"/>
      <c r="AZ81" s="59"/>
      <c r="BA81" s="59"/>
    </row>
    <row r="82" spans="1:53" s="60" customFormat="1" ht="15" customHeight="1" outlineLevel="2" x14ac:dyDescent="0.45">
      <c r="A82" s="48">
        <v>4509553679</v>
      </c>
      <c r="B82" s="49">
        <v>20</v>
      </c>
      <c r="C82" s="49" t="s">
        <v>695</v>
      </c>
      <c r="D82" s="50"/>
      <c r="E82" s="51"/>
      <c r="F82" s="51" t="s">
        <v>684</v>
      </c>
      <c r="G82" s="51">
        <v>1064</v>
      </c>
      <c r="H82" s="51" t="s">
        <v>5</v>
      </c>
      <c r="I82" s="51" t="s">
        <v>152</v>
      </c>
      <c r="J82" s="50"/>
      <c r="K82" s="50">
        <v>45206</v>
      </c>
      <c r="L82" s="52" t="s">
        <v>696</v>
      </c>
      <c r="M82" s="50">
        <v>45105</v>
      </c>
      <c r="N82" s="53" t="str">
        <f t="shared" si="31"/>
        <v>T3KA8</v>
      </c>
      <c r="O82" s="54" t="s">
        <v>686</v>
      </c>
      <c r="P82" s="55" t="s">
        <v>687</v>
      </c>
      <c r="Q82" s="56" t="s">
        <v>677</v>
      </c>
      <c r="R82" s="57" t="s">
        <v>688</v>
      </c>
      <c r="S82" s="58">
        <f t="shared" si="29"/>
        <v>336</v>
      </c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>
        <v>6</v>
      </c>
      <c r="AK82" s="58">
        <v>6</v>
      </c>
      <c r="AL82" s="58">
        <v>6</v>
      </c>
      <c r="AM82" s="58">
        <v>6</v>
      </c>
      <c r="AN82" s="59">
        <v>6</v>
      </c>
      <c r="AO82" s="59">
        <v>12</v>
      </c>
      <c r="AP82" s="59">
        <v>30</v>
      </c>
      <c r="AQ82" s="59">
        <v>42</v>
      </c>
      <c r="AR82" s="59">
        <v>54</v>
      </c>
      <c r="AS82" s="59">
        <v>60</v>
      </c>
      <c r="AT82" s="59">
        <v>54</v>
      </c>
      <c r="AU82" s="59">
        <v>36</v>
      </c>
      <c r="AV82" s="58">
        <v>18</v>
      </c>
      <c r="AW82" s="58"/>
      <c r="AX82" s="58"/>
      <c r="AY82" s="59"/>
      <c r="AZ82" s="59"/>
      <c r="BA82" s="59"/>
    </row>
    <row r="83" spans="1:53" s="60" customFormat="1" ht="15" customHeight="1" outlineLevel="2" x14ac:dyDescent="0.45">
      <c r="A83" s="48">
        <v>4509562005</v>
      </c>
      <c r="B83" s="49">
        <v>10</v>
      </c>
      <c r="C83" s="49" t="s">
        <v>697</v>
      </c>
      <c r="D83" s="50"/>
      <c r="E83" s="51"/>
      <c r="F83" s="51" t="s">
        <v>684</v>
      </c>
      <c r="G83" s="51">
        <v>448548</v>
      </c>
      <c r="H83" s="51" t="s">
        <v>674</v>
      </c>
      <c r="I83" s="51" t="s">
        <v>152</v>
      </c>
      <c r="J83" s="50"/>
      <c r="K83" s="50">
        <v>45206</v>
      </c>
      <c r="L83" s="52" t="s">
        <v>698</v>
      </c>
      <c r="M83" s="50">
        <v>45105</v>
      </c>
      <c r="N83" s="53" t="str">
        <f t="shared" si="31"/>
        <v>T3KA8</v>
      </c>
      <c r="O83" s="54" t="s">
        <v>686</v>
      </c>
      <c r="P83" s="55" t="s">
        <v>687</v>
      </c>
      <c r="Q83" s="56" t="s">
        <v>677</v>
      </c>
      <c r="R83" s="57" t="s">
        <v>688</v>
      </c>
      <c r="S83" s="58">
        <f t="shared" si="29"/>
        <v>1</v>
      </c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9"/>
      <c r="AO83" s="59"/>
      <c r="AP83" s="59"/>
      <c r="AQ83" s="59"/>
      <c r="AR83" s="59">
        <v>1</v>
      </c>
      <c r="AS83" s="59"/>
      <c r="AT83" s="59"/>
      <c r="AU83" s="59"/>
      <c r="AV83" s="58"/>
      <c r="AW83" s="58"/>
      <c r="AX83" s="58"/>
      <c r="AY83" s="59"/>
      <c r="AZ83" s="59"/>
      <c r="BA83" s="59"/>
    </row>
    <row r="84" spans="1:53" s="60" customFormat="1" ht="15" customHeight="1" outlineLevel="2" x14ac:dyDescent="0.45">
      <c r="A84" s="48">
        <v>4509562006</v>
      </c>
      <c r="B84" s="49">
        <v>10</v>
      </c>
      <c r="C84" s="49" t="s">
        <v>699</v>
      </c>
      <c r="D84" s="50"/>
      <c r="E84" s="51"/>
      <c r="F84" s="51" t="s">
        <v>684</v>
      </c>
      <c r="G84" s="51">
        <v>523534</v>
      </c>
      <c r="H84" s="51" t="s">
        <v>674</v>
      </c>
      <c r="I84" s="51" t="s">
        <v>152</v>
      </c>
      <c r="J84" s="50"/>
      <c r="K84" s="50">
        <v>45206</v>
      </c>
      <c r="L84" s="52" t="s">
        <v>700</v>
      </c>
      <c r="M84" s="50">
        <v>45105</v>
      </c>
      <c r="N84" s="53" t="str">
        <f t="shared" si="31"/>
        <v>T3KA8</v>
      </c>
      <c r="O84" s="54" t="s">
        <v>686</v>
      </c>
      <c r="P84" s="55" t="s">
        <v>687</v>
      </c>
      <c r="Q84" s="56" t="s">
        <v>677</v>
      </c>
      <c r="R84" s="57" t="s">
        <v>688</v>
      </c>
      <c r="S84" s="58">
        <f t="shared" si="29"/>
        <v>1</v>
      </c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9"/>
      <c r="AO84" s="59"/>
      <c r="AP84" s="59"/>
      <c r="AQ84" s="59"/>
      <c r="AR84" s="59">
        <v>1</v>
      </c>
      <c r="AS84" s="59"/>
      <c r="AT84" s="59"/>
      <c r="AU84" s="59"/>
      <c r="AV84" s="58"/>
      <c r="AW84" s="58"/>
      <c r="AX84" s="58"/>
      <c r="AY84" s="59"/>
      <c r="AZ84" s="59"/>
      <c r="BA84" s="59"/>
    </row>
    <row r="85" spans="1:53" s="60" customFormat="1" ht="15" customHeight="1" outlineLevel="2" x14ac:dyDescent="0.45">
      <c r="A85" s="48">
        <v>4509557503</v>
      </c>
      <c r="B85" s="49">
        <v>10</v>
      </c>
      <c r="C85" s="49" t="s">
        <v>701</v>
      </c>
      <c r="D85" s="50"/>
      <c r="E85" s="51"/>
      <c r="F85" s="51" t="s">
        <v>684</v>
      </c>
      <c r="G85" s="51">
        <v>1042</v>
      </c>
      <c r="H85" s="51" t="s">
        <v>151</v>
      </c>
      <c r="I85" s="51" t="s">
        <v>152</v>
      </c>
      <c r="J85" s="50"/>
      <c r="K85" s="50">
        <v>45199</v>
      </c>
      <c r="L85" s="52" t="s">
        <v>702</v>
      </c>
      <c r="M85" s="50">
        <v>45105</v>
      </c>
      <c r="N85" s="53" t="str">
        <f t="shared" si="31"/>
        <v>T3KA8</v>
      </c>
      <c r="O85" s="54" t="s">
        <v>686</v>
      </c>
      <c r="P85" s="55" t="s">
        <v>687</v>
      </c>
      <c r="Q85" s="56" t="s">
        <v>1008</v>
      </c>
      <c r="R85" s="57" t="s">
        <v>688</v>
      </c>
      <c r="S85" s="58">
        <f t="shared" si="29"/>
        <v>120</v>
      </c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>
        <v>4</v>
      </c>
      <c r="AM85" s="58"/>
      <c r="AN85" s="59">
        <v>5</v>
      </c>
      <c r="AO85" s="59">
        <v>7</v>
      </c>
      <c r="AP85" s="59">
        <v>10</v>
      </c>
      <c r="AQ85" s="59">
        <v>11</v>
      </c>
      <c r="AR85" s="59">
        <v>18</v>
      </c>
      <c r="AS85" s="59">
        <v>16</v>
      </c>
      <c r="AT85" s="59">
        <v>23</v>
      </c>
      <c r="AU85" s="59">
        <v>11</v>
      </c>
      <c r="AV85" s="58">
        <v>15</v>
      </c>
      <c r="AW85" s="58"/>
      <c r="AX85" s="58"/>
      <c r="AY85" s="59"/>
      <c r="AZ85" s="59"/>
      <c r="BA85" s="59"/>
    </row>
    <row r="86" spans="1:53" s="71" customFormat="1" ht="15" customHeight="1" outlineLevel="1" x14ac:dyDescent="0.45">
      <c r="A86" s="61"/>
      <c r="B86" s="62"/>
      <c r="C86" s="62"/>
      <c r="D86" s="63"/>
      <c r="E86" s="52"/>
      <c r="F86" s="52"/>
      <c r="G86" s="52"/>
      <c r="H86" s="52"/>
      <c r="I86" s="52"/>
      <c r="J86" s="63"/>
      <c r="K86" s="63"/>
      <c r="L86" s="52"/>
      <c r="M86" s="63"/>
      <c r="N86" s="72" t="s">
        <v>703</v>
      </c>
      <c r="O86" s="65"/>
      <c r="P86" s="66"/>
      <c r="Q86" s="67"/>
      <c r="R86" s="68"/>
      <c r="S86" s="69">
        <f t="shared" ref="S86:BA86" si="32">SUBTOTAL(9,S79:S85)</f>
        <v>1802</v>
      </c>
      <c r="T86" s="69">
        <f t="shared" si="32"/>
        <v>0</v>
      </c>
      <c r="U86" s="69">
        <f t="shared" si="32"/>
        <v>0</v>
      </c>
      <c r="V86" s="69">
        <f t="shared" si="32"/>
        <v>0</v>
      </c>
      <c r="W86" s="69">
        <f t="shared" si="32"/>
        <v>0</v>
      </c>
      <c r="X86" s="69">
        <f t="shared" si="32"/>
        <v>0</v>
      </c>
      <c r="Y86" s="69">
        <f t="shared" si="32"/>
        <v>0</v>
      </c>
      <c r="Z86" s="69">
        <f t="shared" si="32"/>
        <v>0</v>
      </c>
      <c r="AA86" s="69">
        <f t="shared" si="32"/>
        <v>0</v>
      </c>
      <c r="AB86" s="69">
        <f t="shared" si="32"/>
        <v>0</v>
      </c>
      <c r="AC86" s="69">
        <f t="shared" si="32"/>
        <v>0</v>
      </c>
      <c r="AD86" s="69">
        <f t="shared" si="32"/>
        <v>0</v>
      </c>
      <c r="AE86" s="69">
        <f t="shared" si="32"/>
        <v>0</v>
      </c>
      <c r="AF86" s="69">
        <f t="shared" si="32"/>
        <v>0</v>
      </c>
      <c r="AG86" s="69">
        <f t="shared" si="32"/>
        <v>0</v>
      </c>
      <c r="AH86" s="69">
        <f t="shared" si="32"/>
        <v>0</v>
      </c>
      <c r="AI86" s="69">
        <f t="shared" si="32"/>
        <v>0</v>
      </c>
      <c r="AJ86" s="69">
        <f t="shared" si="32"/>
        <v>46</v>
      </c>
      <c r="AK86" s="69">
        <f t="shared" si="32"/>
        <v>47</v>
      </c>
      <c r="AL86" s="69">
        <f t="shared" si="32"/>
        <v>52</v>
      </c>
      <c r="AM86" s="69">
        <f t="shared" si="32"/>
        <v>71</v>
      </c>
      <c r="AN86" s="70">
        <f t="shared" si="32"/>
        <v>56</v>
      </c>
      <c r="AO86" s="70">
        <f t="shared" si="32"/>
        <v>121</v>
      </c>
      <c r="AP86" s="70">
        <f t="shared" si="32"/>
        <v>159</v>
      </c>
      <c r="AQ86" s="70">
        <f t="shared" si="32"/>
        <v>183</v>
      </c>
      <c r="AR86" s="70">
        <f t="shared" si="32"/>
        <v>260</v>
      </c>
      <c r="AS86" s="70">
        <f t="shared" si="32"/>
        <v>250</v>
      </c>
      <c r="AT86" s="70">
        <f t="shared" si="32"/>
        <v>209</v>
      </c>
      <c r="AU86" s="70">
        <f t="shared" si="32"/>
        <v>196</v>
      </c>
      <c r="AV86" s="69">
        <f t="shared" si="32"/>
        <v>152</v>
      </c>
      <c r="AW86" s="69">
        <f t="shared" si="32"/>
        <v>0</v>
      </c>
      <c r="AX86" s="69">
        <f t="shared" si="32"/>
        <v>0</v>
      </c>
      <c r="AY86" s="70">
        <f t="shared" si="32"/>
        <v>0</v>
      </c>
      <c r="AZ86" s="70">
        <f t="shared" si="32"/>
        <v>0</v>
      </c>
      <c r="BA86" s="70">
        <f t="shared" si="32"/>
        <v>0</v>
      </c>
    </row>
    <row r="87" spans="1:53" s="60" customFormat="1" ht="15" customHeight="1" outlineLevel="2" x14ac:dyDescent="0.45">
      <c r="A87" s="48">
        <v>4509560855</v>
      </c>
      <c r="B87" s="49">
        <v>10</v>
      </c>
      <c r="C87" s="49" t="s">
        <v>704</v>
      </c>
      <c r="D87" s="50"/>
      <c r="E87" s="51"/>
      <c r="F87" s="51" t="s">
        <v>684</v>
      </c>
      <c r="G87" s="51">
        <v>507048</v>
      </c>
      <c r="H87" s="51" t="s">
        <v>705</v>
      </c>
      <c r="I87" s="51" t="s">
        <v>152</v>
      </c>
      <c r="J87" s="50"/>
      <c r="K87" s="50">
        <v>45213</v>
      </c>
      <c r="L87" s="52" t="s">
        <v>706</v>
      </c>
      <c r="M87" s="50">
        <v>45105</v>
      </c>
      <c r="N87" s="53" t="str">
        <f>+LEFT(L87,5)</f>
        <v>T3M39</v>
      </c>
      <c r="O87" s="54" t="s">
        <v>686</v>
      </c>
      <c r="P87" s="55" t="s">
        <v>687</v>
      </c>
      <c r="Q87" s="56" t="s">
        <v>677</v>
      </c>
      <c r="R87" s="57" t="s">
        <v>688</v>
      </c>
      <c r="S87" s="58">
        <f t="shared" si="29"/>
        <v>552</v>
      </c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9"/>
      <c r="AO87" s="59">
        <v>24</v>
      </c>
      <c r="AP87" s="59">
        <v>48</v>
      </c>
      <c r="AQ87" s="59">
        <v>48</v>
      </c>
      <c r="AR87" s="59">
        <v>84</v>
      </c>
      <c r="AS87" s="59">
        <v>84</v>
      </c>
      <c r="AT87" s="59">
        <v>60</v>
      </c>
      <c r="AU87" s="59">
        <v>108</v>
      </c>
      <c r="AV87" s="58">
        <v>96</v>
      </c>
      <c r="AW87" s="58"/>
      <c r="AX87" s="58"/>
      <c r="AY87" s="59"/>
      <c r="AZ87" s="59"/>
      <c r="BA87" s="59"/>
    </row>
    <row r="88" spans="1:53" s="71" customFormat="1" ht="15" customHeight="1" outlineLevel="1" x14ac:dyDescent="0.45">
      <c r="A88" s="61"/>
      <c r="B88" s="62"/>
      <c r="C88" s="62"/>
      <c r="D88" s="63"/>
      <c r="E88" s="52"/>
      <c r="F88" s="52"/>
      <c r="G88" s="52"/>
      <c r="H88" s="52"/>
      <c r="I88" s="52"/>
      <c r="J88" s="63"/>
      <c r="K88" s="63"/>
      <c r="L88" s="52"/>
      <c r="M88" s="63"/>
      <c r="N88" s="72" t="s">
        <v>707</v>
      </c>
      <c r="O88" s="65"/>
      <c r="P88" s="66"/>
      <c r="Q88" s="67"/>
      <c r="R88" s="68"/>
      <c r="S88" s="69">
        <f t="shared" ref="S88:BA88" si="33">SUBTOTAL(9,S87:S87)</f>
        <v>552</v>
      </c>
      <c r="T88" s="69">
        <f t="shared" si="33"/>
        <v>0</v>
      </c>
      <c r="U88" s="69">
        <f t="shared" si="33"/>
        <v>0</v>
      </c>
      <c r="V88" s="69">
        <f t="shared" si="33"/>
        <v>0</v>
      </c>
      <c r="W88" s="69">
        <f t="shared" si="33"/>
        <v>0</v>
      </c>
      <c r="X88" s="69">
        <f t="shared" si="33"/>
        <v>0</v>
      </c>
      <c r="Y88" s="69">
        <f t="shared" si="33"/>
        <v>0</v>
      </c>
      <c r="Z88" s="69">
        <f t="shared" si="33"/>
        <v>0</v>
      </c>
      <c r="AA88" s="69">
        <f t="shared" si="33"/>
        <v>0</v>
      </c>
      <c r="AB88" s="69">
        <f t="shared" si="33"/>
        <v>0</v>
      </c>
      <c r="AC88" s="69">
        <f t="shared" si="33"/>
        <v>0</v>
      </c>
      <c r="AD88" s="69">
        <f t="shared" si="33"/>
        <v>0</v>
      </c>
      <c r="AE88" s="69">
        <f t="shared" si="33"/>
        <v>0</v>
      </c>
      <c r="AF88" s="69">
        <f t="shared" si="33"/>
        <v>0</v>
      </c>
      <c r="AG88" s="69">
        <f t="shared" si="33"/>
        <v>0</v>
      </c>
      <c r="AH88" s="69">
        <f t="shared" si="33"/>
        <v>0</v>
      </c>
      <c r="AI88" s="69">
        <f t="shared" si="33"/>
        <v>0</v>
      </c>
      <c r="AJ88" s="69">
        <f t="shared" si="33"/>
        <v>0</v>
      </c>
      <c r="AK88" s="69">
        <f t="shared" si="33"/>
        <v>0</v>
      </c>
      <c r="AL88" s="69">
        <f t="shared" si="33"/>
        <v>0</v>
      </c>
      <c r="AM88" s="69">
        <f t="shared" si="33"/>
        <v>0</v>
      </c>
      <c r="AN88" s="70">
        <f t="shared" si="33"/>
        <v>0</v>
      </c>
      <c r="AO88" s="70">
        <f t="shared" si="33"/>
        <v>24</v>
      </c>
      <c r="AP88" s="70">
        <f t="shared" si="33"/>
        <v>48</v>
      </c>
      <c r="AQ88" s="70">
        <f t="shared" si="33"/>
        <v>48</v>
      </c>
      <c r="AR88" s="70">
        <f t="shared" si="33"/>
        <v>84</v>
      </c>
      <c r="AS88" s="70">
        <f t="shared" si="33"/>
        <v>84</v>
      </c>
      <c r="AT88" s="70">
        <f t="shared" si="33"/>
        <v>60</v>
      </c>
      <c r="AU88" s="70">
        <f t="shared" si="33"/>
        <v>108</v>
      </c>
      <c r="AV88" s="69">
        <f t="shared" si="33"/>
        <v>96</v>
      </c>
      <c r="AW88" s="69">
        <f t="shared" si="33"/>
        <v>0</v>
      </c>
      <c r="AX88" s="69">
        <f t="shared" si="33"/>
        <v>0</v>
      </c>
      <c r="AY88" s="70">
        <f t="shared" si="33"/>
        <v>0</v>
      </c>
      <c r="AZ88" s="70">
        <f t="shared" si="33"/>
        <v>0</v>
      </c>
      <c r="BA88" s="70">
        <f t="shared" si="33"/>
        <v>0</v>
      </c>
    </row>
    <row r="89" spans="1:53" s="60" customFormat="1" ht="15" customHeight="1" outlineLevel="2" x14ac:dyDescent="0.45">
      <c r="A89" s="48">
        <v>4509583649</v>
      </c>
      <c r="B89" s="49">
        <v>10</v>
      </c>
      <c r="C89" s="49" t="s">
        <v>708</v>
      </c>
      <c r="D89" s="50"/>
      <c r="E89" s="51"/>
      <c r="F89" s="51" t="s">
        <v>526</v>
      </c>
      <c r="G89" s="51">
        <v>1014</v>
      </c>
      <c r="H89" s="51" t="s">
        <v>118</v>
      </c>
      <c r="I89" s="51" t="s">
        <v>98</v>
      </c>
      <c r="J89" s="50"/>
      <c r="K89" s="50">
        <v>45192</v>
      </c>
      <c r="L89" s="52" t="s">
        <v>709</v>
      </c>
      <c r="M89" s="50">
        <v>45107</v>
      </c>
      <c r="N89" s="53" t="str">
        <f>+LEFT(L89,5)</f>
        <v>T3KAD</v>
      </c>
      <c r="O89" s="54" t="s">
        <v>710</v>
      </c>
      <c r="P89" s="55" t="s">
        <v>529</v>
      </c>
      <c r="Q89" s="56" t="s">
        <v>677</v>
      </c>
      <c r="R89" s="57" t="s">
        <v>530</v>
      </c>
      <c r="S89" s="58">
        <f>SUM(T89:BA89)</f>
        <v>2542</v>
      </c>
      <c r="T89" s="58"/>
      <c r="U89" s="58"/>
      <c r="V89" s="58"/>
      <c r="W89" s="58"/>
      <c r="X89" s="58"/>
      <c r="Y89" s="58"/>
      <c r="Z89" s="58"/>
      <c r="AA89" s="58"/>
      <c r="AB89" s="58"/>
      <c r="AC89" s="58">
        <v>63</v>
      </c>
      <c r="AD89" s="58">
        <v>233</v>
      </c>
      <c r="AE89" s="58">
        <v>63</v>
      </c>
      <c r="AF89" s="58">
        <v>236</v>
      </c>
      <c r="AG89" s="58">
        <v>83</v>
      </c>
      <c r="AH89" s="58">
        <v>294</v>
      </c>
      <c r="AI89" s="58">
        <v>102</v>
      </c>
      <c r="AJ89" s="58">
        <v>336</v>
      </c>
      <c r="AK89" s="58">
        <v>193</v>
      </c>
      <c r="AL89" s="58">
        <v>344</v>
      </c>
      <c r="AM89" s="58">
        <v>217</v>
      </c>
      <c r="AN89" s="59">
        <v>378</v>
      </c>
      <c r="AO89" s="59"/>
      <c r="AP89" s="59"/>
      <c r="AQ89" s="59"/>
      <c r="AR89" s="59"/>
      <c r="AS89" s="59"/>
      <c r="AT89" s="59"/>
      <c r="AU89" s="59"/>
      <c r="AV89" s="58"/>
      <c r="AW89" s="58"/>
      <c r="AX89" s="58"/>
      <c r="AY89" s="59"/>
      <c r="AZ89" s="59"/>
      <c r="BA89" s="59"/>
    </row>
    <row r="90" spans="1:53" s="71" customFormat="1" ht="15" customHeight="1" outlineLevel="1" x14ac:dyDescent="0.45">
      <c r="A90" s="61"/>
      <c r="B90" s="62"/>
      <c r="C90" s="62"/>
      <c r="D90" s="63"/>
      <c r="E90" s="52"/>
      <c r="F90" s="52"/>
      <c r="G90" s="52"/>
      <c r="H90" s="52"/>
      <c r="I90" s="52"/>
      <c r="J90" s="63"/>
      <c r="K90" s="63"/>
      <c r="L90" s="52"/>
      <c r="M90" s="63"/>
      <c r="N90" s="64" t="s">
        <v>711</v>
      </c>
      <c r="O90" s="65"/>
      <c r="P90" s="66"/>
      <c r="Q90" s="67"/>
      <c r="R90" s="68"/>
      <c r="S90" s="69">
        <f t="shared" ref="S90:BA90" si="34">SUBTOTAL(9,S89:S89)</f>
        <v>2542</v>
      </c>
      <c r="T90" s="69">
        <f t="shared" si="34"/>
        <v>0</v>
      </c>
      <c r="U90" s="69">
        <f t="shared" si="34"/>
        <v>0</v>
      </c>
      <c r="V90" s="69">
        <f t="shared" si="34"/>
        <v>0</v>
      </c>
      <c r="W90" s="69">
        <f t="shared" si="34"/>
        <v>0</v>
      </c>
      <c r="X90" s="69">
        <f t="shared" si="34"/>
        <v>0</v>
      </c>
      <c r="Y90" s="69">
        <f t="shared" si="34"/>
        <v>0</v>
      </c>
      <c r="Z90" s="69">
        <f t="shared" si="34"/>
        <v>0</v>
      </c>
      <c r="AA90" s="69">
        <f t="shared" si="34"/>
        <v>0</v>
      </c>
      <c r="AB90" s="69">
        <f t="shared" si="34"/>
        <v>0</v>
      </c>
      <c r="AC90" s="69">
        <f t="shared" si="34"/>
        <v>63</v>
      </c>
      <c r="AD90" s="69">
        <f t="shared" si="34"/>
        <v>233</v>
      </c>
      <c r="AE90" s="69">
        <f t="shared" si="34"/>
        <v>63</v>
      </c>
      <c r="AF90" s="69">
        <f t="shared" si="34"/>
        <v>236</v>
      </c>
      <c r="AG90" s="69">
        <f t="shared" si="34"/>
        <v>83</v>
      </c>
      <c r="AH90" s="69">
        <f t="shared" si="34"/>
        <v>294</v>
      </c>
      <c r="AI90" s="69">
        <f t="shared" si="34"/>
        <v>102</v>
      </c>
      <c r="AJ90" s="69">
        <f t="shared" si="34"/>
        <v>336</v>
      </c>
      <c r="AK90" s="69">
        <f t="shared" si="34"/>
        <v>193</v>
      </c>
      <c r="AL90" s="69">
        <f t="shared" si="34"/>
        <v>344</v>
      </c>
      <c r="AM90" s="69">
        <f t="shared" si="34"/>
        <v>217</v>
      </c>
      <c r="AN90" s="70">
        <f t="shared" si="34"/>
        <v>378</v>
      </c>
      <c r="AO90" s="70">
        <f t="shared" si="34"/>
        <v>0</v>
      </c>
      <c r="AP90" s="70">
        <f t="shared" si="34"/>
        <v>0</v>
      </c>
      <c r="AQ90" s="70">
        <f t="shared" si="34"/>
        <v>0</v>
      </c>
      <c r="AR90" s="70">
        <f t="shared" si="34"/>
        <v>0</v>
      </c>
      <c r="AS90" s="70">
        <f t="shared" si="34"/>
        <v>0</v>
      </c>
      <c r="AT90" s="70">
        <f t="shared" si="34"/>
        <v>0</v>
      </c>
      <c r="AU90" s="70">
        <f t="shared" si="34"/>
        <v>0</v>
      </c>
      <c r="AV90" s="69">
        <f t="shared" si="34"/>
        <v>0</v>
      </c>
      <c r="AW90" s="69">
        <f t="shared" si="34"/>
        <v>0</v>
      </c>
      <c r="AX90" s="69">
        <f t="shared" si="34"/>
        <v>0</v>
      </c>
      <c r="AY90" s="70">
        <f t="shared" si="34"/>
        <v>0</v>
      </c>
      <c r="AZ90" s="70">
        <f t="shared" si="34"/>
        <v>0</v>
      </c>
      <c r="BA90" s="70">
        <f t="shared" si="34"/>
        <v>0</v>
      </c>
    </row>
    <row r="91" spans="1:53" s="60" customFormat="1" ht="15" customHeight="1" outlineLevel="2" x14ac:dyDescent="0.45">
      <c r="A91" s="48">
        <v>4509583649</v>
      </c>
      <c r="B91" s="49">
        <v>20</v>
      </c>
      <c r="C91" s="49" t="s">
        <v>712</v>
      </c>
      <c r="D91" s="50"/>
      <c r="E91" s="51"/>
      <c r="F91" s="51" t="s">
        <v>117</v>
      </c>
      <c r="G91" s="51">
        <v>1014</v>
      </c>
      <c r="H91" s="51" t="s">
        <v>118</v>
      </c>
      <c r="I91" s="51" t="s">
        <v>98</v>
      </c>
      <c r="J91" s="50"/>
      <c r="K91" s="50">
        <v>45192</v>
      </c>
      <c r="L91" s="52" t="s">
        <v>713</v>
      </c>
      <c r="M91" s="50">
        <v>45107</v>
      </c>
      <c r="N91" s="53" t="str">
        <f>+LEFT(L91,5)</f>
        <v>T3KAE</v>
      </c>
      <c r="O91" s="54" t="s">
        <v>714</v>
      </c>
      <c r="P91" s="55" t="s">
        <v>121</v>
      </c>
      <c r="Q91" s="56" t="s">
        <v>677</v>
      </c>
      <c r="R91" s="57" t="s">
        <v>103</v>
      </c>
      <c r="S91" s="58">
        <f>SUM(T91:BA91)</f>
        <v>305</v>
      </c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9"/>
      <c r="AO91" s="59">
        <v>42</v>
      </c>
      <c r="AP91" s="59">
        <v>50</v>
      </c>
      <c r="AQ91" s="59">
        <v>30</v>
      </c>
      <c r="AR91" s="59">
        <v>11</v>
      </c>
      <c r="AS91" s="59">
        <v>20</v>
      </c>
      <c r="AT91" s="59">
        <v>58</v>
      </c>
      <c r="AU91" s="59">
        <v>47</v>
      </c>
      <c r="AV91" s="58">
        <v>47</v>
      </c>
      <c r="AW91" s="58"/>
      <c r="AX91" s="58"/>
      <c r="AY91" s="59"/>
      <c r="AZ91" s="59"/>
      <c r="BA91" s="59"/>
    </row>
    <row r="92" spans="1:53" s="71" customFormat="1" ht="15" customHeight="1" outlineLevel="1" x14ac:dyDescent="0.45">
      <c r="A92" s="61"/>
      <c r="B92" s="62"/>
      <c r="C92" s="62"/>
      <c r="D92" s="63"/>
      <c r="E92" s="52"/>
      <c r="F92" s="52"/>
      <c r="G92" s="52"/>
      <c r="H92" s="52"/>
      <c r="I92" s="52"/>
      <c r="J92" s="63"/>
      <c r="K92" s="63"/>
      <c r="L92" s="52"/>
      <c r="M92" s="63"/>
      <c r="N92" s="64" t="s">
        <v>715</v>
      </c>
      <c r="O92" s="65"/>
      <c r="P92" s="66"/>
      <c r="Q92" s="67"/>
      <c r="R92" s="68"/>
      <c r="S92" s="69">
        <f t="shared" ref="S92:BA92" si="35">SUBTOTAL(9,S91:S91)</f>
        <v>305</v>
      </c>
      <c r="T92" s="69">
        <f t="shared" si="35"/>
        <v>0</v>
      </c>
      <c r="U92" s="69">
        <f t="shared" si="35"/>
        <v>0</v>
      </c>
      <c r="V92" s="69">
        <f t="shared" si="35"/>
        <v>0</v>
      </c>
      <c r="W92" s="69">
        <f t="shared" si="35"/>
        <v>0</v>
      </c>
      <c r="X92" s="69">
        <f t="shared" si="35"/>
        <v>0</v>
      </c>
      <c r="Y92" s="69">
        <f t="shared" si="35"/>
        <v>0</v>
      </c>
      <c r="Z92" s="69">
        <f t="shared" si="35"/>
        <v>0</v>
      </c>
      <c r="AA92" s="69">
        <f t="shared" si="35"/>
        <v>0</v>
      </c>
      <c r="AB92" s="69">
        <f t="shared" si="35"/>
        <v>0</v>
      </c>
      <c r="AC92" s="69">
        <f t="shared" si="35"/>
        <v>0</v>
      </c>
      <c r="AD92" s="69">
        <f t="shared" si="35"/>
        <v>0</v>
      </c>
      <c r="AE92" s="69">
        <f t="shared" si="35"/>
        <v>0</v>
      </c>
      <c r="AF92" s="69">
        <f t="shared" si="35"/>
        <v>0</v>
      </c>
      <c r="AG92" s="69">
        <f t="shared" si="35"/>
        <v>0</v>
      </c>
      <c r="AH92" s="69">
        <f t="shared" si="35"/>
        <v>0</v>
      </c>
      <c r="AI92" s="69">
        <f t="shared" si="35"/>
        <v>0</v>
      </c>
      <c r="AJ92" s="69">
        <f t="shared" si="35"/>
        <v>0</v>
      </c>
      <c r="AK92" s="69">
        <f t="shared" si="35"/>
        <v>0</v>
      </c>
      <c r="AL92" s="69">
        <f t="shared" si="35"/>
        <v>0</v>
      </c>
      <c r="AM92" s="69">
        <f t="shared" si="35"/>
        <v>0</v>
      </c>
      <c r="AN92" s="70">
        <f t="shared" si="35"/>
        <v>0</v>
      </c>
      <c r="AO92" s="70">
        <f t="shared" si="35"/>
        <v>42</v>
      </c>
      <c r="AP92" s="70">
        <f t="shared" si="35"/>
        <v>50</v>
      </c>
      <c r="AQ92" s="70">
        <f t="shared" si="35"/>
        <v>30</v>
      </c>
      <c r="AR92" s="70">
        <f t="shared" si="35"/>
        <v>11</v>
      </c>
      <c r="AS92" s="70">
        <f t="shared" si="35"/>
        <v>20</v>
      </c>
      <c r="AT92" s="70">
        <f t="shared" si="35"/>
        <v>58</v>
      </c>
      <c r="AU92" s="70">
        <f t="shared" si="35"/>
        <v>47</v>
      </c>
      <c r="AV92" s="69">
        <f t="shared" si="35"/>
        <v>47</v>
      </c>
      <c r="AW92" s="69">
        <f t="shared" si="35"/>
        <v>0</v>
      </c>
      <c r="AX92" s="69">
        <f t="shared" si="35"/>
        <v>0</v>
      </c>
      <c r="AY92" s="70">
        <f t="shared" si="35"/>
        <v>0</v>
      </c>
      <c r="AZ92" s="70">
        <f t="shared" si="35"/>
        <v>0</v>
      </c>
      <c r="BA92" s="70">
        <f t="shared" si="35"/>
        <v>0</v>
      </c>
    </row>
    <row r="93" spans="1:53" s="60" customFormat="1" ht="15" customHeight="1" outlineLevel="2" x14ac:dyDescent="0.45">
      <c r="A93" s="48">
        <v>4509583543</v>
      </c>
      <c r="B93" s="49">
        <v>10</v>
      </c>
      <c r="C93" s="49" t="s">
        <v>1009</v>
      </c>
      <c r="D93" s="50"/>
      <c r="E93" s="51"/>
      <c r="F93" s="51" t="s">
        <v>684</v>
      </c>
      <c r="G93" s="51">
        <v>1014</v>
      </c>
      <c r="H93" s="51" t="s">
        <v>118</v>
      </c>
      <c r="I93" s="51" t="s">
        <v>152</v>
      </c>
      <c r="J93" s="50"/>
      <c r="K93" s="50">
        <v>45206</v>
      </c>
      <c r="L93" s="52" t="s">
        <v>999</v>
      </c>
      <c r="M93" s="50">
        <v>45107</v>
      </c>
      <c r="N93" s="53" t="str">
        <f t="shared" ref="N93" si="36">+LEFT(L93,5)</f>
        <v>T3KAG</v>
      </c>
      <c r="O93" s="54" t="s">
        <v>686</v>
      </c>
      <c r="P93" s="55" t="s">
        <v>687</v>
      </c>
      <c r="Q93" s="56" t="s">
        <v>1000</v>
      </c>
      <c r="R93" s="57" t="s">
        <v>688</v>
      </c>
      <c r="S93" s="58">
        <f>SUM(T93:BA93)</f>
        <v>560</v>
      </c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>
        <v>23</v>
      </c>
      <c r="AK93" s="58">
        <v>11</v>
      </c>
      <c r="AL93" s="58">
        <v>23</v>
      </c>
      <c r="AM93" s="58">
        <v>12</v>
      </c>
      <c r="AN93" s="59">
        <v>28</v>
      </c>
      <c r="AO93" s="59">
        <v>17</v>
      </c>
      <c r="AP93" s="59">
        <v>45</v>
      </c>
      <c r="AQ93" s="59">
        <v>45</v>
      </c>
      <c r="AR93" s="59">
        <v>62</v>
      </c>
      <c r="AS93" s="59">
        <v>62</v>
      </c>
      <c r="AT93" s="59">
        <v>74</v>
      </c>
      <c r="AU93" s="59">
        <v>62</v>
      </c>
      <c r="AV93" s="58">
        <v>96</v>
      </c>
      <c r="AW93" s="58"/>
      <c r="AX93" s="58"/>
      <c r="AY93" s="59"/>
      <c r="AZ93" s="59"/>
      <c r="BA93" s="59"/>
    </row>
    <row r="94" spans="1:53" s="71" customFormat="1" ht="15" customHeight="1" outlineLevel="1" x14ac:dyDescent="0.45">
      <c r="A94" s="61"/>
      <c r="B94" s="62"/>
      <c r="C94" s="62"/>
      <c r="D94" s="63"/>
      <c r="E94" s="52"/>
      <c r="F94" s="52"/>
      <c r="G94" s="52"/>
      <c r="H94" s="52"/>
      <c r="I94" s="52"/>
      <c r="J94" s="63"/>
      <c r="K94" s="63"/>
      <c r="L94" s="52"/>
      <c r="M94" s="63"/>
      <c r="N94" s="64" t="s">
        <v>1001</v>
      </c>
      <c r="O94" s="65"/>
      <c r="P94" s="66"/>
      <c r="Q94" s="67"/>
      <c r="R94" s="68"/>
      <c r="S94" s="69">
        <f t="shared" ref="S94:BA94" si="37">SUBTOTAL(9,S93:S93)</f>
        <v>560</v>
      </c>
      <c r="T94" s="69">
        <f t="shared" si="37"/>
        <v>0</v>
      </c>
      <c r="U94" s="69">
        <f t="shared" si="37"/>
        <v>0</v>
      </c>
      <c r="V94" s="69">
        <f t="shared" si="37"/>
        <v>0</v>
      </c>
      <c r="W94" s="69">
        <f t="shared" si="37"/>
        <v>0</v>
      </c>
      <c r="X94" s="69">
        <f t="shared" si="37"/>
        <v>0</v>
      </c>
      <c r="Y94" s="69">
        <f t="shared" si="37"/>
        <v>0</v>
      </c>
      <c r="Z94" s="69">
        <f t="shared" si="37"/>
        <v>0</v>
      </c>
      <c r="AA94" s="69">
        <f t="shared" si="37"/>
        <v>0</v>
      </c>
      <c r="AB94" s="69">
        <f t="shared" si="37"/>
        <v>0</v>
      </c>
      <c r="AC94" s="69">
        <f t="shared" si="37"/>
        <v>0</v>
      </c>
      <c r="AD94" s="69">
        <f t="shared" si="37"/>
        <v>0</v>
      </c>
      <c r="AE94" s="69">
        <f t="shared" si="37"/>
        <v>0</v>
      </c>
      <c r="AF94" s="69">
        <f t="shared" si="37"/>
        <v>0</v>
      </c>
      <c r="AG94" s="69">
        <f t="shared" si="37"/>
        <v>0</v>
      </c>
      <c r="AH94" s="69">
        <f t="shared" si="37"/>
        <v>0</v>
      </c>
      <c r="AI94" s="69">
        <f t="shared" si="37"/>
        <v>0</v>
      </c>
      <c r="AJ94" s="69">
        <f t="shared" si="37"/>
        <v>23</v>
      </c>
      <c r="AK94" s="69">
        <f t="shared" si="37"/>
        <v>11</v>
      </c>
      <c r="AL94" s="69">
        <f t="shared" si="37"/>
        <v>23</v>
      </c>
      <c r="AM94" s="69">
        <f t="shared" si="37"/>
        <v>12</v>
      </c>
      <c r="AN94" s="70">
        <f t="shared" si="37"/>
        <v>28</v>
      </c>
      <c r="AO94" s="70">
        <f t="shared" si="37"/>
        <v>17</v>
      </c>
      <c r="AP94" s="70">
        <f t="shared" si="37"/>
        <v>45</v>
      </c>
      <c r="AQ94" s="70">
        <f t="shared" si="37"/>
        <v>45</v>
      </c>
      <c r="AR94" s="70">
        <f t="shared" si="37"/>
        <v>62</v>
      </c>
      <c r="AS94" s="70">
        <f t="shared" si="37"/>
        <v>62</v>
      </c>
      <c r="AT94" s="70">
        <f t="shared" si="37"/>
        <v>74</v>
      </c>
      <c r="AU94" s="70">
        <f t="shared" si="37"/>
        <v>62</v>
      </c>
      <c r="AV94" s="69">
        <f t="shared" si="37"/>
        <v>96</v>
      </c>
      <c r="AW94" s="69">
        <f t="shared" si="37"/>
        <v>0</v>
      </c>
      <c r="AX94" s="69">
        <f t="shared" si="37"/>
        <v>0</v>
      </c>
      <c r="AY94" s="70">
        <f t="shared" si="37"/>
        <v>0</v>
      </c>
      <c r="AZ94" s="70">
        <f t="shared" si="37"/>
        <v>0</v>
      </c>
      <c r="BA94" s="70">
        <f t="shared" si="37"/>
        <v>0</v>
      </c>
    </row>
    <row r="95" spans="1:53" s="60" customFormat="1" ht="15" customHeight="1" outlineLevel="2" x14ac:dyDescent="0.45">
      <c r="A95" s="48">
        <v>4509584898</v>
      </c>
      <c r="B95" s="49">
        <v>250</v>
      </c>
      <c r="C95" s="49" t="s">
        <v>1041</v>
      </c>
      <c r="D95" s="50"/>
      <c r="E95" s="51"/>
      <c r="F95" s="51" t="s">
        <v>684</v>
      </c>
      <c r="G95" s="51">
        <v>526079</v>
      </c>
      <c r="H95" s="51" t="s">
        <v>118</v>
      </c>
      <c r="I95" s="51" t="s">
        <v>152</v>
      </c>
      <c r="J95" s="50"/>
      <c r="K95" s="50">
        <v>45199</v>
      </c>
      <c r="L95" s="52" t="s">
        <v>1042</v>
      </c>
      <c r="M95" s="50">
        <v>45112</v>
      </c>
      <c r="N95" s="53" t="str">
        <f>+LEFT(L95,5)</f>
        <v>T3KAN</v>
      </c>
      <c r="O95" s="54" t="s">
        <v>686</v>
      </c>
      <c r="P95" s="55" t="s">
        <v>687</v>
      </c>
      <c r="Q95" s="56" t="s">
        <v>1000</v>
      </c>
      <c r="R95" s="57" t="s">
        <v>688</v>
      </c>
      <c r="S95" s="58">
        <f>SUM(T95:BA95)</f>
        <v>1</v>
      </c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9"/>
      <c r="AO95" s="59"/>
      <c r="AP95" s="59">
        <v>1</v>
      </c>
      <c r="AQ95" s="59"/>
      <c r="AR95" s="59"/>
      <c r="AS95" s="59"/>
      <c r="AT95" s="59"/>
      <c r="AU95" s="59"/>
      <c r="AV95" s="58"/>
      <c r="AW95" s="58"/>
      <c r="AX95" s="58"/>
      <c r="AY95" s="59"/>
      <c r="AZ95" s="59"/>
      <c r="BA95" s="59"/>
    </row>
    <row r="96" spans="1:53" s="71" customFormat="1" ht="15" customHeight="1" outlineLevel="1" x14ac:dyDescent="0.45">
      <c r="A96" s="61"/>
      <c r="B96" s="62"/>
      <c r="C96" s="62"/>
      <c r="D96" s="63"/>
      <c r="E96" s="52"/>
      <c r="F96" s="52"/>
      <c r="G96" s="52"/>
      <c r="H96" s="52"/>
      <c r="I96" s="52"/>
      <c r="J96" s="63"/>
      <c r="K96" s="63"/>
      <c r="L96" s="52"/>
      <c r="M96" s="63"/>
      <c r="N96" s="64" t="s">
        <v>1043</v>
      </c>
      <c r="O96" s="65"/>
      <c r="P96" s="66"/>
      <c r="Q96" s="67"/>
      <c r="R96" s="68"/>
      <c r="S96" s="69">
        <f t="shared" ref="S96:BA96" si="38">SUBTOTAL(9,S95:S95)</f>
        <v>1</v>
      </c>
      <c r="T96" s="69">
        <f t="shared" si="38"/>
        <v>0</v>
      </c>
      <c r="U96" s="69">
        <f t="shared" si="38"/>
        <v>0</v>
      </c>
      <c r="V96" s="69">
        <f t="shared" si="38"/>
        <v>0</v>
      </c>
      <c r="W96" s="69">
        <f t="shared" si="38"/>
        <v>0</v>
      </c>
      <c r="X96" s="69">
        <f t="shared" si="38"/>
        <v>0</v>
      </c>
      <c r="Y96" s="69">
        <f t="shared" si="38"/>
        <v>0</v>
      </c>
      <c r="Z96" s="69">
        <f t="shared" si="38"/>
        <v>0</v>
      </c>
      <c r="AA96" s="69">
        <f t="shared" si="38"/>
        <v>0</v>
      </c>
      <c r="AB96" s="69">
        <f t="shared" si="38"/>
        <v>0</v>
      </c>
      <c r="AC96" s="69">
        <f t="shared" si="38"/>
        <v>0</v>
      </c>
      <c r="AD96" s="69">
        <f t="shared" si="38"/>
        <v>0</v>
      </c>
      <c r="AE96" s="69">
        <f t="shared" si="38"/>
        <v>0</v>
      </c>
      <c r="AF96" s="69">
        <f t="shared" si="38"/>
        <v>0</v>
      </c>
      <c r="AG96" s="69">
        <f t="shared" si="38"/>
        <v>0</v>
      </c>
      <c r="AH96" s="69">
        <f t="shared" si="38"/>
        <v>0</v>
      </c>
      <c r="AI96" s="69">
        <f t="shared" si="38"/>
        <v>0</v>
      </c>
      <c r="AJ96" s="69">
        <f t="shared" si="38"/>
        <v>0</v>
      </c>
      <c r="AK96" s="69">
        <f t="shared" si="38"/>
        <v>0</v>
      </c>
      <c r="AL96" s="69">
        <f t="shared" si="38"/>
        <v>0</v>
      </c>
      <c r="AM96" s="69">
        <f t="shared" si="38"/>
        <v>0</v>
      </c>
      <c r="AN96" s="70">
        <f t="shared" si="38"/>
        <v>0</v>
      </c>
      <c r="AO96" s="70">
        <f t="shared" si="38"/>
        <v>0</v>
      </c>
      <c r="AP96" s="70">
        <f t="shared" si="38"/>
        <v>1</v>
      </c>
      <c r="AQ96" s="70">
        <f t="shared" si="38"/>
        <v>0</v>
      </c>
      <c r="AR96" s="70">
        <f t="shared" si="38"/>
        <v>0</v>
      </c>
      <c r="AS96" s="70">
        <f t="shared" si="38"/>
        <v>0</v>
      </c>
      <c r="AT96" s="70">
        <f t="shared" si="38"/>
        <v>0</v>
      </c>
      <c r="AU96" s="70">
        <f t="shared" si="38"/>
        <v>0</v>
      </c>
      <c r="AV96" s="69">
        <f t="shared" si="38"/>
        <v>0</v>
      </c>
      <c r="AW96" s="69">
        <f t="shared" si="38"/>
        <v>0</v>
      </c>
      <c r="AX96" s="69">
        <f t="shared" si="38"/>
        <v>0</v>
      </c>
      <c r="AY96" s="70">
        <f t="shared" si="38"/>
        <v>0</v>
      </c>
      <c r="AZ96" s="70">
        <f t="shared" si="38"/>
        <v>0</v>
      </c>
      <c r="BA96" s="70">
        <f t="shared" si="38"/>
        <v>0</v>
      </c>
    </row>
    <row r="97" spans="1:53" s="83" customFormat="1" ht="15" customHeight="1" x14ac:dyDescent="0.45">
      <c r="A97" s="73"/>
      <c r="B97" s="73"/>
      <c r="C97" s="73"/>
      <c r="D97" s="74"/>
      <c r="E97" s="75"/>
      <c r="F97" s="75"/>
      <c r="G97" s="75"/>
      <c r="H97" s="75"/>
      <c r="I97" s="75"/>
      <c r="J97" s="74"/>
      <c r="K97" s="74"/>
      <c r="L97" s="75"/>
      <c r="M97" s="74"/>
      <c r="N97" s="76" t="s">
        <v>54</v>
      </c>
      <c r="O97" s="77"/>
      <c r="P97" s="78"/>
      <c r="Q97" s="79"/>
      <c r="R97" s="80"/>
      <c r="S97" s="81">
        <f>SUBTOTAL(9,S5:S96)</f>
        <v>43796</v>
      </c>
      <c r="T97" s="81">
        <f t="shared" ref="T97:BA97" si="39">SUBTOTAL(9,T5:T96)</f>
        <v>0</v>
      </c>
      <c r="U97" s="81">
        <f t="shared" si="39"/>
        <v>0</v>
      </c>
      <c r="V97" s="81">
        <f t="shared" si="39"/>
        <v>0</v>
      </c>
      <c r="W97" s="81">
        <f t="shared" si="39"/>
        <v>0</v>
      </c>
      <c r="X97" s="81">
        <f t="shared" si="39"/>
        <v>0</v>
      </c>
      <c r="Y97" s="81">
        <f t="shared" si="39"/>
        <v>0</v>
      </c>
      <c r="Z97" s="81">
        <f t="shared" si="39"/>
        <v>0</v>
      </c>
      <c r="AA97" s="81">
        <f t="shared" si="39"/>
        <v>0</v>
      </c>
      <c r="AB97" s="81">
        <f t="shared" si="39"/>
        <v>0</v>
      </c>
      <c r="AC97" s="81">
        <f t="shared" si="39"/>
        <v>78</v>
      </c>
      <c r="AD97" s="81">
        <f t="shared" si="39"/>
        <v>308</v>
      </c>
      <c r="AE97" s="81">
        <f t="shared" si="39"/>
        <v>85</v>
      </c>
      <c r="AF97" s="81">
        <f t="shared" si="39"/>
        <v>333</v>
      </c>
      <c r="AG97" s="81">
        <f t="shared" si="39"/>
        <v>108</v>
      </c>
      <c r="AH97" s="81">
        <f t="shared" si="39"/>
        <v>418</v>
      </c>
      <c r="AI97" s="81">
        <f t="shared" si="39"/>
        <v>138</v>
      </c>
      <c r="AJ97" s="81">
        <f t="shared" si="39"/>
        <v>962</v>
      </c>
      <c r="AK97" s="81">
        <f t="shared" si="39"/>
        <v>550</v>
      </c>
      <c r="AL97" s="81">
        <f t="shared" si="39"/>
        <v>1144</v>
      </c>
      <c r="AM97" s="81">
        <f t="shared" si="39"/>
        <v>639</v>
      </c>
      <c r="AN97" s="81">
        <f t="shared" si="39"/>
        <v>1100</v>
      </c>
      <c r="AO97" s="81">
        <f t="shared" si="39"/>
        <v>2942</v>
      </c>
      <c r="AP97" s="81">
        <f t="shared" si="39"/>
        <v>5071</v>
      </c>
      <c r="AQ97" s="81">
        <f t="shared" si="39"/>
        <v>3961</v>
      </c>
      <c r="AR97" s="81">
        <f t="shared" si="39"/>
        <v>6407</v>
      </c>
      <c r="AS97" s="81">
        <f t="shared" si="39"/>
        <v>4291</v>
      </c>
      <c r="AT97" s="81">
        <f t="shared" si="39"/>
        <v>6514</v>
      </c>
      <c r="AU97" s="81">
        <f t="shared" si="39"/>
        <v>3748</v>
      </c>
      <c r="AV97" s="81">
        <f t="shared" si="39"/>
        <v>4999</v>
      </c>
      <c r="AW97" s="81">
        <f t="shared" si="39"/>
        <v>0</v>
      </c>
      <c r="AX97" s="81">
        <f t="shared" si="39"/>
        <v>0</v>
      </c>
      <c r="AY97" s="81">
        <f t="shared" si="39"/>
        <v>0</v>
      </c>
      <c r="AZ97" s="81">
        <f t="shared" si="39"/>
        <v>0</v>
      </c>
      <c r="BA97" s="81">
        <f t="shared" si="39"/>
        <v>0</v>
      </c>
    </row>
  </sheetData>
  <autoFilter ref="A4:BA4"/>
  <mergeCells count="1">
    <mergeCell ref="A2:AZ2"/>
  </mergeCells>
  <conditionalFormatting sqref="L4">
    <cfRule type="duplicateValues" dxfId="506" priority="237"/>
  </conditionalFormatting>
  <conditionalFormatting sqref="M4">
    <cfRule type="duplicateValues" dxfId="505" priority="236"/>
  </conditionalFormatting>
  <conditionalFormatting sqref="L4">
    <cfRule type="duplicateValues" dxfId="504" priority="235"/>
  </conditionalFormatting>
  <conditionalFormatting sqref="L4">
    <cfRule type="duplicateValues" dxfId="503" priority="234"/>
  </conditionalFormatting>
  <conditionalFormatting sqref="L4">
    <cfRule type="duplicateValues" dxfId="502" priority="233"/>
  </conditionalFormatting>
  <conditionalFormatting sqref="C4">
    <cfRule type="duplicateValues" dxfId="501" priority="238"/>
    <cfRule type="duplicateValues" dxfId="500" priority="239"/>
  </conditionalFormatting>
  <conditionalFormatting sqref="C4">
    <cfRule type="duplicateValues" dxfId="499" priority="240"/>
  </conditionalFormatting>
  <conditionalFormatting sqref="A4:XFD4">
    <cfRule type="duplicateValues" dxfId="498" priority="241"/>
  </conditionalFormatting>
  <conditionalFormatting sqref="L4">
    <cfRule type="duplicateValues" dxfId="497" priority="232"/>
  </conditionalFormatting>
  <conditionalFormatting sqref="C4">
    <cfRule type="duplicateValues" dxfId="496" priority="231"/>
  </conditionalFormatting>
  <conditionalFormatting sqref="C4">
    <cfRule type="duplicateValues" dxfId="495" priority="230"/>
  </conditionalFormatting>
  <conditionalFormatting sqref="L4">
    <cfRule type="duplicateValues" dxfId="494" priority="229"/>
  </conditionalFormatting>
  <conditionalFormatting sqref="C4">
    <cfRule type="duplicateValues" dxfId="493" priority="228"/>
  </conditionalFormatting>
  <conditionalFormatting sqref="L4">
    <cfRule type="duplicateValues" dxfId="492" priority="227"/>
  </conditionalFormatting>
  <conditionalFormatting sqref="C4">
    <cfRule type="duplicateValues" dxfId="491" priority="226"/>
  </conditionalFormatting>
  <conditionalFormatting sqref="L4">
    <cfRule type="duplicateValues" dxfId="490" priority="225"/>
  </conditionalFormatting>
  <conditionalFormatting sqref="C4">
    <cfRule type="duplicateValues" dxfId="489" priority="224"/>
  </conditionalFormatting>
  <conditionalFormatting sqref="C4">
    <cfRule type="duplicateValues" dxfId="488" priority="223"/>
  </conditionalFormatting>
  <conditionalFormatting sqref="C4">
    <cfRule type="duplicateValues" dxfId="487" priority="222"/>
  </conditionalFormatting>
  <conditionalFormatting sqref="C4">
    <cfRule type="duplicateValues" dxfId="486" priority="221"/>
  </conditionalFormatting>
  <conditionalFormatting sqref="L4">
    <cfRule type="duplicateValues" dxfId="485" priority="220"/>
  </conditionalFormatting>
  <conditionalFormatting sqref="C4">
    <cfRule type="duplicateValues" dxfId="484" priority="219"/>
  </conditionalFormatting>
  <conditionalFormatting sqref="K5:K50 K97 K55:K58 K60:K63">
    <cfRule type="expression" dxfId="483" priority="211" stopIfTrue="1">
      <formula>AND(COUNTIF($K$12868:$K$12868, K5)&gt;1,NOT(ISBLANK(K5)))</formula>
    </cfRule>
  </conditionalFormatting>
  <conditionalFormatting sqref="K5:K50 K97 K55:K58 K60:K63">
    <cfRule type="expression" dxfId="482" priority="212" stopIfTrue="1">
      <formula>AND(COUNTIF(#REF!, K5)+COUNTIF($K$16263:$K$16269, K5)+COUNTIF($K$16342:$K$16342, K5)+COUNTIF($K$16366:$K$16366, K5)+COUNTIF($K$16307:$K$16311, K5)+COUNTIF($K$16362:$K$16362, K5)+COUNTIF($K$16327:$K$16327, K5)+COUNTIF($K$16336:$K$16336, K5)+COUNTIF($K$16348:$K$16350, K5)+COUNTIF($K$16221:$K$16226, K5)+COUNTIF($K$16356:$K$16356, K5)+COUNTIF($K$16354:$K$16354, K5)+COUNTIF($K$16360:$K$16360, K5)+COUNTIF($K$16324:$K$16325, K5)+COUNTIF($K$16334:$K$16334, K5)+COUNTIF($K$16339:$K$16339, K5)+COUNTIF($K$16077:$K$16080, K5)+COUNTIF($K$16118:$K$16125, K5)+COUNTIF($K$16131:$K$16134, K5)+COUNTIF($K$16136:$K$16143, K5)+COUNTIF($K$16022:$K$16031, K5)+COUNTIF($K$16057:$K$16061, K5)+COUNTIF($K$15755:$K$15768, K5)+COUNTIF($K$15611:$K$15629, K5)+COUNTIF($K$15728:$K$15734, K5)+COUNTIF($K$15677:$K$15688, K5)+COUNTIF($K$15697:$K$15699, K5)+COUNTIF($K$15717:$K$15720, K5)+COUNTIF($K$15631:$K$15657, K5)+COUNTIF($K$12833:$K$15567, K5)+COUNTIF($K$15585:$K$15593, K5)+COUNTIF($K$15737:$K$15740, K5)+COUNTIF($K$16083:$K$16084, K5)+COUNTIF($K$16229:$K$16230, K5)+COUNTIF($K$16272:$K$16279, K5)+COUNTIF($K$16158:$K$16164, K5)+COUNTIF($K$16146:$K$16153, K5)&gt;1,NOT(ISBLANK(K5)))</formula>
    </cfRule>
  </conditionalFormatting>
  <conditionalFormatting sqref="K5:K50 K97 K55:K58 K60:K63">
    <cfRule type="expression" dxfId="481" priority="213" stopIfTrue="1">
      <formula>AND(COUNTIF(#REF!, K5)+COUNTIF($K$15906:$K$15912, K5)+COUNTIF($K$15985:$K$15985, K5)+COUNTIF($K$16009:$K$16009, K5)+COUNTIF($K$15950:$K$15954, K5)+COUNTIF($K$16005:$K$16005, K5)+COUNTIF($K$15970:$K$15970, K5)+COUNTIF($K$15979:$K$15979, K5)+COUNTIF($K$15991:$K$15993, K5)+COUNTIF($K$15864:$K$15869, K5)+COUNTIF($K$15999:$K$15999, K5)+COUNTIF($K$15997:$K$15997, K5)+COUNTIF($K$16003:$K$16003, K5)+COUNTIF($K$15967:$K$15968, K5)+COUNTIF($K$15977:$K$15977, K5)+COUNTIF($K$15982:$K$15982, K5)+COUNTIF($K$15720:$K$15723, K5)+COUNTIF($K$15761:$K$15768, K5)+COUNTIF($K$15774:$K$15777, K5)+COUNTIF($K$15779:$K$15786, K5)+COUNTIF($K$15665:$K$15674, K5)+COUNTIF($K$15700:$K$15704, K5)+COUNTIF($K$15398:$K$15411, K5)+COUNTIF($K$15254:$K$15272, K5)+COUNTIF($K$15371:$K$15377, K5)+COUNTIF($K$15320:$K$15331, K5)+COUNTIF($K$15340:$K$15342, K5)+COUNTIF($K$15360:$K$15363, K5)+COUNTIF($K$15274:$K$15300, K5)+COUNTIF($K$12833:$K$15210, K5)+COUNTIF($K$15228:$K$15236, K5)+COUNTIF($K$15380:$K$15383, K5)+COUNTIF($K$15726:$K$15727, K5)+COUNTIF($K$15872:$K$15873, K5)+COUNTIF($K$15915:$K$15922, K5)+COUNTIF($K$15801:$K$15807, K5)+COUNTIF($K$15789:$K$15796, K5)&gt;1,NOT(ISBLANK(K5)))</formula>
    </cfRule>
  </conditionalFormatting>
  <conditionalFormatting sqref="L5:L50 L97 L55:L58 L60:L63">
    <cfRule type="expression" dxfId="480" priority="214" stopIfTrue="1">
      <formula>AND(COUNTIF($K$12093:$K$12093, L5)&gt;1,NOT(ISBLANK(L5)))</formula>
    </cfRule>
  </conditionalFormatting>
  <conditionalFormatting sqref="L5:L50 L97 L55:L58 L60:L63">
    <cfRule type="expression" dxfId="479" priority="215" stopIfTrue="1">
      <formula>AND(COUNTIF(#REF!, L5)+COUNTIF($K$15488:$K$15494, L5)+COUNTIF($K$15567:$K$15567, L5)+COUNTIF($K$15591:$K$15591, L5)+COUNTIF($K$15532:$K$15536, L5)+COUNTIF($K$15587:$K$15587, L5)+COUNTIF($K$15552:$K$15552, L5)+COUNTIF($K$15561:$K$15561, L5)+COUNTIF($K$15573:$K$15575, L5)+COUNTIF($K$15446:$K$15451, L5)+COUNTIF($K$15581:$K$15581, L5)+COUNTIF($K$15579:$K$15579, L5)+COUNTIF($K$15585:$K$15585, L5)+COUNTIF($K$15549:$K$15550, L5)+COUNTIF($K$15559:$K$15559, L5)+COUNTIF($K$15564:$K$15564, L5)+COUNTIF($K$15302:$K$15305, L5)+COUNTIF($K$15343:$K$15350, L5)+COUNTIF($K$15356:$K$15359, L5)+COUNTIF($K$15361:$K$15368, L5)+COUNTIF($K$15247:$K$15256, L5)+COUNTIF($K$15282:$K$15286, L5)+COUNTIF($K$14980:$K$14993, L5)+COUNTIF($K$14836:$K$14854, L5)+COUNTIF($K$14953:$K$14959, L5)+COUNTIF($K$14902:$K$14913, L5)+COUNTIF($K$14922:$K$14924, L5)+COUNTIF($K$14942:$K$14945, L5)+COUNTIF($K$14856:$K$14882, L5)+COUNTIF($K$12058:$K$14792, L5)+COUNTIF($K$14810:$K$14818, L5)+COUNTIF($K$14962:$K$14965, L5)+COUNTIF($K$15308:$K$15309, L5)+COUNTIF($K$15454:$K$15455, L5)+COUNTIF($K$15497:$K$15504, L5)+COUNTIF($K$15383:$K$15389, L5)+COUNTIF($K$15371:$K$15378, L5)&gt;1,NOT(ISBLANK(L5)))</formula>
    </cfRule>
  </conditionalFormatting>
  <conditionalFormatting sqref="L5:L50 L97 L55:L58 L60:L63">
    <cfRule type="expression" dxfId="478" priority="216" stopIfTrue="1">
      <formula>AND(COUNTIF(#REF!, L5)+COUNTIF($K$15131:$K$15137, L5)+COUNTIF($K$15210:$K$15210, L5)+COUNTIF($K$15234:$K$15234, L5)+COUNTIF($K$15175:$K$15179, L5)+COUNTIF($K$15230:$K$15230, L5)+COUNTIF($K$15195:$K$15195, L5)+COUNTIF($K$15204:$K$15204, L5)+COUNTIF($K$15216:$K$15218, L5)+COUNTIF($K$15089:$K$15094, L5)+COUNTIF($K$15224:$K$15224, L5)+COUNTIF($K$15222:$K$15222, L5)+COUNTIF($K$15228:$K$15228, L5)+COUNTIF($K$15192:$K$15193, L5)+COUNTIF($K$15202:$K$15202, L5)+COUNTIF($K$15207:$K$15207, L5)+COUNTIF($K$14945:$K$14948, L5)+COUNTIF($K$14986:$K$14993, L5)+COUNTIF($K$14999:$K$15002, L5)+COUNTIF($K$15004:$K$15011, L5)+COUNTIF($K$14890:$K$14899, L5)+COUNTIF($K$14925:$K$14929, L5)+COUNTIF($K$14623:$K$14636, L5)+COUNTIF($K$14479:$K$14497, L5)+COUNTIF($K$14596:$K$14602, L5)+COUNTIF($K$14545:$K$14556, L5)+COUNTIF($K$14565:$K$14567, L5)+COUNTIF($K$14585:$K$14588, L5)+COUNTIF($K$14499:$K$14525, L5)+COUNTIF($K$12058:$K$14435, L5)+COUNTIF($K$14453:$K$14461, L5)+COUNTIF($K$14605:$K$14608, L5)+COUNTIF($K$14951:$K$14952, L5)+COUNTIF($K$15097:$K$15098, L5)+COUNTIF($K$15140:$K$15147, L5)+COUNTIF($K$15026:$K$15032, L5)+COUNTIF($K$15014:$K$15021, L5)&gt;1,NOT(ISBLANK(L5)))</formula>
    </cfRule>
  </conditionalFormatting>
  <conditionalFormatting sqref="L5:L50 L97 L55:L58 L60:L63">
    <cfRule type="duplicateValues" dxfId="477" priority="217"/>
  </conditionalFormatting>
  <conditionalFormatting sqref="C5:C50 C97 C55:C58 C60:C63">
    <cfRule type="duplicateValues" dxfId="476" priority="218"/>
  </conditionalFormatting>
  <conditionalFormatting sqref="K64">
    <cfRule type="expression" dxfId="475" priority="203" stopIfTrue="1">
      <formula>AND(COUNTIF($K$12868:$K$12868, K64)&gt;1,NOT(ISBLANK(K64)))</formula>
    </cfRule>
  </conditionalFormatting>
  <conditionalFormatting sqref="K64">
    <cfRule type="expression" dxfId="474" priority="204" stopIfTrue="1">
      <formula>AND(COUNTIF(#REF!, K64)+COUNTIF($K$16263:$K$16269, K64)+COUNTIF($K$16342:$K$16342, K64)+COUNTIF($K$16366:$K$16366, K64)+COUNTIF($K$16307:$K$16311, K64)+COUNTIF($K$16362:$K$16362, K64)+COUNTIF($K$16327:$K$16327, K64)+COUNTIF($K$16336:$K$16336, K64)+COUNTIF($K$16348:$K$16350, K64)+COUNTIF($K$16221:$K$16226, K64)+COUNTIF($K$16356:$K$16356, K64)+COUNTIF($K$16354:$K$16354, K64)+COUNTIF($K$16360:$K$16360, K64)+COUNTIF($K$16324:$K$16325, K64)+COUNTIF($K$16334:$K$16334, K64)+COUNTIF($K$16339:$K$16339, K64)+COUNTIF($K$16077:$K$16080, K64)+COUNTIF($K$16118:$K$16125, K64)+COUNTIF($K$16131:$K$16134, K64)+COUNTIF($K$16136:$K$16143, K64)+COUNTIF($K$16022:$K$16031, K64)+COUNTIF($K$16057:$K$16061, K64)+COUNTIF($K$15755:$K$15768, K64)+COUNTIF($K$15611:$K$15629, K64)+COUNTIF($K$15728:$K$15734, K64)+COUNTIF($K$15677:$K$15688, K64)+COUNTIF($K$15697:$K$15699, K64)+COUNTIF($K$15717:$K$15720, K64)+COUNTIF($K$15631:$K$15657, K64)+COUNTIF($K$12833:$K$15567, K64)+COUNTIF($K$15585:$K$15593, K64)+COUNTIF($K$15737:$K$15740, K64)+COUNTIF($K$16083:$K$16084, K64)+COUNTIF($K$16229:$K$16230, K64)+COUNTIF($K$16272:$K$16279, K64)+COUNTIF($K$16158:$K$16164, K64)+COUNTIF($K$16146:$K$16153, K64)&gt;1,NOT(ISBLANK(K64)))</formula>
    </cfRule>
  </conditionalFormatting>
  <conditionalFormatting sqref="K64">
    <cfRule type="expression" dxfId="473" priority="205" stopIfTrue="1">
      <formula>AND(COUNTIF(#REF!, K64)+COUNTIF($K$15906:$K$15912, K64)+COUNTIF($K$15985:$K$15985, K64)+COUNTIF($K$16009:$K$16009, K64)+COUNTIF($K$15950:$K$15954, K64)+COUNTIF($K$16005:$K$16005, K64)+COUNTIF($K$15970:$K$15970, K64)+COUNTIF($K$15979:$K$15979, K64)+COUNTIF($K$15991:$K$15993, K64)+COUNTIF($K$15864:$K$15869, K64)+COUNTIF($K$15999:$K$15999, K64)+COUNTIF($K$15997:$K$15997, K64)+COUNTIF($K$16003:$K$16003, K64)+COUNTIF($K$15967:$K$15968, K64)+COUNTIF($K$15977:$K$15977, K64)+COUNTIF($K$15982:$K$15982, K64)+COUNTIF($K$15720:$K$15723, K64)+COUNTIF($K$15761:$K$15768, K64)+COUNTIF($K$15774:$K$15777, K64)+COUNTIF($K$15779:$K$15786, K64)+COUNTIF($K$15665:$K$15674, K64)+COUNTIF($K$15700:$K$15704, K64)+COUNTIF($K$15398:$K$15411, K64)+COUNTIF($K$15254:$K$15272, K64)+COUNTIF($K$15371:$K$15377, K64)+COUNTIF($K$15320:$K$15331, K64)+COUNTIF($K$15340:$K$15342, K64)+COUNTIF($K$15360:$K$15363, K64)+COUNTIF($K$15274:$K$15300, K64)+COUNTIF($K$12833:$K$15210, K64)+COUNTIF($K$15228:$K$15236, K64)+COUNTIF($K$15380:$K$15383, K64)+COUNTIF($K$15726:$K$15727, K64)+COUNTIF($K$15872:$K$15873, K64)+COUNTIF($K$15915:$K$15922, K64)+COUNTIF($K$15801:$K$15807, K64)+COUNTIF($K$15789:$K$15796, K64)&gt;1,NOT(ISBLANK(K64)))</formula>
    </cfRule>
  </conditionalFormatting>
  <conditionalFormatting sqref="L64">
    <cfRule type="expression" dxfId="472" priority="206" stopIfTrue="1">
      <formula>AND(COUNTIF($K$12093:$K$12093, L64)&gt;1,NOT(ISBLANK(L64)))</formula>
    </cfRule>
  </conditionalFormatting>
  <conditionalFormatting sqref="L64">
    <cfRule type="expression" dxfId="471" priority="207" stopIfTrue="1">
      <formula>AND(COUNTIF(#REF!, L64)+COUNTIF($K$15488:$K$15494, L64)+COUNTIF($K$15567:$K$15567, L64)+COUNTIF($K$15591:$K$15591, L64)+COUNTIF($K$15532:$K$15536, L64)+COUNTIF($K$15587:$K$15587, L64)+COUNTIF($K$15552:$K$15552, L64)+COUNTIF($K$15561:$K$15561, L64)+COUNTIF($K$15573:$K$15575, L64)+COUNTIF($K$15446:$K$15451, L64)+COUNTIF($K$15581:$K$15581, L64)+COUNTIF($K$15579:$K$15579, L64)+COUNTIF($K$15585:$K$15585, L64)+COUNTIF($K$15549:$K$15550, L64)+COUNTIF($K$15559:$K$15559, L64)+COUNTIF($K$15564:$K$15564, L64)+COUNTIF($K$15302:$K$15305, L64)+COUNTIF($K$15343:$K$15350, L64)+COUNTIF($K$15356:$K$15359, L64)+COUNTIF($K$15361:$K$15368, L64)+COUNTIF($K$15247:$K$15256, L64)+COUNTIF($K$15282:$K$15286, L64)+COUNTIF($K$14980:$K$14993, L64)+COUNTIF($K$14836:$K$14854, L64)+COUNTIF($K$14953:$K$14959, L64)+COUNTIF($K$14902:$K$14913, L64)+COUNTIF($K$14922:$K$14924, L64)+COUNTIF($K$14942:$K$14945, L64)+COUNTIF($K$14856:$K$14882, L64)+COUNTIF($K$12058:$K$14792, L64)+COUNTIF($K$14810:$K$14818, L64)+COUNTIF($K$14962:$K$14965, L64)+COUNTIF($K$15308:$K$15309, L64)+COUNTIF($K$15454:$K$15455, L64)+COUNTIF($K$15497:$K$15504, L64)+COUNTIF($K$15383:$K$15389, L64)+COUNTIF($K$15371:$K$15378, L64)&gt;1,NOT(ISBLANK(L64)))</formula>
    </cfRule>
  </conditionalFormatting>
  <conditionalFormatting sqref="L64">
    <cfRule type="expression" dxfId="470" priority="208" stopIfTrue="1">
      <formula>AND(COUNTIF(#REF!, L64)+COUNTIF($K$15131:$K$15137, L64)+COUNTIF($K$15210:$K$15210, L64)+COUNTIF($K$15234:$K$15234, L64)+COUNTIF($K$15175:$K$15179, L64)+COUNTIF($K$15230:$K$15230, L64)+COUNTIF($K$15195:$K$15195, L64)+COUNTIF($K$15204:$K$15204, L64)+COUNTIF($K$15216:$K$15218, L64)+COUNTIF($K$15089:$K$15094, L64)+COUNTIF($K$15224:$K$15224, L64)+COUNTIF($K$15222:$K$15222, L64)+COUNTIF($K$15228:$K$15228, L64)+COUNTIF($K$15192:$K$15193, L64)+COUNTIF($K$15202:$K$15202, L64)+COUNTIF($K$15207:$K$15207, L64)+COUNTIF($K$14945:$K$14948, L64)+COUNTIF($K$14986:$K$14993, L64)+COUNTIF($K$14999:$K$15002, L64)+COUNTIF($K$15004:$K$15011, L64)+COUNTIF($K$14890:$K$14899, L64)+COUNTIF($K$14925:$K$14929, L64)+COUNTIF($K$14623:$K$14636, L64)+COUNTIF($K$14479:$K$14497, L64)+COUNTIF($K$14596:$K$14602, L64)+COUNTIF($K$14545:$K$14556, L64)+COUNTIF($K$14565:$K$14567, L64)+COUNTIF($K$14585:$K$14588, L64)+COUNTIF($K$14499:$K$14525, L64)+COUNTIF($K$12058:$K$14435, L64)+COUNTIF($K$14453:$K$14461, L64)+COUNTIF($K$14605:$K$14608, L64)+COUNTIF($K$14951:$K$14952, L64)+COUNTIF($K$15097:$K$15098, L64)+COUNTIF($K$15140:$K$15147, L64)+COUNTIF($K$15026:$K$15032, L64)+COUNTIF($K$15014:$K$15021, L64)&gt;1,NOT(ISBLANK(L64)))</formula>
    </cfRule>
  </conditionalFormatting>
  <conditionalFormatting sqref="L64">
    <cfRule type="duplicateValues" dxfId="469" priority="209"/>
  </conditionalFormatting>
  <conditionalFormatting sqref="C64">
    <cfRule type="duplicateValues" dxfId="468" priority="210"/>
  </conditionalFormatting>
  <conditionalFormatting sqref="C1 C3">
    <cfRule type="duplicateValues" dxfId="467" priority="202"/>
  </conditionalFormatting>
  <conditionalFormatting sqref="L1 L3">
    <cfRule type="duplicateValues" dxfId="466" priority="201"/>
  </conditionalFormatting>
  <conditionalFormatting sqref="C1 C3">
    <cfRule type="duplicateValues" dxfId="465" priority="200"/>
  </conditionalFormatting>
  <conditionalFormatting sqref="L1 L3">
    <cfRule type="duplicateValues" dxfId="464" priority="199"/>
  </conditionalFormatting>
  <conditionalFormatting sqref="C1 C3">
    <cfRule type="duplicateValues" dxfId="463" priority="198"/>
  </conditionalFormatting>
  <conditionalFormatting sqref="L1 L3">
    <cfRule type="duplicateValues" dxfId="462" priority="197"/>
  </conditionalFormatting>
  <conditionalFormatting sqref="C1 C3">
    <cfRule type="duplicateValues" dxfId="461" priority="196"/>
  </conditionalFormatting>
  <conditionalFormatting sqref="L1 L3">
    <cfRule type="duplicateValues" dxfId="460" priority="195"/>
  </conditionalFormatting>
  <conditionalFormatting sqref="C1 C3">
    <cfRule type="duplicateValues" dxfId="459" priority="194"/>
  </conditionalFormatting>
  <conditionalFormatting sqref="L1 L3">
    <cfRule type="duplicateValues" dxfId="458" priority="193"/>
  </conditionalFormatting>
  <conditionalFormatting sqref="C1 C3">
    <cfRule type="duplicateValues" dxfId="457" priority="192"/>
  </conditionalFormatting>
  <conditionalFormatting sqref="L1 L3">
    <cfRule type="duplicateValues" dxfId="456" priority="191"/>
  </conditionalFormatting>
  <conditionalFormatting sqref="C1 C3">
    <cfRule type="duplicateValues" dxfId="455" priority="190"/>
  </conditionalFormatting>
  <conditionalFormatting sqref="C1 C3">
    <cfRule type="duplicateValues" dxfId="454" priority="189"/>
  </conditionalFormatting>
  <conditionalFormatting sqref="C1 C3">
    <cfRule type="duplicateValues" dxfId="453" priority="188"/>
  </conditionalFormatting>
  <conditionalFormatting sqref="C1 C3">
    <cfRule type="duplicateValues" dxfId="452" priority="187"/>
  </conditionalFormatting>
  <conditionalFormatting sqref="C1 C3">
    <cfRule type="duplicateValues" dxfId="451" priority="186"/>
  </conditionalFormatting>
  <conditionalFormatting sqref="C1 C3">
    <cfRule type="duplicateValues" dxfId="450" priority="185"/>
  </conditionalFormatting>
  <conditionalFormatting sqref="C1 C3">
    <cfRule type="duplicateValues" dxfId="449" priority="184"/>
  </conditionalFormatting>
  <conditionalFormatting sqref="C1 C3">
    <cfRule type="duplicateValues" dxfId="448" priority="183"/>
  </conditionalFormatting>
  <conditionalFormatting sqref="C1 C3">
    <cfRule type="duplicateValues" dxfId="447" priority="182"/>
  </conditionalFormatting>
  <conditionalFormatting sqref="C1 C3">
    <cfRule type="duplicateValues" dxfId="446" priority="181"/>
  </conditionalFormatting>
  <conditionalFormatting sqref="C2">
    <cfRule type="duplicateValues" dxfId="445" priority="146"/>
  </conditionalFormatting>
  <conditionalFormatting sqref="C2">
    <cfRule type="duplicateValues" dxfId="444" priority="144"/>
  </conditionalFormatting>
  <conditionalFormatting sqref="C2">
    <cfRule type="duplicateValues" dxfId="443" priority="142"/>
  </conditionalFormatting>
  <conditionalFormatting sqref="C2">
    <cfRule type="duplicateValues" dxfId="442" priority="140"/>
  </conditionalFormatting>
  <conditionalFormatting sqref="C2">
    <cfRule type="duplicateValues" dxfId="441" priority="138"/>
  </conditionalFormatting>
  <conditionalFormatting sqref="C2">
    <cfRule type="duplicateValues" dxfId="440" priority="158"/>
  </conditionalFormatting>
  <conditionalFormatting sqref="L2">
    <cfRule type="duplicateValues" dxfId="439" priority="157"/>
  </conditionalFormatting>
  <conditionalFormatting sqref="C2">
    <cfRule type="duplicateValues" dxfId="438" priority="156"/>
  </conditionalFormatting>
  <conditionalFormatting sqref="L2">
    <cfRule type="duplicateValues" dxfId="437" priority="155"/>
  </conditionalFormatting>
  <conditionalFormatting sqref="C2">
    <cfRule type="duplicateValues" dxfId="436" priority="154"/>
  </conditionalFormatting>
  <conditionalFormatting sqref="L2">
    <cfRule type="duplicateValues" dxfId="435" priority="153"/>
  </conditionalFormatting>
  <conditionalFormatting sqref="C2">
    <cfRule type="duplicateValues" dxfId="434" priority="152"/>
  </conditionalFormatting>
  <conditionalFormatting sqref="L2">
    <cfRule type="duplicateValues" dxfId="433" priority="151"/>
  </conditionalFormatting>
  <conditionalFormatting sqref="C2">
    <cfRule type="duplicateValues" dxfId="432" priority="150"/>
  </conditionalFormatting>
  <conditionalFormatting sqref="L2">
    <cfRule type="duplicateValues" dxfId="431" priority="149"/>
  </conditionalFormatting>
  <conditionalFormatting sqref="C2">
    <cfRule type="duplicateValues" dxfId="430" priority="148"/>
  </conditionalFormatting>
  <conditionalFormatting sqref="L2">
    <cfRule type="duplicateValues" dxfId="429" priority="147"/>
  </conditionalFormatting>
  <conditionalFormatting sqref="C2">
    <cfRule type="duplicateValues" dxfId="428" priority="145"/>
  </conditionalFormatting>
  <conditionalFormatting sqref="C2">
    <cfRule type="duplicateValues" dxfId="427" priority="143"/>
  </conditionalFormatting>
  <conditionalFormatting sqref="C2">
    <cfRule type="duplicateValues" dxfId="426" priority="141"/>
  </conditionalFormatting>
  <conditionalFormatting sqref="C2">
    <cfRule type="duplicateValues" dxfId="425" priority="139"/>
  </conditionalFormatting>
  <conditionalFormatting sqref="C2">
    <cfRule type="duplicateValues" dxfId="424" priority="137"/>
  </conditionalFormatting>
  <conditionalFormatting sqref="K65:K71">
    <cfRule type="expression" dxfId="423" priority="129" stopIfTrue="1">
      <formula>AND(COUNTIF($K$12845:$K$12845, K65)&gt;1,NOT(ISBLANK(K65)))</formula>
    </cfRule>
  </conditionalFormatting>
  <conditionalFormatting sqref="K65:K71">
    <cfRule type="expression" dxfId="422" priority="130" stopIfTrue="1">
      <formula>AND(COUNTIF(#REF!, K65)+COUNTIF($K$16240:$K$16246, K65)+COUNTIF($K$16319:$K$16319, K65)+COUNTIF($K$16343:$K$16343, K65)+COUNTIF($K$16284:$K$16288, K65)+COUNTIF($K$16339:$K$16339, K65)+COUNTIF($K$16304:$K$16304, K65)+COUNTIF($K$16313:$K$16313, K65)+COUNTIF($K$16325:$K$16327, K65)+COUNTIF($K$16198:$K$16203, K65)+COUNTIF($K$16333:$K$16333, K65)+COUNTIF($K$16331:$K$16331, K65)+COUNTIF($K$16337:$K$16337, K65)+COUNTIF($K$16301:$K$16302, K65)+COUNTIF($K$16311:$K$16311, K65)+COUNTIF($K$16316:$K$16316, K65)+COUNTIF($K$16054:$K$16057, K65)+COUNTIF($K$16095:$K$16102, K65)+COUNTIF($K$16108:$K$16111, K65)+COUNTIF($K$16113:$K$16120, K65)+COUNTIF($K$15999:$K$16008, K65)+COUNTIF($K$16034:$K$16038, K65)+COUNTIF($K$15732:$K$15745, K65)+COUNTIF($K$15588:$K$15606, K65)+COUNTIF($K$15705:$K$15711, K65)+COUNTIF($K$15654:$K$15665, K65)+COUNTIF($K$15674:$K$15676, K65)+COUNTIF($K$15694:$K$15697, K65)+COUNTIF($K$15608:$K$15634, K65)+COUNTIF($K$12810:$K$15544, K65)+COUNTIF($K$15562:$K$15570, K65)+COUNTIF($K$15714:$K$15717, K65)+COUNTIF($K$16060:$K$16061, K65)+COUNTIF($K$16206:$K$16207, K65)+COUNTIF($K$16249:$K$16256, K65)+COUNTIF($K$16135:$K$16141, K65)+COUNTIF($K$16123:$K$16130, K65)&gt;1,NOT(ISBLANK(K65)))</formula>
    </cfRule>
  </conditionalFormatting>
  <conditionalFormatting sqref="K65:K71">
    <cfRule type="expression" dxfId="421" priority="131" stopIfTrue="1">
      <formula>AND(COUNTIF(#REF!, K65)+COUNTIF($K$15883:$K$15889, K65)+COUNTIF($K$15962:$K$15962, K65)+COUNTIF($K$15986:$K$15986, K65)+COUNTIF($K$15927:$K$15931, K65)+COUNTIF($K$15982:$K$15982, K65)+COUNTIF($K$15947:$K$15947, K65)+COUNTIF($K$15956:$K$15956, K65)+COUNTIF($K$15968:$K$15970, K65)+COUNTIF($K$15841:$K$15846, K65)+COUNTIF($K$15976:$K$15976, K65)+COUNTIF($K$15974:$K$15974, K65)+COUNTIF($K$15980:$K$15980, K65)+COUNTIF($K$15944:$K$15945, K65)+COUNTIF($K$15954:$K$15954, K65)+COUNTIF($K$15959:$K$15959, K65)+COUNTIF($K$15697:$K$15700, K65)+COUNTIF($K$15738:$K$15745, K65)+COUNTIF($K$15751:$K$15754, K65)+COUNTIF($K$15756:$K$15763, K65)+COUNTIF($K$15642:$K$15651, K65)+COUNTIF($K$15677:$K$15681, K65)+COUNTIF($K$15375:$K$15388, K65)+COUNTIF($K$15231:$K$15249, K65)+COUNTIF($K$15348:$K$15354, K65)+COUNTIF($K$15297:$K$15308, K65)+COUNTIF($K$15317:$K$15319, K65)+COUNTIF($K$15337:$K$15340, K65)+COUNTIF($K$15251:$K$15277, K65)+COUNTIF($K$12810:$K$15187, K65)+COUNTIF($K$15205:$K$15213, K65)+COUNTIF($K$15357:$K$15360, K65)+COUNTIF($K$15703:$K$15704, K65)+COUNTIF($K$15849:$K$15850, K65)+COUNTIF($K$15892:$K$15899, K65)+COUNTIF($K$15778:$K$15784, K65)+COUNTIF($K$15766:$K$15773, K65)&gt;1,NOT(ISBLANK(K65)))</formula>
    </cfRule>
  </conditionalFormatting>
  <conditionalFormatting sqref="L65:L71">
    <cfRule type="expression" dxfId="420" priority="132" stopIfTrue="1">
      <formula>AND(COUNTIF($K$12070:$K$12070, L65)&gt;1,NOT(ISBLANK(L65)))</formula>
    </cfRule>
  </conditionalFormatting>
  <conditionalFormatting sqref="L65:L71">
    <cfRule type="expression" dxfId="419" priority="133" stopIfTrue="1">
      <formula>AND(COUNTIF(#REF!, L65)+COUNTIF($K$15465:$K$15471, L65)+COUNTIF($K$15544:$K$15544, L65)+COUNTIF($K$15568:$K$15568, L65)+COUNTIF($K$15509:$K$15513, L65)+COUNTIF($K$15564:$K$15564, L65)+COUNTIF($K$15529:$K$15529, L65)+COUNTIF($K$15538:$K$15538, L65)+COUNTIF($K$15550:$K$15552, L65)+COUNTIF($K$15423:$K$15428, L65)+COUNTIF($K$15558:$K$15558, L65)+COUNTIF($K$15556:$K$15556, L65)+COUNTIF($K$15562:$K$15562, L65)+COUNTIF($K$15526:$K$15527, L65)+COUNTIF($K$15536:$K$15536, L65)+COUNTIF($K$15541:$K$15541, L65)+COUNTIF($K$15279:$K$15282, L65)+COUNTIF($K$15320:$K$15327, L65)+COUNTIF($K$15333:$K$15336, L65)+COUNTIF($K$15338:$K$15345, L65)+COUNTIF($K$15224:$K$15233, L65)+COUNTIF($K$15259:$K$15263, L65)+COUNTIF($K$14957:$K$14970, L65)+COUNTIF($K$14813:$K$14831, L65)+COUNTIF($K$14930:$K$14936, L65)+COUNTIF($K$14879:$K$14890, L65)+COUNTIF($K$14899:$K$14901, L65)+COUNTIF($K$14919:$K$14922, L65)+COUNTIF($K$14833:$K$14859, L65)+COUNTIF($K$12035:$K$14769, L65)+COUNTIF($K$14787:$K$14795, L65)+COUNTIF($K$14939:$K$14942, L65)+COUNTIF($K$15285:$K$15286, L65)+COUNTIF($K$15431:$K$15432, L65)+COUNTIF($K$15474:$K$15481, L65)+COUNTIF($K$15360:$K$15366, L65)+COUNTIF($K$15348:$K$15355, L65)&gt;1,NOT(ISBLANK(L65)))</formula>
    </cfRule>
  </conditionalFormatting>
  <conditionalFormatting sqref="L65:L71">
    <cfRule type="expression" dxfId="418" priority="134" stopIfTrue="1">
      <formula>AND(COUNTIF(#REF!, L65)+COUNTIF($K$15108:$K$15114, L65)+COUNTIF($K$15187:$K$15187, L65)+COUNTIF($K$15211:$K$15211, L65)+COUNTIF($K$15152:$K$15156, L65)+COUNTIF($K$15207:$K$15207, L65)+COUNTIF($K$15172:$K$15172, L65)+COUNTIF($K$15181:$K$15181, L65)+COUNTIF($K$15193:$K$15195, L65)+COUNTIF($K$15066:$K$15071, L65)+COUNTIF($K$15201:$K$15201, L65)+COUNTIF($K$15199:$K$15199, L65)+COUNTIF($K$15205:$K$15205, L65)+COUNTIF($K$15169:$K$15170, L65)+COUNTIF($K$15179:$K$15179, L65)+COUNTIF($K$15184:$K$15184, L65)+COUNTIF($K$14922:$K$14925, L65)+COUNTIF($K$14963:$K$14970, L65)+COUNTIF($K$14976:$K$14979, L65)+COUNTIF($K$14981:$K$14988, L65)+COUNTIF($K$14867:$K$14876, L65)+COUNTIF($K$14902:$K$14906, L65)+COUNTIF($K$14600:$K$14613, L65)+COUNTIF($K$14456:$K$14474, L65)+COUNTIF($K$14573:$K$14579, L65)+COUNTIF($K$14522:$K$14533, L65)+COUNTIF($K$14542:$K$14544, L65)+COUNTIF($K$14562:$K$14565, L65)+COUNTIF($K$14476:$K$14502, L65)+COUNTIF($K$12035:$K$14412, L65)+COUNTIF($K$14430:$K$14438, L65)+COUNTIF($K$14582:$K$14585, L65)+COUNTIF($K$14928:$K$14929, L65)+COUNTIF($K$15074:$K$15075, L65)+COUNTIF($K$15117:$K$15124, L65)+COUNTIF($K$15003:$K$15009, L65)+COUNTIF($K$14991:$K$14998, L65)&gt;1,NOT(ISBLANK(L65)))</formula>
    </cfRule>
  </conditionalFormatting>
  <conditionalFormatting sqref="L65:L71">
    <cfRule type="duplicateValues" dxfId="417" priority="135"/>
  </conditionalFormatting>
  <conditionalFormatting sqref="C65:C71">
    <cfRule type="duplicateValues" dxfId="416" priority="136"/>
  </conditionalFormatting>
  <conditionalFormatting sqref="K72">
    <cfRule type="expression" dxfId="415" priority="121" stopIfTrue="1">
      <formula>AND(COUNTIF($K$12845:$K$12845, K72)&gt;1,NOT(ISBLANK(K72)))</formula>
    </cfRule>
  </conditionalFormatting>
  <conditionalFormatting sqref="K72">
    <cfRule type="expression" dxfId="414" priority="122" stopIfTrue="1">
      <formula>AND(COUNTIF(#REF!, K72)+COUNTIF($K$16240:$K$16246, K72)+COUNTIF($K$16319:$K$16319, K72)+COUNTIF($K$16343:$K$16343, K72)+COUNTIF($K$16284:$K$16288, K72)+COUNTIF($K$16339:$K$16339, K72)+COUNTIF($K$16304:$K$16304, K72)+COUNTIF($K$16313:$K$16313, K72)+COUNTIF($K$16325:$K$16327, K72)+COUNTIF($K$16198:$K$16203, K72)+COUNTIF($K$16333:$K$16333, K72)+COUNTIF($K$16331:$K$16331, K72)+COUNTIF($K$16337:$K$16337, K72)+COUNTIF($K$16301:$K$16302, K72)+COUNTIF($K$16311:$K$16311, K72)+COUNTIF($K$16316:$K$16316, K72)+COUNTIF($K$16054:$K$16057, K72)+COUNTIF($K$16095:$K$16102, K72)+COUNTIF($K$16108:$K$16111, K72)+COUNTIF($K$16113:$K$16120, K72)+COUNTIF($K$15999:$K$16008, K72)+COUNTIF($K$16034:$K$16038, K72)+COUNTIF($K$15732:$K$15745, K72)+COUNTIF($K$15588:$K$15606, K72)+COUNTIF($K$15705:$K$15711, K72)+COUNTIF($K$15654:$K$15665, K72)+COUNTIF($K$15674:$K$15676, K72)+COUNTIF($K$15694:$K$15697, K72)+COUNTIF($K$15608:$K$15634, K72)+COUNTIF($K$12810:$K$15544, K72)+COUNTIF($K$15562:$K$15570, K72)+COUNTIF($K$15714:$K$15717, K72)+COUNTIF($K$16060:$K$16061, K72)+COUNTIF($K$16206:$K$16207, K72)+COUNTIF($K$16249:$K$16256, K72)+COUNTIF($K$16135:$K$16141, K72)+COUNTIF($K$16123:$K$16130, K72)&gt;1,NOT(ISBLANK(K72)))</formula>
    </cfRule>
  </conditionalFormatting>
  <conditionalFormatting sqref="K72">
    <cfRule type="expression" dxfId="413" priority="123" stopIfTrue="1">
      <formula>AND(COUNTIF(#REF!, K72)+COUNTIF($K$15883:$K$15889, K72)+COUNTIF($K$15962:$K$15962, K72)+COUNTIF($K$15986:$K$15986, K72)+COUNTIF($K$15927:$K$15931, K72)+COUNTIF($K$15982:$K$15982, K72)+COUNTIF($K$15947:$K$15947, K72)+COUNTIF($K$15956:$K$15956, K72)+COUNTIF($K$15968:$K$15970, K72)+COUNTIF($K$15841:$K$15846, K72)+COUNTIF($K$15976:$K$15976, K72)+COUNTIF($K$15974:$K$15974, K72)+COUNTIF($K$15980:$K$15980, K72)+COUNTIF($K$15944:$K$15945, K72)+COUNTIF($K$15954:$K$15954, K72)+COUNTIF($K$15959:$K$15959, K72)+COUNTIF($K$15697:$K$15700, K72)+COUNTIF($K$15738:$K$15745, K72)+COUNTIF($K$15751:$K$15754, K72)+COUNTIF($K$15756:$K$15763, K72)+COUNTIF($K$15642:$K$15651, K72)+COUNTIF($K$15677:$K$15681, K72)+COUNTIF($K$15375:$K$15388, K72)+COUNTIF($K$15231:$K$15249, K72)+COUNTIF($K$15348:$K$15354, K72)+COUNTIF($K$15297:$K$15308, K72)+COUNTIF($K$15317:$K$15319, K72)+COUNTIF($K$15337:$K$15340, K72)+COUNTIF($K$15251:$K$15277, K72)+COUNTIF($K$12810:$K$15187, K72)+COUNTIF($K$15205:$K$15213, K72)+COUNTIF($K$15357:$K$15360, K72)+COUNTIF($K$15703:$K$15704, K72)+COUNTIF($K$15849:$K$15850, K72)+COUNTIF($K$15892:$K$15899, K72)+COUNTIF($K$15778:$K$15784, K72)+COUNTIF($K$15766:$K$15773, K72)&gt;1,NOT(ISBLANK(K72)))</formula>
    </cfRule>
  </conditionalFormatting>
  <conditionalFormatting sqref="L72">
    <cfRule type="expression" dxfId="412" priority="124" stopIfTrue="1">
      <formula>AND(COUNTIF($K$12070:$K$12070, L72)&gt;1,NOT(ISBLANK(L72)))</formula>
    </cfRule>
  </conditionalFormatting>
  <conditionalFormatting sqref="L72">
    <cfRule type="expression" dxfId="411" priority="125" stopIfTrue="1">
      <formula>AND(COUNTIF(#REF!, L72)+COUNTIF($K$15465:$K$15471, L72)+COUNTIF($K$15544:$K$15544, L72)+COUNTIF($K$15568:$K$15568, L72)+COUNTIF($K$15509:$K$15513, L72)+COUNTIF($K$15564:$K$15564, L72)+COUNTIF($K$15529:$K$15529, L72)+COUNTIF($K$15538:$K$15538, L72)+COUNTIF($K$15550:$K$15552, L72)+COUNTIF($K$15423:$K$15428, L72)+COUNTIF($K$15558:$K$15558, L72)+COUNTIF($K$15556:$K$15556, L72)+COUNTIF($K$15562:$K$15562, L72)+COUNTIF($K$15526:$K$15527, L72)+COUNTIF($K$15536:$K$15536, L72)+COUNTIF($K$15541:$K$15541, L72)+COUNTIF($K$15279:$K$15282, L72)+COUNTIF($K$15320:$K$15327, L72)+COUNTIF($K$15333:$K$15336, L72)+COUNTIF($K$15338:$K$15345, L72)+COUNTIF($K$15224:$K$15233, L72)+COUNTIF($K$15259:$K$15263, L72)+COUNTIF($K$14957:$K$14970, L72)+COUNTIF($K$14813:$K$14831, L72)+COUNTIF($K$14930:$K$14936, L72)+COUNTIF($K$14879:$K$14890, L72)+COUNTIF($K$14899:$K$14901, L72)+COUNTIF($K$14919:$K$14922, L72)+COUNTIF($K$14833:$K$14859, L72)+COUNTIF($K$12035:$K$14769, L72)+COUNTIF($K$14787:$K$14795, L72)+COUNTIF($K$14939:$K$14942, L72)+COUNTIF($K$15285:$K$15286, L72)+COUNTIF($K$15431:$K$15432, L72)+COUNTIF($K$15474:$K$15481, L72)+COUNTIF($K$15360:$K$15366, L72)+COUNTIF($K$15348:$K$15355, L72)&gt;1,NOT(ISBLANK(L72)))</formula>
    </cfRule>
  </conditionalFormatting>
  <conditionalFormatting sqref="L72">
    <cfRule type="expression" dxfId="410" priority="126" stopIfTrue="1">
      <formula>AND(COUNTIF(#REF!, L72)+COUNTIF($K$15108:$K$15114, L72)+COUNTIF($K$15187:$K$15187, L72)+COUNTIF($K$15211:$K$15211, L72)+COUNTIF($K$15152:$K$15156, L72)+COUNTIF($K$15207:$K$15207, L72)+COUNTIF($K$15172:$K$15172, L72)+COUNTIF($K$15181:$K$15181, L72)+COUNTIF($K$15193:$K$15195, L72)+COUNTIF($K$15066:$K$15071, L72)+COUNTIF($K$15201:$K$15201, L72)+COUNTIF($K$15199:$K$15199, L72)+COUNTIF($K$15205:$K$15205, L72)+COUNTIF($K$15169:$K$15170, L72)+COUNTIF($K$15179:$K$15179, L72)+COUNTIF($K$15184:$K$15184, L72)+COUNTIF($K$14922:$K$14925, L72)+COUNTIF($K$14963:$K$14970, L72)+COUNTIF($K$14976:$K$14979, L72)+COUNTIF($K$14981:$K$14988, L72)+COUNTIF($K$14867:$K$14876, L72)+COUNTIF($K$14902:$K$14906, L72)+COUNTIF($K$14600:$K$14613, L72)+COUNTIF($K$14456:$K$14474, L72)+COUNTIF($K$14573:$K$14579, L72)+COUNTIF($K$14522:$K$14533, L72)+COUNTIF($K$14542:$K$14544, L72)+COUNTIF($K$14562:$K$14565, L72)+COUNTIF($K$14476:$K$14502, L72)+COUNTIF($K$12035:$K$14412, L72)+COUNTIF($K$14430:$K$14438, L72)+COUNTIF($K$14582:$K$14585, L72)+COUNTIF($K$14928:$K$14929, L72)+COUNTIF($K$15074:$K$15075, L72)+COUNTIF($K$15117:$K$15124, L72)+COUNTIF($K$15003:$K$15009, L72)+COUNTIF($K$14991:$K$14998, L72)&gt;1,NOT(ISBLANK(L72)))</formula>
    </cfRule>
  </conditionalFormatting>
  <conditionalFormatting sqref="L72">
    <cfRule type="duplicateValues" dxfId="409" priority="127"/>
  </conditionalFormatting>
  <conditionalFormatting sqref="C72">
    <cfRule type="duplicateValues" dxfId="408" priority="128"/>
  </conditionalFormatting>
  <conditionalFormatting sqref="K73">
    <cfRule type="expression" dxfId="407" priority="113" stopIfTrue="1">
      <formula>AND(COUNTIF($K$12868:$K$12868, K73)&gt;1,NOT(ISBLANK(K73)))</formula>
    </cfRule>
  </conditionalFormatting>
  <conditionalFormatting sqref="K73">
    <cfRule type="expression" dxfId="406" priority="114" stopIfTrue="1">
      <formula>AND(COUNTIF(#REF!, K73)+COUNTIF($K$16263:$K$16269, K73)+COUNTIF($K$16342:$K$16342, K73)+COUNTIF($K$16366:$K$16366, K73)+COUNTIF($K$16307:$K$16311, K73)+COUNTIF($K$16362:$K$16362, K73)+COUNTIF($K$16327:$K$16327, K73)+COUNTIF($K$16336:$K$16336, K73)+COUNTIF($K$16348:$K$16350, K73)+COUNTIF($K$16221:$K$16226, K73)+COUNTIF($K$16356:$K$16356, K73)+COUNTIF($K$16354:$K$16354, K73)+COUNTIF($K$16360:$K$16360, K73)+COUNTIF($K$16324:$K$16325, K73)+COUNTIF($K$16334:$K$16334, K73)+COUNTIF($K$16339:$K$16339, K73)+COUNTIF($K$16077:$K$16080, K73)+COUNTIF($K$16118:$K$16125, K73)+COUNTIF($K$16131:$K$16134, K73)+COUNTIF($K$16136:$K$16143, K73)+COUNTIF($K$16022:$K$16031, K73)+COUNTIF($K$16057:$K$16061, K73)+COUNTIF($K$15755:$K$15768, K73)+COUNTIF($K$15611:$K$15629, K73)+COUNTIF($K$15728:$K$15734, K73)+COUNTIF($K$15677:$K$15688, K73)+COUNTIF($K$15697:$K$15699, K73)+COUNTIF($K$15717:$K$15720, K73)+COUNTIF($K$15631:$K$15657, K73)+COUNTIF($K$12833:$K$15567, K73)+COUNTIF($K$15585:$K$15593, K73)+COUNTIF($K$15737:$K$15740, K73)+COUNTIF($K$16083:$K$16084, K73)+COUNTIF($K$16229:$K$16230, K73)+COUNTIF($K$16272:$K$16279, K73)+COUNTIF($K$16158:$K$16164, K73)+COUNTIF($K$16146:$K$16153, K73)&gt;1,NOT(ISBLANK(K73)))</formula>
    </cfRule>
  </conditionalFormatting>
  <conditionalFormatting sqref="K73">
    <cfRule type="expression" dxfId="405" priority="115" stopIfTrue="1">
      <formula>AND(COUNTIF(#REF!, K73)+COUNTIF($K$15906:$K$15912, K73)+COUNTIF($K$15985:$K$15985, K73)+COUNTIF($K$16009:$K$16009, K73)+COUNTIF($K$15950:$K$15954, K73)+COUNTIF($K$16005:$K$16005, K73)+COUNTIF($K$15970:$K$15970, K73)+COUNTIF($K$15979:$K$15979, K73)+COUNTIF($K$15991:$K$15993, K73)+COUNTIF($K$15864:$K$15869, K73)+COUNTIF($K$15999:$K$15999, K73)+COUNTIF($K$15997:$K$15997, K73)+COUNTIF($K$16003:$K$16003, K73)+COUNTIF($K$15967:$K$15968, K73)+COUNTIF($K$15977:$K$15977, K73)+COUNTIF($K$15982:$K$15982, K73)+COUNTIF($K$15720:$K$15723, K73)+COUNTIF($K$15761:$K$15768, K73)+COUNTIF($K$15774:$K$15777, K73)+COUNTIF($K$15779:$K$15786, K73)+COUNTIF($K$15665:$K$15674, K73)+COUNTIF($K$15700:$K$15704, K73)+COUNTIF($K$15398:$K$15411, K73)+COUNTIF($K$15254:$K$15272, K73)+COUNTIF($K$15371:$K$15377, K73)+COUNTIF($K$15320:$K$15331, K73)+COUNTIF($K$15340:$K$15342, K73)+COUNTIF($K$15360:$K$15363, K73)+COUNTIF($K$15274:$K$15300, K73)+COUNTIF($K$12833:$K$15210, K73)+COUNTIF($K$15228:$K$15236, K73)+COUNTIF($K$15380:$K$15383, K73)+COUNTIF($K$15726:$K$15727, K73)+COUNTIF($K$15872:$K$15873, K73)+COUNTIF($K$15915:$K$15922, K73)+COUNTIF($K$15801:$K$15807, K73)+COUNTIF($K$15789:$K$15796, K73)&gt;1,NOT(ISBLANK(K73)))</formula>
    </cfRule>
  </conditionalFormatting>
  <conditionalFormatting sqref="L73">
    <cfRule type="expression" dxfId="404" priority="116" stopIfTrue="1">
      <formula>AND(COUNTIF($K$12093:$K$12093, L73)&gt;1,NOT(ISBLANK(L73)))</formula>
    </cfRule>
  </conditionalFormatting>
  <conditionalFormatting sqref="L73">
    <cfRule type="expression" dxfId="403" priority="117" stopIfTrue="1">
      <formula>AND(COUNTIF(#REF!, L73)+COUNTIF($K$15488:$K$15494, L73)+COUNTIF($K$15567:$K$15567, L73)+COUNTIF($K$15591:$K$15591, L73)+COUNTIF($K$15532:$K$15536, L73)+COUNTIF($K$15587:$K$15587, L73)+COUNTIF($K$15552:$K$15552, L73)+COUNTIF($K$15561:$K$15561, L73)+COUNTIF($K$15573:$K$15575, L73)+COUNTIF($K$15446:$K$15451, L73)+COUNTIF($K$15581:$K$15581, L73)+COUNTIF($K$15579:$K$15579, L73)+COUNTIF($K$15585:$K$15585, L73)+COUNTIF($K$15549:$K$15550, L73)+COUNTIF($K$15559:$K$15559, L73)+COUNTIF($K$15564:$K$15564, L73)+COUNTIF($K$15302:$K$15305, L73)+COUNTIF($K$15343:$K$15350, L73)+COUNTIF($K$15356:$K$15359, L73)+COUNTIF($K$15361:$K$15368, L73)+COUNTIF($K$15247:$K$15256, L73)+COUNTIF($K$15282:$K$15286, L73)+COUNTIF($K$14980:$K$14993, L73)+COUNTIF($K$14836:$K$14854, L73)+COUNTIF($K$14953:$K$14959, L73)+COUNTIF($K$14902:$K$14913, L73)+COUNTIF($K$14922:$K$14924, L73)+COUNTIF($K$14942:$K$14945, L73)+COUNTIF($K$14856:$K$14882, L73)+COUNTIF($K$12058:$K$14792, L73)+COUNTIF($K$14810:$K$14818, L73)+COUNTIF($K$14962:$K$14965, L73)+COUNTIF($K$15308:$K$15309, L73)+COUNTIF($K$15454:$K$15455, L73)+COUNTIF($K$15497:$K$15504, L73)+COUNTIF($K$15383:$K$15389, L73)+COUNTIF($K$15371:$K$15378, L73)&gt;1,NOT(ISBLANK(L73)))</formula>
    </cfRule>
  </conditionalFormatting>
  <conditionalFormatting sqref="L73">
    <cfRule type="expression" dxfId="402" priority="118" stopIfTrue="1">
      <formula>AND(COUNTIF(#REF!, L73)+COUNTIF($K$15131:$K$15137, L73)+COUNTIF($K$15210:$K$15210, L73)+COUNTIF($K$15234:$K$15234, L73)+COUNTIF($K$15175:$K$15179, L73)+COUNTIF($K$15230:$K$15230, L73)+COUNTIF($K$15195:$K$15195, L73)+COUNTIF($K$15204:$K$15204, L73)+COUNTIF($K$15216:$K$15218, L73)+COUNTIF($K$15089:$K$15094, L73)+COUNTIF($K$15224:$K$15224, L73)+COUNTIF($K$15222:$K$15222, L73)+COUNTIF($K$15228:$K$15228, L73)+COUNTIF($K$15192:$K$15193, L73)+COUNTIF($K$15202:$K$15202, L73)+COUNTIF($K$15207:$K$15207, L73)+COUNTIF($K$14945:$K$14948, L73)+COUNTIF($K$14986:$K$14993, L73)+COUNTIF($K$14999:$K$15002, L73)+COUNTIF($K$15004:$K$15011, L73)+COUNTIF($K$14890:$K$14899, L73)+COUNTIF($K$14925:$K$14929, L73)+COUNTIF($K$14623:$K$14636, L73)+COUNTIF($K$14479:$K$14497, L73)+COUNTIF($K$14596:$K$14602, L73)+COUNTIF($K$14545:$K$14556, L73)+COUNTIF($K$14565:$K$14567, L73)+COUNTIF($K$14585:$K$14588, L73)+COUNTIF($K$14499:$K$14525, L73)+COUNTIF($K$12058:$K$14435, L73)+COUNTIF($K$14453:$K$14461, L73)+COUNTIF($K$14605:$K$14608, L73)+COUNTIF($K$14951:$K$14952, L73)+COUNTIF($K$15097:$K$15098, L73)+COUNTIF($K$15140:$K$15147, L73)+COUNTIF($K$15026:$K$15032, L73)+COUNTIF($K$15014:$K$15021, L73)&gt;1,NOT(ISBLANK(L73)))</formula>
    </cfRule>
  </conditionalFormatting>
  <conditionalFormatting sqref="L73">
    <cfRule type="duplicateValues" dxfId="401" priority="119"/>
  </conditionalFormatting>
  <conditionalFormatting sqref="C73">
    <cfRule type="duplicateValues" dxfId="400" priority="120"/>
  </conditionalFormatting>
  <conditionalFormatting sqref="K74">
    <cfRule type="expression" dxfId="399" priority="105" stopIfTrue="1">
      <formula>AND(COUNTIF($K$12845:$K$12845, K74)&gt;1,NOT(ISBLANK(K74)))</formula>
    </cfRule>
  </conditionalFormatting>
  <conditionalFormatting sqref="K74">
    <cfRule type="expression" dxfId="398" priority="106" stopIfTrue="1">
      <formula>AND(COUNTIF(#REF!, K74)+COUNTIF($K$16240:$K$16246, K74)+COUNTIF($K$16319:$K$16319, K74)+COUNTIF($K$16343:$K$16343, K74)+COUNTIF($K$16284:$K$16288, K74)+COUNTIF($K$16339:$K$16339, K74)+COUNTIF($K$16304:$K$16304, K74)+COUNTIF($K$16313:$K$16313, K74)+COUNTIF($K$16325:$K$16327, K74)+COUNTIF($K$16198:$K$16203, K74)+COUNTIF($K$16333:$K$16333, K74)+COUNTIF($K$16331:$K$16331, K74)+COUNTIF($K$16337:$K$16337, K74)+COUNTIF($K$16301:$K$16302, K74)+COUNTIF($K$16311:$K$16311, K74)+COUNTIF($K$16316:$K$16316, K74)+COUNTIF($K$16054:$K$16057, K74)+COUNTIF($K$16095:$K$16102, K74)+COUNTIF($K$16108:$K$16111, K74)+COUNTIF($K$16113:$K$16120, K74)+COUNTIF($K$15999:$K$16008, K74)+COUNTIF($K$16034:$K$16038, K74)+COUNTIF($K$15732:$K$15745, K74)+COUNTIF($K$15588:$K$15606, K74)+COUNTIF($K$15705:$K$15711, K74)+COUNTIF($K$15654:$K$15665, K74)+COUNTIF($K$15674:$K$15676, K74)+COUNTIF($K$15694:$K$15697, K74)+COUNTIF($K$15608:$K$15634, K74)+COUNTIF($K$12810:$K$15544, K74)+COUNTIF($K$15562:$K$15570, K74)+COUNTIF($K$15714:$K$15717, K74)+COUNTIF($K$16060:$K$16061, K74)+COUNTIF($K$16206:$K$16207, K74)+COUNTIF($K$16249:$K$16256, K74)+COUNTIF($K$16135:$K$16141, K74)+COUNTIF($K$16123:$K$16130, K74)&gt;1,NOT(ISBLANK(K74)))</formula>
    </cfRule>
  </conditionalFormatting>
  <conditionalFormatting sqref="K74">
    <cfRule type="expression" dxfId="397" priority="107" stopIfTrue="1">
      <formula>AND(COUNTIF(#REF!, K74)+COUNTIF($K$15883:$K$15889, K74)+COUNTIF($K$15962:$K$15962, K74)+COUNTIF($K$15986:$K$15986, K74)+COUNTIF($K$15927:$K$15931, K74)+COUNTIF($K$15982:$K$15982, K74)+COUNTIF($K$15947:$K$15947, K74)+COUNTIF($K$15956:$K$15956, K74)+COUNTIF($K$15968:$K$15970, K74)+COUNTIF($K$15841:$K$15846, K74)+COUNTIF($K$15976:$K$15976, K74)+COUNTIF($K$15974:$K$15974, K74)+COUNTIF($K$15980:$K$15980, K74)+COUNTIF($K$15944:$K$15945, K74)+COUNTIF($K$15954:$K$15954, K74)+COUNTIF($K$15959:$K$15959, K74)+COUNTIF($K$15697:$K$15700, K74)+COUNTIF($K$15738:$K$15745, K74)+COUNTIF($K$15751:$K$15754, K74)+COUNTIF($K$15756:$K$15763, K74)+COUNTIF($K$15642:$K$15651, K74)+COUNTIF($K$15677:$K$15681, K74)+COUNTIF($K$15375:$K$15388, K74)+COUNTIF($K$15231:$K$15249, K74)+COUNTIF($K$15348:$K$15354, K74)+COUNTIF($K$15297:$K$15308, K74)+COUNTIF($K$15317:$K$15319, K74)+COUNTIF($K$15337:$K$15340, K74)+COUNTIF($K$15251:$K$15277, K74)+COUNTIF($K$12810:$K$15187, K74)+COUNTIF($K$15205:$K$15213, K74)+COUNTIF($K$15357:$K$15360, K74)+COUNTIF($K$15703:$K$15704, K74)+COUNTIF($K$15849:$K$15850, K74)+COUNTIF($K$15892:$K$15899, K74)+COUNTIF($K$15778:$K$15784, K74)+COUNTIF($K$15766:$K$15773, K74)&gt;1,NOT(ISBLANK(K74)))</formula>
    </cfRule>
  </conditionalFormatting>
  <conditionalFormatting sqref="L74">
    <cfRule type="expression" dxfId="396" priority="108" stopIfTrue="1">
      <formula>AND(COUNTIF($K$12070:$K$12070, L74)&gt;1,NOT(ISBLANK(L74)))</formula>
    </cfRule>
  </conditionalFormatting>
  <conditionalFormatting sqref="L74">
    <cfRule type="expression" dxfId="395" priority="109" stopIfTrue="1">
      <formula>AND(COUNTIF(#REF!, L74)+COUNTIF($K$15465:$K$15471, L74)+COUNTIF($K$15544:$K$15544, L74)+COUNTIF($K$15568:$K$15568, L74)+COUNTIF($K$15509:$K$15513, L74)+COUNTIF($K$15564:$K$15564, L74)+COUNTIF($K$15529:$K$15529, L74)+COUNTIF($K$15538:$K$15538, L74)+COUNTIF($K$15550:$K$15552, L74)+COUNTIF($K$15423:$K$15428, L74)+COUNTIF($K$15558:$K$15558, L74)+COUNTIF($K$15556:$K$15556, L74)+COUNTIF($K$15562:$K$15562, L74)+COUNTIF($K$15526:$K$15527, L74)+COUNTIF($K$15536:$K$15536, L74)+COUNTIF($K$15541:$K$15541, L74)+COUNTIF($K$15279:$K$15282, L74)+COUNTIF($K$15320:$K$15327, L74)+COUNTIF($K$15333:$K$15336, L74)+COUNTIF($K$15338:$K$15345, L74)+COUNTIF($K$15224:$K$15233, L74)+COUNTIF($K$15259:$K$15263, L74)+COUNTIF($K$14957:$K$14970, L74)+COUNTIF($K$14813:$K$14831, L74)+COUNTIF($K$14930:$K$14936, L74)+COUNTIF($K$14879:$K$14890, L74)+COUNTIF($K$14899:$K$14901, L74)+COUNTIF($K$14919:$K$14922, L74)+COUNTIF($K$14833:$K$14859, L74)+COUNTIF($K$12035:$K$14769, L74)+COUNTIF($K$14787:$K$14795, L74)+COUNTIF($K$14939:$K$14942, L74)+COUNTIF($K$15285:$K$15286, L74)+COUNTIF($K$15431:$K$15432, L74)+COUNTIF($K$15474:$K$15481, L74)+COUNTIF($K$15360:$K$15366, L74)+COUNTIF($K$15348:$K$15355, L74)&gt;1,NOT(ISBLANK(L74)))</formula>
    </cfRule>
  </conditionalFormatting>
  <conditionalFormatting sqref="L74">
    <cfRule type="expression" dxfId="394" priority="110" stopIfTrue="1">
      <formula>AND(COUNTIF(#REF!, L74)+COUNTIF($K$15108:$K$15114, L74)+COUNTIF($K$15187:$K$15187, L74)+COUNTIF($K$15211:$K$15211, L74)+COUNTIF($K$15152:$K$15156, L74)+COUNTIF($K$15207:$K$15207, L74)+COUNTIF($K$15172:$K$15172, L74)+COUNTIF($K$15181:$K$15181, L74)+COUNTIF($K$15193:$K$15195, L74)+COUNTIF($K$15066:$K$15071, L74)+COUNTIF($K$15201:$K$15201, L74)+COUNTIF($K$15199:$K$15199, L74)+COUNTIF($K$15205:$K$15205, L74)+COUNTIF($K$15169:$K$15170, L74)+COUNTIF($K$15179:$K$15179, L74)+COUNTIF($K$15184:$K$15184, L74)+COUNTIF($K$14922:$K$14925, L74)+COUNTIF($K$14963:$K$14970, L74)+COUNTIF($K$14976:$K$14979, L74)+COUNTIF($K$14981:$K$14988, L74)+COUNTIF($K$14867:$K$14876, L74)+COUNTIF($K$14902:$K$14906, L74)+COUNTIF($K$14600:$K$14613, L74)+COUNTIF($K$14456:$K$14474, L74)+COUNTIF($K$14573:$K$14579, L74)+COUNTIF($K$14522:$K$14533, L74)+COUNTIF($K$14542:$K$14544, L74)+COUNTIF($K$14562:$K$14565, L74)+COUNTIF($K$14476:$K$14502, L74)+COUNTIF($K$12035:$K$14412, L74)+COUNTIF($K$14430:$K$14438, L74)+COUNTIF($K$14582:$K$14585, L74)+COUNTIF($K$14928:$K$14929, L74)+COUNTIF($K$15074:$K$15075, L74)+COUNTIF($K$15117:$K$15124, L74)+COUNTIF($K$15003:$K$15009, L74)+COUNTIF($K$14991:$K$14998, L74)&gt;1,NOT(ISBLANK(L74)))</formula>
    </cfRule>
  </conditionalFormatting>
  <conditionalFormatting sqref="L74">
    <cfRule type="duplicateValues" dxfId="393" priority="111"/>
  </conditionalFormatting>
  <conditionalFormatting sqref="C74">
    <cfRule type="duplicateValues" dxfId="392" priority="112"/>
  </conditionalFormatting>
  <conditionalFormatting sqref="K51">
    <cfRule type="expression" dxfId="391" priority="97" stopIfTrue="1">
      <formula>AND(COUNTIF($K$12868:$K$12868, K51)&gt;1,NOT(ISBLANK(K51)))</formula>
    </cfRule>
  </conditionalFormatting>
  <conditionalFormatting sqref="K51">
    <cfRule type="expression" dxfId="390" priority="98" stopIfTrue="1">
      <formula>AND(COUNTIF(#REF!, K51)+COUNTIF($K$16263:$K$16269, K51)+COUNTIF($K$16342:$K$16342, K51)+COUNTIF($K$16366:$K$16366, K51)+COUNTIF($K$16307:$K$16311, K51)+COUNTIF($K$16362:$K$16362, K51)+COUNTIF($K$16327:$K$16327, K51)+COUNTIF($K$16336:$K$16336, K51)+COUNTIF($K$16348:$K$16350, K51)+COUNTIF($K$16221:$K$16226, K51)+COUNTIF($K$16356:$K$16356, K51)+COUNTIF($K$16354:$K$16354, K51)+COUNTIF($K$16360:$K$16360, K51)+COUNTIF($K$16324:$K$16325, K51)+COUNTIF($K$16334:$K$16334, K51)+COUNTIF($K$16339:$K$16339, K51)+COUNTIF($K$16077:$K$16080, K51)+COUNTIF($K$16118:$K$16125, K51)+COUNTIF($K$16131:$K$16134, K51)+COUNTIF($K$16136:$K$16143, K51)+COUNTIF($K$16022:$K$16031, K51)+COUNTIF($K$16057:$K$16061, K51)+COUNTIF($K$15755:$K$15768, K51)+COUNTIF($K$15611:$K$15629, K51)+COUNTIF($K$15728:$K$15734, K51)+COUNTIF($K$15677:$K$15688, K51)+COUNTIF($K$15697:$K$15699, K51)+COUNTIF($K$15717:$K$15720, K51)+COUNTIF($K$15631:$K$15657, K51)+COUNTIF($K$12833:$K$15567, K51)+COUNTIF($K$15585:$K$15593, K51)+COUNTIF($K$15737:$K$15740, K51)+COUNTIF($K$16083:$K$16084, K51)+COUNTIF($K$16229:$K$16230, K51)+COUNTIF($K$16272:$K$16279, K51)+COUNTIF($K$16158:$K$16164, K51)+COUNTIF($K$16146:$K$16153, K51)&gt;1,NOT(ISBLANK(K51)))</formula>
    </cfRule>
  </conditionalFormatting>
  <conditionalFormatting sqref="K51">
    <cfRule type="expression" dxfId="389" priority="99" stopIfTrue="1">
      <formula>AND(COUNTIF(#REF!, K51)+COUNTIF($K$15906:$K$15912, K51)+COUNTIF($K$15985:$K$15985, K51)+COUNTIF($K$16009:$K$16009, K51)+COUNTIF($K$15950:$K$15954, K51)+COUNTIF($K$16005:$K$16005, K51)+COUNTIF($K$15970:$K$15970, K51)+COUNTIF($K$15979:$K$15979, K51)+COUNTIF($K$15991:$K$15993, K51)+COUNTIF($K$15864:$K$15869, K51)+COUNTIF($K$15999:$K$15999, K51)+COUNTIF($K$15997:$K$15997, K51)+COUNTIF($K$16003:$K$16003, K51)+COUNTIF($K$15967:$K$15968, K51)+COUNTIF($K$15977:$K$15977, K51)+COUNTIF($K$15982:$K$15982, K51)+COUNTIF($K$15720:$K$15723, K51)+COUNTIF($K$15761:$K$15768, K51)+COUNTIF($K$15774:$K$15777, K51)+COUNTIF($K$15779:$K$15786, K51)+COUNTIF($K$15665:$K$15674, K51)+COUNTIF($K$15700:$K$15704, K51)+COUNTIF($K$15398:$K$15411, K51)+COUNTIF($K$15254:$K$15272, K51)+COUNTIF($K$15371:$K$15377, K51)+COUNTIF($K$15320:$K$15331, K51)+COUNTIF($K$15340:$K$15342, K51)+COUNTIF($K$15360:$K$15363, K51)+COUNTIF($K$15274:$K$15300, K51)+COUNTIF($K$12833:$K$15210, K51)+COUNTIF($K$15228:$K$15236, K51)+COUNTIF($K$15380:$K$15383, K51)+COUNTIF($K$15726:$K$15727, K51)+COUNTIF($K$15872:$K$15873, K51)+COUNTIF($K$15915:$K$15922, K51)+COUNTIF($K$15801:$K$15807, K51)+COUNTIF($K$15789:$K$15796, K51)&gt;1,NOT(ISBLANK(K51)))</formula>
    </cfRule>
  </conditionalFormatting>
  <conditionalFormatting sqref="L51">
    <cfRule type="expression" dxfId="388" priority="100" stopIfTrue="1">
      <formula>AND(COUNTIF($K$12093:$K$12093, L51)&gt;1,NOT(ISBLANK(L51)))</formula>
    </cfRule>
  </conditionalFormatting>
  <conditionalFormatting sqref="L51">
    <cfRule type="expression" dxfId="387" priority="101" stopIfTrue="1">
      <formula>AND(COUNTIF(#REF!, L51)+COUNTIF($K$15488:$K$15494, L51)+COUNTIF($K$15567:$K$15567, L51)+COUNTIF($K$15591:$K$15591, L51)+COUNTIF($K$15532:$K$15536, L51)+COUNTIF($K$15587:$K$15587, L51)+COUNTIF($K$15552:$K$15552, L51)+COUNTIF($K$15561:$K$15561, L51)+COUNTIF($K$15573:$K$15575, L51)+COUNTIF($K$15446:$K$15451, L51)+COUNTIF($K$15581:$K$15581, L51)+COUNTIF($K$15579:$K$15579, L51)+COUNTIF($K$15585:$K$15585, L51)+COUNTIF($K$15549:$K$15550, L51)+COUNTIF($K$15559:$K$15559, L51)+COUNTIF($K$15564:$K$15564, L51)+COUNTIF($K$15302:$K$15305, L51)+COUNTIF($K$15343:$K$15350, L51)+COUNTIF($K$15356:$K$15359, L51)+COUNTIF($K$15361:$K$15368, L51)+COUNTIF($K$15247:$K$15256, L51)+COUNTIF($K$15282:$K$15286, L51)+COUNTIF($K$14980:$K$14993, L51)+COUNTIF($K$14836:$K$14854, L51)+COUNTIF($K$14953:$K$14959, L51)+COUNTIF($K$14902:$K$14913, L51)+COUNTIF($K$14922:$K$14924, L51)+COUNTIF($K$14942:$K$14945, L51)+COUNTIF($K$14856:$K$14882, L51)+COUNTIF($K$12058:$K$14792, L51)+COUNTIF($K$14810:$K$14818, L51)+COUNTIF($K$14962:$K$14965, L51)+COUNTIF($K$15308:$K$15309, L51)+COUNTIF($K$15454:$K$15455, L51)+COUNTIF($K$15497:$K$15504, L51)+COUNTIF($K$15383:$K$15389, L51)+COUNTIF($K$15371:$K$15378, L51)&gt;1,NOT(ISBLANK(L51)))</formula>
    </cfRule>
  </conditionalFormatting>
  <conditionalFormatting sqref="L51">
    <cfRule type="expression" dxfId="386" priority="102" stopIfTrue="1">
      <formula>AND(COUNTIF(#REF!, L51)+COUNTIF($K$15131:$K$15137, L51)+COUNTIF($K$15210:$K$15210, L51)+COUNTIF($K$15234:$K$15234, L51)+COUNTIF($K$15175:$K$15179, L51)+COUNTIF($K$15230:$K$15230, L51)+COUNTIF($K$15195:$K$15195, L51)+COUNTIF($K$15204:$K$15204, L51)+COUNTIF($K$15216:$K$15218, L51)+COUNTIF($K$15089:$K$15094, L51)+COUNTIF($K$15224:$K$15224, L51)+COUNTIF($K$15222:$K$15222, L51)+COUNTIF($K$15228:$K$15228, L51)+COUNTIF($K$15192:$K$15193, L51)+COUNTIF($K$15202:$K$15202, L51)+COUNTIF($K$15207:$K$15207, L51)+COUNTIF($K$14945:$K$14948, L51)+COUNTIF($K$14986:$K$14993, L51)+COUNTIF($K$14999:$K$15002, L51)+COUNTIF($K$15004:$K$15011, L51)+COUNTIF($K$14890:$K$14899, L51)+COUNTIF($K$14925:$K$14929, L51)+COUNTIF($K$14623:$K$14636, L51)+COUNTIF($K$14479:$K$14497, L51)+COUNTIF($K$14596:$K$14602, L51)+COUNTIF($K$14545:$K$14556, L51)+COUNTIF($K$14565:$K$14567, L51)+COUNTIF($K$14585:$K$14588, L51)+COUNTIF($K$14499:$K$14525, L51)+COUNTIF($K$12058:$K$14435, L51)+COUNTIF($K$14453:$K$14461, L51)+COUNTIF($K$14605:$K$14608, L51)+COUNTIF($K$14951:$K$14952, L51)+COUNTIF($K$15097:$K$15098, L51)+COUNTIF($K$15140:$K$15147, L51)+COUNTIF($K$15026:$K$15032, L51)+COUNTIF($K$15014:$K$15021, L51)&gt;1,NOT(ISBLANK(L51)))</formula>
    </cfRule>
  </conditionalFormatting>
  <conditionalFormatting sqref="L51">
    <cfRule type="duplicateValues" dxfId="385" priority="103"/>
  </conditionalFormatting>
  <conditionalFormatting sqref="C51">
    <cfRule type="duplicateValues" dxfId="384" priority="104"/>
  </conditionalFormatting>
  <conditionalFormatting sqref="K52">
    <cfRule type="expression" dxfId="383" priority="89" stopIfTrue="1">
      <formula>AND(COUNTIF($K$12868:$K$12868, K52)&gt;1,NOT(ISBLANK(K52)))</formula>
    </cfRule>
  </conditionalFormatting>
  <conditionalFormatting sqref="K52">
    <cfRule type="expression" dxfId="382" priority="90" stopIfTrue="1">
      <formula>AND(COUNTIF(#REF!, K52)+COUNTIF($K$16263:$K$16269, K52)+COUNTIF($K$16342:$K$16342, K52)+COUNTIF($K$16366:$K$16366, K52)+COUNTIF($K$16307:$K$16311, K52)+COUNTIF($K$16362:$K$16362, K52)+COUNTIF($K$16327:$K$16327, K52)+COUNTIF($K$16336:$K$16336, K52)+COUNTIF($K$16348:$K$16350, K52)+COUNTIF($K$16221:$K$16226, K52)+COUNTIF($K$16356:$K$16356, K52)+COUNTIF($K$16354:$K$16354, K52)+COUNTIF($K$16360:$K$16360, K52)+COUNTIF($K$16324:$K$16325, K52)+COUNTIF($K$16334:$K$16334, K52)+COUNTIF($K$16339:$K$16339, K52)+COUNTIF($K$16077:$K$16080, K52)+COUNTIF($K$16118:$K$16125, K52)+COUNTIF($K$16131:$K$16134, K52)+COUNTIF($K$16136:$K$16143, K52)+COUNTIF($K$16022:$K$16031, K52)+COUNTIF($K$16057:$K$16061, K52)+COUNTIF($K$15755:$K$15768, K52)+COUNTIF($K$15611:$K$15629, K52)+COUNTIF($K$15728:$K$15734, K52)+COUNTIF($K$15677:$K$15688, K52)+COUNTIF($K$15697:$K$15699, K52)+COUNTIF($K$15717:$K$15720, K52)+COUNTIF($K$15631:$K$15657, K52)+COUNTIF($K$12833:$K$15567, K52)+COUNTIF($K$15585:$K$15593, K52)+COUNTIF($K$15737:$K$15740, K52)+COUNTIF($K$16083:$K$16084, K52)+COUNTIF($K$16229:$K$16230, K52)+COUNTIF($K$16272:$K$16279, K52)+COUNTIF($K$16158:$K$16164, K52)+COUNTIF($K$16146:$K$16153, K52)&gt;1,NOT(ISBLANK(K52)))</formula>
    </cfRule>
  </conditionalFormatting>
  <conditionalFormatting sqref="K52">
    <cfRule type="expression" dxfId="381" priority="91" stopIfTrue="1">
      <formula>AND(COUNTIF(#REF!, K52)+COUNTIF($K$15906:$K$15912, K52)+COUNTIF($K$15985:$K$15985, K52)+COUNTIF($K$16009:$K$16009, K52)+COUNTIF($K$15950:$K$15954, K52)+COUNTIF($K$16005:$K$16005, K52)+COUNTIF($K$15970:$K$15970, K52)+COUNTIF($K$15979:$K$15979, K52)+COUNTIF($K$15991:$K$15993, K52)+COUNTIF($K$15864:$K$15869, K52)+COUNTIF($K$15999:$K$15999, K52)+COUNTIF($K$15997:$K$15997, K52)+COUNTIF($K$16003:$K$16003, K52)+COUNTIF($K$15967:$K$15968, K52)+COUNTIF($K$15977:$K$15977, K52)+COUNTIF($K$15982:$K$15982, K52)+COUNTIF($K$15720:$K$15723, K52)+COUNTIF($K$15761:$K$15768, K52)+COUNTIF($K$15774:$K$15777, K52)+COUNTIF($K$15779:$K$15786, K52)+COUNTIF($K$15665:$K$15674, K52)+COUNTIF($K$15700:$K$15704, K52)+COUNTIF($K$15398:$K$15411, K52)+COUNTIF($K$15254:$K$15272, K52)+COUNTIF($K$15371:$K$15377, K52)+COUNTIF($K$15320:$K$15331, K52)+COUNTIF($K$15340:$K$15342, K52)+COUNTIF($K$15360:$K$15363, K52)+COUNTIF($K$15274:$K$15300, K52)+COUNTIF($K$12833:$K$15210, K52)+COUNTIF($K$15228:$K$15236, K52)+COUNTIF($K$15380:$K$15383, K52)+COUNTIF($K$15726:$K$15727, K52)+COUNTIF($K$15872:$K$15873, K52)+COUNTIF($K$15915:$K$15922, K52)+COUNTIF($K$15801:$K$15807, K52)+COUNTIF($K$15789:$K$15796, K52)&gt;1,NOT(ISBLANK(K52)))</formula>
    </cfRule>
  </conditionalFormatting>
  <conditionalFormatting sqref="L52">
    <cfRule type="expression" dxfId="380" priority="92" stopIfTrue="1">
      <formula>AND(COUNTIF($K$12093:$K$12093, L52)&gt;1,NOT(ISBLANK(L52)))</formula>
    </cfRule>
  </conditionalFormatting>
  <conditionalFormatting sqref="L52">
    <cfRule type="expression" dxfId="379" priority="93" stopIfTrue="1">
      <formula>AND(COUNTIF(#REF!, L52)+COUNTIF($K$15488:$K$15494, L52)+COUNTIF($K$15567:$K$15567, L52)+COUNTIF($K$15591:$K$15591, L52)+COUNTIF($K$15532:$K$15536, L52)+COUNTIF($K$15587:$K$15587, L52)+COUNTIF($K$15552:$K$15552, L52)+COUNTIF($K$15561:$K$15561, L52)+COUNTIF($K$15573:$K$15575, L52)+COUNTIF($K$15446:$K$15451, L52)+COUNTIF($K$15581:$K$15581, L52)+COUNTIF($K$15579:$K$15579, L52)+COUNTIF($K$15585:$K$15585, L52)+COUNTIF($K$15549:$K$15550, L52)+COUNTIF($K$15559:$K$15559, L52)+COUNTIF($K$15564:$K$15564, L52)+COUNTIF($K$15302:$K$15305, L52)+COUNTIF($K$15343:$K$15350, L52)+COUNTIF($K$15356:$K$15359, L52)+COUNTIF($K$15361:$K$15368, L52)+COUNTIF($K$15247:$K$15256, L52)+COUNTIF($K$15282:$K$15286, L52)+COUNTIF($K$14980:$K$14993, L52)+COUNTIF($K$14836:$K$14854, L52)+COUNTIF($K$14953:$K$14959, L52)+COUNTIF($K$14902:$K$14913, L52)+COUNTIF($K$14922:$K$14924, L52)+COUNTIF($K$14942:$K$14945, L52)+COUNTIF($K$14856:$K$14882, L52)+COUNTIF($K$12058:$K$14792, L52)+COUNTIF($K$14810:$K$14818, L52)+COUNTIF($K$14962:$K$14965, L52)+COUNTIF($K$15308:$K$15309, L52)+COUNTIF($K$15454:$K$15455, L52)+COUNTIF($K$15497:$K$15504, L52)+COUNTIF($K$15383:$K$15389, L52)+COUNTIF($K$15371:$K$15378, L52)&gt;1,NOT(ISBLANK(L52)))</formula>
    </cfRule>
  </conditionalFormatting>
  <conditionalFormatting sqref="L52">
    <cfRule type="expression" dxfId="378" priority="94" stopIfTrue="1">
      <formula>AND(COUNTIF(#REF!, L52)+COUNTIF($K$15131:$K$15137, L52)+COUNTIF($K$15210:$K$15210, L52)+COUNTIF($K$15234:$K$15234, L52)+COUNTIF($K$15175:$K$15179, L52)+COUNTIF($K$15230:$K$15230, L52)+COUNTIF($K$15195:$K$15195, L52)+COUNTIF($K$15204:$K$15204, L52)+COUNTIF($K$15216:$K$15218, L52)+COUNTIF($K$15089:$K$15094, L52)+COUNTIF($K$15224:$K$15224, L52)+COUNTIF($K$15222:$K$15222, L52)+COUNTIF($K$15228:$K$15228, L52)+COUNTIF($K$15192:$K$15193, L52)+COUNTIF($K$15202:$K$15202, L52)+COUNTIF($K$15207:$K$15207, L52)+COUNTIF($K$14945:$K$14948, L52)+COUNTIF($K$14986:$K$14993, L52)+COUNTIF($K$14999:$K$15002, L52)+COUNTIF($K$15004:$K$15011, L52)+COUNTIF($K$14890:$K$14899, L52)+COUNTIF($K$14925:$K$14929, L52)+COUNTIF($K$14623:$K$14636, L52)+COUNTIF($K$14479:$K$14497, L52)+COUNTIF($K$14596:$K$14602, L52)+COUNTIF($K$14545:$K$14556, L52)+COUNTIF($K$14565:$K$14567, L52)+COUNTIF($K$14585:$K$14588, L52)+COUNTIF($K$14499:$K$14525, L52)+COUNTIF($K$12058:$K$14435, L52)+COUNTIF($K$14453:$K$14461, L52)+COUNTIF($K$14605:$K$14608, L52)+COUNTIF($K$14951:$K$14952, L52)+COUNTIF($K$15097:$K$15098, L52)+COUNTIF($K$15140:$K$15147, L52)+COUNTIF($K$15026:$K$15032, L52)+COUNTIF($K$15014:$K$15021, L52)&gt;1,NOT(ISBLANK(L52)))</formula>
    </cfRule>
  </conditionalFormatting>
  <conditionalFormatting sqref="L52">
    <cfRule type="duplicateValues" dxfId="377" priority="95"/>
  </conditionalFormatting>
  <conditionalFormatting sqref="C52">
    <cfRule type="duplicateValues" dxfId="376" priority="96"/>
  </conditionalFormatting>
  <conditionalFormatting sqref="K53">
    <cfRule type="expression" dxfId="375" priority="81" stopIfTrue="1">
      <formula>AND(COUNTIF($K$12868:$K$12868, K53)&gt;1,NOT(ISBLANK(K53)))</formula>
    </cfRule>
  </conditionalFormatting>
  <conditionalFormatting sqref="K53">
    <cfRule type="expression" dxfId="374" priority="82" stopIfTrue="1">
      <formula>AND(COUNTIF(#REF!, K53)+COUNTIF($K$16263:$K$16269, K53)+COUNTIF($K$16342:$K$16342, K53)+COUNTIF($K$16366:$K$16366, K53)+COUNTIF($K$16307:$K$16311, K53)+COUNTIF($K$16362:$K$16362, K53)+COUNTIF($K$16327:$K$16327, K53)+COUNTIF($K$16336:$K$16336, K53)+COUNTIF($K$16348:$K$16350, K53)+COUNTIF($K$16221:$K$16226, K53)+COUNTIF($K$16356:$K$16356, K53)+COUNTIF($K$16354:$K$16354, K53)+COUNTIF($K$16360:$K$16360, K53)+COUNTIF($K$16324:$K$16325, K53)+COUNTIF($K$16334:$K$16334, K53)+COUNTIF($K$16339:$K$16339, K53)+COUNTIF($K$16077:$K$16080, K53)+COUNTIF($K$16118:$K$16125, K53)+COUNTIF($K$16131:$K$16134, K53)+COUNTIF($K$16136:$K$16143, K53)+COUNTIF($K$16022:$K$16031, K53)+COUNTIF($K$16057:$K$16061, K53)+COUNTIF($K$15755:$K$15768, K53)+COUNTIF($K$15611:$K$15629, K53)+COUNTIF($K$15728:$K$15734, K53)+COUNTIF($K$15677:$K$15688, K53)+COUNTIF($K$15697:$K$15699, K53)+COUNTIF($K$15717:$K$15720, K53)+COUNTIF($K$15631:$K$15657, K53)+COUNTIF($K$12833:$K$15567, K53)+COUNTIF($K$15585:$K$15593, K53)+COUNTIF($K$15737:$K$15740, K53)+COUNTIF($K$16083:$K$16084, K53)+COUNTIF($K$16229:$K$16230, K53)+COUNTIF($K$16272:$K$16279, K53)+COUNTIF($K$16158:$K$16164, K53)+COUNTIF($K$16146:$K$16153, K53)&gt;1,NOT(ISBLANK(K53)))</formula>
    </cfRule>
  </conditionalFormatting>
  <conditionalFormatting sqref="K53">
    <cfRule type="expression" dxfId="373" priority="83" stopIfTrue="1">
      <formula>AND(COUNTIF(#REF!, K53)+COUNTIF($K$15906:$K$15912, K53)+COUNTIF($K$15985:$K$15985, K53)+COUNTIF($K$16009:$K$16009, K53)+COUNTIF($K$15950:$K$15954, K53)+COUNTIF($K$16005:$K$16005, K53)+COUNTIF($K$15970:$K$15970, K53)+COUNTIF($K$15979:$K$15979, K53)+COUNTIF($K$15991:$K$15993, K53)+COUNTIF($K$15864:$K$15869, K53)+COUNTIF($K$15999:$K$15999, K53)+COUNTIF($K$15997:$K$15997, K53)+COUNTIF($K$16003:$K$16003, K53)+COUNTIF($K$15967:$K$15968, K53)+COUNTIF($K$15977:$K$15977, K53)+COUNTIF($K$15982:$K$15982, K53)+COUNTIF($K$15720:$K$15723, K53)+COUNTIF($K$15761:$K$15768, K53)+COUNTIF($K$15774:$K$15777, K53)+COUNTIF($K$15779:$K$15786, K53)+COUNTIF($K$15665:$K$15674, K53)+COUNTIF($K$15700:$K$15704, K53)+COUNTIF($K$15398:$K$15411, K53)+COUNTIF($K$15254:$K$15272, K53)+COUNTIF($K$15371:$K$15377, K53)+COUNTIF($K$15320:$K$15331, K53)+COUNTIF($K$15340:$K$15342, K53)+COUNTIF($K$15360:$K$15363, K53)+COUNTIF($K$15274:$K$15300, K53)+COUNTIF($K$12833:$K$15210, K53)+COUNTIF($K$15228:$K$15236, K53)+COUNTIF($K$15380:$K$15383, K53)+COUNTIF($K$15726:$K$15727, K53)+COUNTIF($K$15872:$K$15873, K53)+COUNTIF($K$15915:$K$15922, K53)+COUNTIF($K$15801:$K$15807, K53)+COUNTIF($K$15789:$K$15796, K53)&gt;1,NOT(ISBLANK(K53)))</formula>
    </cfRule>
  </conditionalFormatting>
  <conditionalFormatting sqref="L53">
    <cfRule type="expression" dxfId="372" priority="84" stopIfTrue="1">
      <formula>AND(COUNTIF($K$12093:$K$12093, L53)&gt;1,NOT(ISBLANK(L53)))</formula>
    </cfRule>
  </conditionalFormatting>
  <conditionalFormatting sqref="L53">
    <cfRule type="expression" dxfId="371" priority="85" stopIfTrue="1">
      <formula>AND(COUNTIF(#REF!, L53)+COUNTIF($K$15488:$K$15494, L53)+COUNTIF($K$15567:$K$15567, L53)+COUNTIF($K$15591:$K$15591, L53)+COUNTIF($K$15532:$K$15536, L53)+COUNTIF($K$15587:$K$15587, L53)+COUNTIF($K$15552:$K$15552, L53)+COUNTIF($K$15561:$K$15561, L53)+COUNTIF($K$15573:$K$15575, L53)+COUNTIF($K$15446:$K$15451, L53)+COUNTIF($K$15581:$K$15581, L53)+COUNTIF($K$15579:$K$15579, L53)+COUNTIF($K$15585:$K$15585, L53)+COUNTIF($K$15549:$K$15550, L53)+COUNTIF($K$15559:$K$15559, L53)+COUNTIF($K$15564:$K$15564, L53)+COUNTIF($K$15302:$K$15305, L53)+COUNTIF($K$15343:$K$15350, L53)+COUNTIF($K$15356:$K$15359, L53)+COUNTIF($K$15361:$K$15368, L53)+COUNTIF($K$15247:$K$15256, L53)+COUNTIF($K$15282:$K$15286, L53)+COUNTIF($K$14980:$K$14993, L53)+COUNTIF($K$14836:$K$14854, L53)+COUNTIF($K$14953:$K$14959, L53)+COUNTIF($K$14902:$K$14913, L53)+COUNTIF($K$14922:$K$14924, L53)+COUNTIF($K$14942:$K$14945, L53)+COUNTIF($K$14856:$K$14882, L53)+COUNTIF($K$12058:$K$14792, L53)+COUNTIF($K$14810:$K$14818, L53)+COUNTIF($K$14962:$K$14965, L53)+COUNTIF($K$15308:$K$15309, L53)+COUNTIF($K$15454:$K$15455, L53)+COUNTIF($K$15497:$K$15504, L53)+COUNTIF($K$15383:$K$15389, L53)+COUNTIF($K$15371:$K$15378, L53)&gt;1,NOT(ISBLANK(L53)))</formula>
    </cfRule>
  </conditionalFormatting>
  <conditionalFormatting sqref="L53">
    <cfRule type="expression" dxfId="370" priority="86" stopIfTrue="1">
      <formula>AND(COUNTIF(#REF!, L53)+COUNTIF($K$15131:$K$15137, L53)+COUNTIF($K$15210:$K$15210, L53)+COUNTIF($K$15234:$K$15234, L53)+COUNTIF($K$15175:$K$15179, L53)+COUNTIF($K$15230:$K$15230, L53)+COUNTIF($K$15195:$K$15195, L53)+COUNTIF($K$15204:$K$15204, L53)+COUNTIF($K$15216:$K$15218, L53)+COUNTIF($K$15089:$K$15094, L53)+COUNTIF($K$15224:$K$15224, L53)+COUNTIF($K$15222:$K$15222, L53)+COUNTIF($K$15228:$K$15228, L53)+COUNTIF($K$15192:$K$15193, L53)+COUNTIF($K$15202:$K$15202, L53)+COUNTIF($K$15207:$K$15207, L53)+COUNTIF($K$14945:$K$14948, L53)+COUNTIF($K$14986:$K$14993, L53)+COUNTIF($K$14999:$K$15002, L53)+COUNTIF($K$15004:$K$15011, L53)+COUNTIF($K$14890:$K$14899, L53)+COUNTIF($K$14925:$K$14929, L53)+COUNTIF($K$14623:$K$14636, L53)+COUNTIF($K$14479:$K$14497, L53)+COUNTIF($K$14596:$K$14602, L53)+COUNTIF($K$14545:$K$14556, L53)+COUNTIF($K$14565:$K$14567, L53)+COUNTIF($K$14585:$K$14588, L53)+COUNTIF($K$14499:$K$14525, L53)+COUNTIF($K$12058:$K$14435, L53)+COUNTIF($K$14453:$K$14461, L53)+COUNTIF($K$14605:$K$14608, L53)+COUNTIF($K$14951:$K$14952, L53)+COUNTIF($K$15097:$K$15098, L53)+COUNTIF($K$15140:$K$15147, L53)+COUNTIF($K$15026:$K$15032, L53)+COUNTIF($K$15014:$K$15021, L53)&gt;1,NOT(ISBLANK(L53)))</formula>
    </cfRule>
  </conditionalFormatting>
  <conditionalFormatting sqref="L53">
    <cfRule type="duplicateValues" dxfId="369" priority="87"/>
  </conditionalFormatting>
  <conditionalFormatting sqref="C53">
    <cfRule type="duplicateValues" dxfId="368" priority="88"/>
  </conditionalFormatting>
  <conditionalFormatting sqref="K54">
    <cfRule type="expression" dxfId="367" priority="73" stopIfTrue="1">
      <formula>AND(COUNTIF($K$12868:$K$12868, K54)&gt;1,NOT(ISBLANK(K54)))</formula>
    </cfRule>
  </conditionalFormatting>
  <conditionalFormatting sqref="K54">
    <cfRule type="expression" dxfId="366" priority="74" stopIfTrue="1">
      <formula>AND(COUNTIF(#REF!, K54)+COUNTIF($K$16263:$K$16269, K54)+COUNTIF($K$16342:$K$16342, K54)+COUNTIF($K$16366:$K$16366, K54)+COUNTIF($K$16307:$K$16311, K54)+COUNTIF($K$16362:$K$16362, K54)+COUNTIF($K$16327:$K$16327, K54)+COUNTIF($K$16336:$K$16336, K54)+COUNTIF($K$16348:$K$16350, K54)+COUNTIF($K$16221:$K$16226, K54)+COUNTIF($K$16356:$K$16356, K54)+COUNTIF($K$16354:$K$16354, K54)+COUNTIF($K$16360:$K$16360, K54)+COUNTIF($K$16324:$K$16325, K54)+COUNTIF($K$16334:$K$16334, K54)+COUNTIF($K$16339:$K$16339, K54)+COUNTIF($K$16077:$K$16080, K54)+COUNTIF($K$16118:$K$16125, K54)+COUNTIF($K$16131:$K$16134, K54)+COUNTIF($K$16136:$K$16143, K54)+COUNTIF($K$16022:$K$16031, K54)+COUNTIF($K$16057:$K$16061, K54)+COUNTIF($K$15755:$K$15768, K54)+COUNTIF($K$15611:$K$15629, K54)+COUNTIF($K$15728:$K$15734, K54)+COUNTIF($K$15677:$K$15688, K54)+COUNTIF($K$15697:$K$15699, K54)+COUNTIF($K$15717:$K$15720, K54)+COUNTIF($K$15631:$K$15657, K54)+COUNTIF($K$12833:$K$15567, K54)+COUNTIF($K$15585:$K$15593, K54)+COUNTIF($K$15737:$K$15740, K54)+COUNTIF($K$16083:$K$16084, K54)+COUNTIF($K$16229:$K$16230, K54)+COUNTIF($K$16272:$K$16279, K54)+COUNTIF($K$16158:$K$16164, K54)+COUNTIF($K$16146:$K$16153, K54)&gt;1,NOT(ISBLANK(K54)))</formula>
    </cfRule>
  </conditionalFormatting>
  <conditionalFormatting sqref="K54">
    <cfRule type="expression" dxfId="365" priority="75" stopIfTrue="1">
      <formula>AND(COUNTIF(#REF!, K54)+COUNTIF($K$15906:$K$15912, K54)+COUNTIF($K$15985:$K$15985, K54)+COUNTIF($K$16009:$K$16009, K54)+COUNTIF($K$15950:$K$15954, K54)+COUNTIF($K$16005:$K$16005, K54)+COUNTIF($K$15970:$K$15970, K54)+COUNTIF($K$15979:$K$15979, K54)+COUNTIF($K$15991:$K$15993, K54)+COUNTIF($K$15864:$K$15869, K54)+COUNTIF($K$15999:$K$15999, K54)+COUNTIF($K$15997:$K$15997, K54)+COUNTIF($K$16003:$K$16003, K54)+COUNTIF($K$15967:$K$15968, K54)+COUNTIF($K$15977:$K$15977, K54)+COUNTIF($K$15982:$K$15982, K54)+COUNTIF($K$15720:$K$15723, K54)+COUNTIF($K$15761:$K$15768, K54)+COUNTIF($K$15774:$K$15777, K54)+COUNTIF($K$15779:$K$15786, K54)+COUNTIF($K$15665:$K$15674, K54)+COUNTIF($K$15700:$K$15704, K54)+COUNTIF($K$15398:$K$15411, K54)+COUNTIF($K$15254:$K$15272, K54)+COUNTIF($K$15371:$K$15377, K54)+COUNTIF($K$15320:$K$15331, K54)+COUNTIF($K$15340:$K$15342, K54)+COUNTIF($K$15360:$K$15363, K54)+COUNTIF($K$15274:$K$15300, K54)+COUNTIF($K$12833:$K$15210, K54)+COUNTIF($K$15228:$K$15236, K54)+COUNTIF($K$15380:$K$15383, K54)+COUNTIF($K$15726:$K$15727, K54)+COUNTIF($K$15872:$K$15873, K54)+COUNTIF($K$15915:$K$15922, K54)+COUNTIF($K$15801:$K$15807, K54)+COUNTIF($K$15789:$K$15796, K54)&gt;1,NOT(ISBLANK(K54)))</formula>
    </cfRule>
  </conditionalFormatting>
  <conditionalFormatting sqref="L54">
    <cfRule type="expression" dxfId="364" priority="76" stopIfTrue="1">
      <formula>AND(COUNTIF($K$12093:$K$12093, L54)&gt;1,NOT(ISBLANK(L54)))</formula>
    </cfRule>
  </conditionalFormatting>
  <conditionalFormatting sqref="L54">
    <cfRule type="expression" dxfId="363" priority="77" stopIfTrue="1">
      <formula>AND(COUNTIF(#REF!, L54)+COUNTIF($K$15488:$K$15494, L54)+COUNTIF($K$15567:$K$15567, L54)+COUNTIF($K$15591:$K$15591, L54)+COUNTIF($K$15532:$K$15536, L54)+COUNTIF($K$15587:$K$15587, L54)+COUNTIF($K$15552:$K$15552, L54)+COUNTIF($K$15561:$K$15561, L54)+COUNTIF($K$15573:$K$15575, L54)+COUNTIF($K$15446:$K$15451, L54)+COUNTIF($K$15581:$K$15581, L54)+COUNTIF($K$15579:$K$15579, L54)+COUNTIF($K$15585:$K$15585, L54)+COUNTIF($K$15549:$K$15550, L54)+COUNTIF($K$15559:$K$15559, L54)+COUNTIF($K$15564:$K$15564, L54)+COUNTIF($K$15302:$K$15305, L54)+COUNTIF($K$15343:$K$15350, L54)+COUNTIF($K$15356:$K$15359, L54)+COUNTIF($K$15361:$K$15368, L54)+COUNTIF($K$15247:$K$15256, L54)+COUNTIF($K$15282:$K$15286, L54)+COUNTIF($K$14980:$K$14993, L54)+COUNTIF($K$14836:$K$14854, L54)+COUNTIF($K$14953:$K$14959, L54)+COUNTIF($K$14902:$K$14913, L54)+COUNTIF($K$14922:$K$14924, L54)+COUNTIF($K$14942:$K$14945, L54)+COUNTIF($K$14856:$K$14882, L54)+COUNTIF($K$12058:$K$14792, L54)+COUNTIF($K$14810:$K$14818, L54)+COUNTIF($K$14962:$K$14965, L54)+COUNTIF($K$15308:$K$15309, L54)+COUNTIF($K$15454:$K$15455, L54)+COUNTIF($K$15497:$K$15504, L54)+COUNTIF($K$15383:$K$15389, L54)+COUNTIF($K$15371:$K$15378, L54)&gt;1,NOT(ISBLANK(L54)))</formula>
    </cfRule>
  </conditionalFormatting>
  <conditionalFormatting sqref="L54">
    <cfRule type="expression" dxfId="362" priority="78" stopIfTrue="1">
      <formula>AND(COUNTIF(#REF!, L54)+COUNTIF($K$15131:$K$15137, L54)+COUNTIF($K$15210:$K$15210, L54)+COUNTIF($K$15234:$K$15234, L54)+COUNTIF($K$15175:$K$15179, L54)+COUNTIF($K$15230:$K$15230, L54)+COUNTIF($K$15195:$K$15195, L54)+COUNTIF($K$15204:$K$15204, L54)+COUNTIF($K$15216:$K$15218, L54)+COUNTIF($K$15089:$K$15094, L54)+COUNTIF($K$15224:$K$15224, L54)+COUNTIF($K$15222:$K$15222, L54)+COUNTIF($K$15228:$K$15228, L54)+COUNTIF($K$15192:$K$15193, L54)+COUNTIF($K$15202:$K$15202, L54)+COUNTIF($K$15207:$K$15207, L54)+COUNTIF($K$14945:$K$14948, L54)+COUNTIF($K$14986:$K$14993, L54)+COUNTIF($K$14999:$K$15002, L54)+COUNTIF($K$15004:$K$15011, L54)+COUNTIF($K$14890:$K$14899, L54)+COUNTIF($K$14925:$K$14929, L54)+COUNTIF($K$14623:$K$14636, L54)+COUNTIF($K$14479:$K$14497, L54)+COUNTIF($K$14596:$K$14602, L54)+COUNTIF($K$14545:$K$14556, L54)+COUNTIF($K$14565:$K$14567, L54)+COUNTIF($K$14585:$K$14588, L54)+COUNTIF($K$14499:$K$14525, L54)+COUNTIF($K$12058:$K$14435, L54)+COUNTIF($K$14453:$K$14461, L54)+COUNTIF($K$14605:$K$14608, L54)+COUNTIF($K$14951:$K$14952, L54)+COUNTIF($K$15097:$K$15098, L54)+COUNTIF($K$15140:$K$15147, L54)+COUNTIF($K$15026:$K$15032, L54)+COUNTIF($K$15014:$K$15021, L54)&gt;1,NOT(ISBLANK(L54)))</formula>
    </cfRule>
  </conditionalFormatting>
  <conditionalFormatting sqref="L54">
    <cfRule type="duplicateValues" dxfId="361" priority="79"/>
  </conditionalFormatting>
  <conditionalFormatting sqref="C54">
    <cfRule type="duplicateValues" dxfId="360" priority="80"/>
  </conditionalFormatting>
  <conditionalFormatting sqref="K59">
    <cfRule type="expression" dxfId="359" priority="65" stopIfTrue="1">
      <formula>AND(COUNTIF($K$12868:$K$12868, K59)&gt;1,NOT(ISBLANK(K59)))</formula>
    </cfRule>
  </conditionalFormatting>
  <conditionalFormatting sqref="K59">
    <cfRule type="expression" dxfId="358" priority="66" stopIfTrue="1">
      <formula>AND(COUNTIF(#REF!, K59)+COUNTIF($K$16263:$K$16269, K59)+COUNTIF($K$16342:$K$16342, K59)+COUNTIF($K$16366:$K$16366, K59)+COUNTIF($K$16307:$K$16311, K59)+COUNTIF($K$16362:$K$16362, K59)+COUNTIF($K$16327:$K$16327, K59)+COUNTIF($K$16336:$K$16336, K59)+COUNTIF($K$16348:$K$16350, K59)+COUNTIF($K$16221:$K$16226, K59)+COUNTIF($K$16356:$K$16356, K59)+COUNTIF($K$16354:$K$16354, K59)+COUNTIF($K$16360:$K$16360, K59)+COUNTIF($K$16324:$K$16325, K59)+COUNTIF($K$16334:$K$16334, K59)+COUNTIF($K$16339:$K$16339, K59)+COUNTIF($K$16077:$K$16080, K59)+COUNTIF($K$16118:$K$16125, K59)+COUNTIF($K$16131:$K$16134, K59)+COUNTIF($K$16136:$K$16143, K59)+COUNTIF($K$16022:$K$16031, K59)+COUNTIF($K$16057:$K$16061, K59)+COUNTIF($K$15755:$K$15768, K59)+COUNTIF($K$15611:$K$15629, K59)+COUNTIF($K$15728:$K$15734, K59)+COUNTIF($K$15677:$K$15688, K59)+COUNTIF($K$15697:$K$15699, K59)+COUNTIF($K$15717:$K$15720, K59)+COUNTIF($K$15631:$K$15657, K59)+COUNTIF($K$12833:$K$15567, K59)+COUNTIF($K$15585:$K$15593, K59)+COUNTIF($K$15737:$K$15740, K59)+COUNTIF($K$16083:$K$16084, K59)+COUNTIF($K$16229:$K$16230, K59)+COUNTIF($K$16272:$K$16279, K59)+COUNTIF($K$16158:$K$16164, K59)+COUNTIF($K$16146:$K$16153, K59)&gt;1,NOT(ISBLANK(K59)))</formula>
    </cfRule>
  </conditionalFormatting>
  <conditionalFormatting sqref="K59">
    <cfRule type="expression" dxfId="357" priority="67" stopIfTrue="1">
      <formula>AND(COUNTIF(#REF!, K59)+COUNTIF($K$15906:$K$15912, K59)+COUNTIF($K$15985:$K$15985, K59)+COUNTIF($K$16009:$K$16009, K59)+COUNTIF($K$15950:$K$15954, K59)+COUNTIF($K$16005:$K$16005, K59)+COUNTIF($K$15970:$K$15970, K59)+COUNTIF($K$15979:$K$15979, K59)+COUNTIF($K$15991:$K$15993, K59)+COUNTIF($K$15864:$K$15869, K59)+COUNTIF($K$15999:$K$15999, K59)+COUNTIF($K$15997:$K$15997, K59)+COUNTIF($K$16003:$K$16003, K59)+COUNTIF($K$15967:$K$15968, K59)+COUNTIF($K$15977:$K$15977, K59)+COUNTIF($K$15982:$K$15982, K59)+COUNTIF($K$15720:$K$15723, K59)+COUNTIF($K$15761:$K$15768, K59)+COUNTIF($K$15774:$K$15777, K59)+COUNTIF($K$15779:$K$15786, K59)+COUNTIF($K$15665:$K$15674, K59)+COUNTIF($K$15700:$K$15704, K59)+COUNTIF($K$15398:$K$15411, K59)+COUNTIF($K$15254:$K$15272, K59)+COUNTIF($K$15371:$K$15377, K59)+COUNTIF($K$15320:$K$15331, K59)+COUNTIF($K$15340:$K$15342, K59)+COUNTIF($K$15360:$K$15363, K59)+COUNTIF($K$15274:$K$15300, K59)+COUNTIF($K$12833:$K$15210, K59)+COUNTIF($K$15228:$K$15236, K59)+COUNTIF($K$15380:$K$15383, K59)+COUNTIF($K$15726:$K$15727, K59)+COUNTIF($K$15872:$K$15873, K59)+COUNTIF($K$15915:$K$15922, K59)+COUNTIF($K$15801:$K$15807, K59)+COUNTIF($K$15789:$K$15796, K59)&gt;1,NOT(ISBLANK(K59)))</formula>
    </cfRule>
  </conditionalFormatting>
  <conditionalFormatting sqref="L59">
    <cfRule type="expression" dxfId="356" priority="68" stopIfTrue="1">
      <formula>AND(COUNTIF($K$12093:$K$12093, L59)&gt;1,NOT(ISBLANK(L59)))</formula>
    </cfRule>
  </conditionalFormatting>
  <conditionalFormatting sqref="L59">
    <cfRule type="expression" dxfId="355" priority="69" stopIfTrue="1">
      <formula>AND(COUNTIF(#REF!, L59)+COUNTIF($K$15488:$K$15494, L59)+COUNTIF($K$15567:$K$15567, L59)+COUNTIF($K$15591:$K$15591, L59)+COUNTIF($K$15532:$K$15536, L59)+COUNTIF($K$15587:$K$15587, L59)+COUNTIF($K$15552:$K$15552, L59)+COUNTIF($K$15561:$K$15561, L59)+COUNTIF($K$15573:$K$15575, L59)+COUNTIF($K$15446:$K$15451, L59)+COUNTIF($K$15581:$K$15581, L59)+COUNTIF($K$15579:$K$15579, L59)+COUNTIF($K$15585:$K$15585, L59)+COUNTIF($K$15549:$K$15550, L59)+COUNTIF($K$15559:$K$15559, L59)+COUNTIF($K$15564:$K$15564, L59)+COUNTIF($K$15302:$K$15305, L59)+COUNTIF($K$15343:$K$15350, L59)+COUNTIF($K$15356:$K$15359, L59)+COUNTIF($K$15361:$K$15368, L59)+COUNTIF($K$15247:$K$15256, L59)+COUNTIF($K$15282:$K$15286, L59)+COUNTIF($K$14980:$K$14993, L59)+COUNTIF($K$14836:$K$14854, L59)+COUNTIF($K$14953:$K$14959, L59)+COUNTIF($K$14902:$K$14913, L59)+COUNTIF($K$14922:$K$14924, L59)+COUNTIF($K$14942:$K$14945, L59)+COUNTIF($K$14856:$K$14882, L59)+COUNTIF($K$12058:$K$14792, L59)+COUNTIF($K$14810:$K$14818, L59)+COUNTIF($K$14962:$K$14965, L59)+COUNTIF($K$15308:$K$15309, L59)+COUNTIF($K$15454:$K$15455, L59)+COUNTIF($K$15497:$K$15504, L59)+COUNTIF($K$15383:$K$15389, L59)+COUNTIF($K$15371:$K$15378, L59)&gt;1,NOT(ISBLANK(L59)))</formula>
    </cfRule>
  </conditionalFormatting>
  <conditionalFormatting sqref="L59">
    <cfRule type="expression" dxfId="354" priority="70" stopIfTrue="1">
      <formula>AND(COUNTIF(#REF!, L59)+COUNTIF($K$15131:$K$15137, L59)+COUNTIF($K$15210:$K$15210, L59)+COUNTIF($K$15234:$K$15234, L59)+COUNTIF($K$15175:$K$15179, L59)+COUNTIF($K$15230:$K$15230, L59)+COUNTIF($K$15195:$K$15195, L59)+COUNTIF($K$15204:$K$15204, L59)+COUNTIF($K$15216:$K$15218, L59)+COUNTIF($K$15089:$K$15094, L59)+COUNTIF($K$15224:$K$15224, L59)+COUNTIF($K$15222:$K$15222, L59)+COUNTIF($K$15228:$K$15228, L59)+COUNTIF($K$15192:$K$15193, L59)+COUNTIF($K$15202:$K$15202, L59)+COUNTIF($K$15207:$K$15207, L59)+COUNTIF($K$14945:$K$14948, L59)+COUNTIF($K$14986:$K$14993, L59)+COUNTIF($K$14999:$K$15002, L59)+COUNTIF($K$15004:$K$15011, L59)+COUNTIF($K$14890:$K$14899, L59)+COUNTIF($K$14925:$K$14929, L59)+COUNTIF($K$14623:$K$14636, L59)+COUNTIF($K$14479:$K$14497, L59)+COUNTIF($K$14596:$K$14602, L59)+COUNTIF($K$14545:$K$14556, L59)+COUNTIF($K$14565:$K$14567, L59)+COUNTIF($K$14585:$K$14588, L59)+COUNTIF($K$14499:$K$14525, L59)+COUNTIF($K$12058:$K$14435, L59)+COUNTIF($K$14453:$K$14461, L59)+COUNTIF($K$14605:$K$14608, L59)+COUNTIF($K$14951:$K$14952, L59)+COUNTIF($K$15097:$K$15098, L59)+COUNTIF($K$15140:$K$15147, L59)+COUNTIF($K$15026:$K$15032, L59)+COUNTIF($K$15014:$K$15021, L59)&gt;1,NOT(ISBLANK(L59)))</formula>
    </cfRule>
  </conditionalFormatting>
  <conditionalFormatting sqref="L59">
    <cfRule type="duplicateValues" dxfId="353" priority="71"/>
  </conditionalFormatting>
  <conditionalFormatting sqref="C59">
    <cfRule type="duplicateValues" dxfId="352" priority="72"/>
  </conditionalFormatting>
  <conditionalFormatting sqref="K75:K87">
    <cfRule type="expression" dxfId="351" priority="57" stopIfTrue="1">
      <formula>AND(COUNTIF($K$12831:$K$12831, K75)&gt;1,NOT(ISBLANK(K75)))</formula>
    </cfRule>
  </conditionalFormatting>
  <conditionalFormatting sqref="K75:K87">
    <cfRule type="expression" dxfId="350" priority="58" stopIfTrue="1">
      <formula>AND(COUNTIF(#REF!, K75)+COUNTIF($K$16226:$K$16232, K75)+COUNTIF($K$16305:$K$16305, K75)+COUNTIF($K$16329:$K$16329, K75)+COUNTIF($K$16270:$K$16274, K75)+COUNTIF($K$16325:$K$16325, K75)+COUNTIF($K$16290:$K$16290, K75)+COUNTIF($K$16299:$K$16299, K75)+COUNTIF($K$16311:$K$16313, K75)+COUNTIF($K$16184:$K$16189, K75)+COUNTIF($K$16319:$K$16319, K75)+COUNTIF($K$16317:$K$16317, K75)+COUNTIF($K$16323:$K$16323, K75)+COUNTIF($K$16287:$K$16288, K75)+COUNTIF($K$16297:$K$16297, K75)+COUNTIF($K$16302:$K$16302, K75)+COUNTIF($K$16040:$K$16043, K75)+COUNTIF($K$16081:$K$16088, K75)+COUNTIF($K$16094:$K$16097, K75)+COUNTIF($K$16099:$K$16106, K75)+COUNTIF($K$15985:$K$15994, K75)+COUNTIF($K$16020:$K$16024, K75)+COUNTIF($K$15718:$K$15731, K75)+COUNTIF($K$15574:$K$15592, K75)+COUNTIF($K$15691:$K$15697, K75)+COUNTIF($K$15640:$K$15651, K75)+COUNTIF($K$15660:$K$15662, K75)+COUNTIF($K$15680:$K$15683, K75)+COUNTIF($K$15594:$K$15620, K75)+COUNTIF($K$12796:$K$15530, K75)+COUNTIF($K$15548:$K$15556, K75)+COUNTIF($K$15700:$K$15703, K75)+COUNTIF($K$16046:$K$16047, K75)+COUNTIF($K$16192:$K$16193, K75)+COUNTIF($K$16235:$K$16242, K75)+COUNTIF($K$16121:$K$16127, K75)+COUNTIF($K$16109:$K$16116, K75)&gt;1,NOT(ISBLANK(K75)))</formula>
    </cfRule>
  </conditionalFormatting>
  <conditionalFormatting sqref="K75:K87">
    <cfRule type="expression" dxfId="349" priority="59" stopIfTrue="1">
      <formula>AND(COUNTIF(#REF!, K75)+COUNTIF($K$15869:$K$15875, K75)+COUNTIF($K$15948:$K$15948, K75)+COUNTIF($K$15972:$K$15972, K75)+COUNTIF($K$15913:$K$15917, K75)+COUNTIF($K$15968:$K$15968, K75)+COUNTIF($K$15933:$K$15933, K75)+COUNTIF($K$15942:$K$15942, K75)+COUNTIF($K$15954:$K$15956, K75)+COUNTIF($K$15827:$K$15832, K75)+COUNTIF($K$15962:$K$15962, K75)+COUNTIF($K$15960:$K$15960, K75)+COUNTIF($K$15966:$K$15966, K75)+COUNTIF($K$15930:$K$15931, K75)+COUNTIF($K$15940:$K$15940, K75)+COUNTIF($K$15945:$K$15945, K75)+COUNTIF($K$15683:$K$15686, K75)+COUNTIF($K$15724:$K$15731, K75)+COUNTIF($K$15737:$K$15740, K75)+COUNTIF($K$15742:$K$15749, K75)+COUNTIF($K$15628:$K$15637, K75)+COUNTIF($K$15663:$K$15667, K75)+COUNTIF($K$15361:$K$15374, K75)+COUNTIF($K$15217:$K$15235, K75)+COUNTIF($K$15334:$K$15340, K75)+COUNTIF($K$15283:$K$15294, K75)+COUNTIF($K$15303:$K$15305, K75)+COUNTIF($K$15323:$K$15326, K75)+COUNTIF($K$15237:$K$15263, K75)+COUNTIF($K$12796:$K$15173, K75)+COUNTIF($K$15191:$K$15199, K75)+COUNTIF($K$15343:$K$15346, K75)+COUNTIF($K$15689:$K$15690, K75)+COUNTIF($K$15835:$K$15836, K75)+COUNTIF($K$15878:$K$15885, K75)+COUNTIF($K$15764:$K$15770, K75)+COUNTIF($K$15752:$K$15759, K75)&gt;1,NOT(ISBLANK(K75)))</formula>
    </cfRule>
  </conditionalFormatting>
  <conditionalFormatting sqref="L75:L87">
    <cfRule type="expression" dxfId="348" priority="60" stopIfTrue="1">
      <formula>AND(COUNTIF($K$12056:$K$12056, L75)&gt;1,NOT(ISBLANK(L75)))</formula>
    </cfRule>
  </conditionalFormatting>
  <conditionalFormatting sqref="L75:L87">
    <cfRule type="expression" dxfId="347" priority="61" stopIfTrue="1">
      <formula>AND(COUNTIF(#REF!, L75)+COUNTIF($K$15451:$K$15457, L75)+COUNTIF($K$15530:$K$15530, L75)+COUNTIF($K$15554:$K$15554, L75)+COUNTIF($K$15495:$K$15499, L75)+COUNTIF($K$15550:$K$15550, L75)+COUNTIF($K$15515:$K$15515, L75)+COUNTIF($K$15524:$K$15524, L75)+COUNTIF($K$15536:$K$15538, L75)+COUNTIF($K$15409:$K$15414, L75)+COUNTIF($K$15544:$K$15544, L75)+COUNTIF($K$15542:$K$15542, L75)+COUNTIF($K$15548:$K$15548, L75)+COUNTIF($K$15512:$K$15513, L75)+COUNTIF($K$15522:$K$15522, L75)+COUNTIF($K$15527:$K$15527, L75)+COUNTIF($K$15265:$K$15268, L75)+COUNTIF($K$15306:$K$15313, L75)+COUNTIF($K$15319:$K$15322, L75)+COUNTIF($K$15324:$K$15331, L75)+COUNTIF($K$15210:$K$15219, L75)+COUNTIF($K$15245:$K$15249, L75)+COUNTIF($K$14943:$K$14956, L75)+COUNTIF($K$14799:$K$14817, L75)+COUNTIF($K$14916:$K$14922, L75)+COUNTIF($K$14865:$K$14876, L75)+COUNTIF($K$14885:$K$14887, L75)+COUNTIF($K$14905:$K$14908, L75)+COUNTIF($K$14819:$K$14845, L75)+COUNTIF($K$12021:$K$14755, L75)+COUNTIF($K$14773:$K$14781, L75)+COUNTIF($K$14925:$K$14928, L75)+COUNTIF($K$15271:$K$15272, L75)+COUNTIF($K$15417:$K$15418, L75)+COUNTIF($K$15460:$K$15467, L75)+COUNTIF($K$15346:$K$15352, L75)+COUNTIF($K$15334:$K$15341, L75)&gt;1,NOT(ISBLANK(L75)))</formula>
    </cfRule>
  </conditionalFormatting>
  <conditionalFormatting sqref="L75:L87">
    <cfRule type="expression" dxfId="346" priority="62" stopIfTrue="1">
      <formula>AND(COUNTIF(#REF!, L75)+COUNTIF($K$15094:$K$15100, L75)+COUNTIF($K$15173:$K$15173, L75)+COUNTIF($K$15197:$K$15197, L75)+COUNTIF($K$15138:$K$15142, L75)+COUNTIF($K$15193:$K$15193, L75)+COUNTIF($K$15158:$K$15158, L75)+COUNTIF($K$15167:$K$15167, L75)+COUNTIF($K$15179:$K$15181, L75)+COUNTIF($K$15052:$K$15057, L75)+COUNTIF($K$15187:$K$15187, L75)+COUNTIF($K$15185:$K$15185, L75)+COUNTIF($K$15191:$K$15191, L75)+COUNTIF($K$15155:$K$15156, L75)+COUNTIF($K$15165:$K$15165, L75)+COUNTIF($K$15170:$K$15170, L75)+COUNTIF($K$14908:$K$14911, L75)+COUNTIF($K$14949:$K$14956, L75)+COUNTIF($K$14962:$K$14965, L75)+COUNTIF($K$14967:$K$14974, L75)+COUNTIF($K$14853:$K$14862, L75)+COUNTIF($K$14888:$K$14892, L75)+COUNTIF($K$14586:$K$14599, L75)+COUNTIF($K$14442:$K$14460, L75)+COUNTIF($K$14559:$K$14565, L75)+COUNTIF($K$14508:$K$14519, L75)+COUNTIF($K$14528:$K$14530, L75)+COUNTIF($K$14548:$K$14551, L75)+COUNTIF($K$14462:$K$14488, L75)+COUNTIF($K$12021:$K$14398, L75)+COUNTIF($K$14416:$K$14424, L75)+COUNTIF($K$14568:$K$14571, L75)+COUNTIF($K$14914:$K$14915, L75)+COUNTIF($K$15060:$K$15061, L75)+COUNTIF($K$15103:$K$15110, L75)+COUNTIF($K$14989:$K$14995, L75)+COUNTIF($K$14977:$K$14984, L75)&gt;1,NOT(ISBLANK(L75)))</formula>
    </cfRule>
  </conditionalFormatting>
  <conditionalFormatting sqref="L75:L87">
    <cfRule type="duplicateValues" dxfId="345" priority="63"/>
  </conditionalFormatting>
  <conditionalFormatting sqref="C75:C87">
    <cfRule type="duplicateValues" dxfId="344" priority="64"/>
  </conditionalFormatting>
  <conditionalFormatting sqref="K88">
    <cfRule type="expression" dxfId="343" priority="49" stopIfTrue="1">
      <formula>AND(COUNTIF($K$12831:$K$12831, K88)&gt;1,NOT(ISBLANK(K88)))</formula>
    </cfRule>
  </conditionalFormatting>
  <conditionalFormatting sqref="K88">
    <cfRule type="expression" dxfId="342" priority="50" stopIfTrue="1">
      <formula>AND(COUNTIF(#REF!, K88)+COUNTIF($K$16226:$K$16232, K88)+COUNTIF($K$16305:$K$16305, K88)+COUNTIF($K$16329:$K$16329, K88)+COUNTIF($K$16270:$K$16274, K88)+COUNTIF($K$16325:$K$16325, K88)+COUNTIF($K$16290:$K$16290, K88)+COUNTIF($K$16299:$K$16299, K88)+COUNTIF($K$16311:$K$16313, K88)+COUNTIF($K$16184:$K$16189, K88)+COUNTIF($K$16319:$K$16319, K88)+COUNTIF($K$16317:$K$16317, K88)+COUNTIF($K$16323:$K$16323, K88)+COUNTIF($K$16287:$K$16288, K88)+COUNTIF($K$16297:$K$16297, K88)+COUNTIF($K$16302:$K$16302, K88)+COUNTIF($K$16040:$K$16043, K88)+COUNTIF($K$16081:$K$16088, K88)+COUNTIF($K$16094:$K$16097, K88)+COUNTIF($K$16099:$K$16106, K88)+COUNTIF($K$15985:$K$15994, K88)+COUNTIF($K$16020:$K$16024, K88)+COUNTIF($K$15718:$K$15731, K88)+COUNTIF($K$15574:$K$15592, K88)+COUNTIF($K$15691:$K$15697, K88)+COUNTIF($K$15640:$K$15651, K88)+COUNTIF($K$15660:$K$15662, K88)+COUNTIF($K$15680:$K$15683, K88)+COUNTIF($K$15594:$K$15620, K88)+COUNTIF($K$12796:$K$15530, K88)+COUNTIF($K$15548:$K$15556, K88)+COUNTIF($K$15700:$K$15703, K88)+COUNTIF($K$16046:$K$16047, K88)+COUNTIF($K$16192:$K$16193, K88)+COUNTIF($K$16235:$K$16242, K88)+COUNTIF($K$16121:$K$16127, K88)+COUNTIF($K$16109:$K$16116, K88)&gt;1,NOT(ISBLANK(K88)))</formula>
    </cfRule>
  </conditionalFormatting>
  <conditionalFormatting sqref="K88">
    <cfRule type="expression" dxfId="341" priority="51" stopIfTrue="1">
      <formula>AND(COUNTIF(#REF!, K88)+COUNTIF($K$15869:$K$15875, K88)+COUNTIF($K$15948:$K$15948, K88)+COUNTIF($K$15972:$K$15972, K88)+COUNTIF($K$15913:$K$15917, K88)+COUNTIF($K$15968:$K$15968, K88)+COUNTIF($K$15933:$K$15933, K88)+COUNTIF($K$15942:$K$15942, K88)+COUNTIF($K$15954:$K$15956, K88)+COUNTIF($K$15827:$K$15832, K88)+COUNTIF($K$15962:$K$15962, K88)+COUNTIF($K$15960:$K$15960, K88)+COUNTIF($K$15966:$K$15966, K88)+COUNTIF($K$15930:$K$15931, K88)+COUNTIF($K$15940:$K$15940, K88)+COUNTIF($K$15945:$K$15945, K88)+COUNTIF($K$15683:$K$15686, K88)+COUNTIF($K$15724:$K$15731, K88)+COUNTIF($K$15737:$K$15740, K88)+COUNTIF($K$15742:$K$15749, K88)+COUNTIF($K$15628:$K$15637, K88)+COUNTIF($K$15663:$K$15667, K88)+COUNTIF($K$15361:$K$15374, K88)+COUNTIF($K$15217:$K$15235, K88)+COUNTIF($K$15334:$K$15340, K88)+COUNTIF($K$15283:$K$15294, K88)+COUNTIF($K$15303:$K$15305, K88)+COUNTIF($K$15323:$K$15326, K88)+COUNTIF($K$15237:$K$15263, K88)+COUNTIF($K$12796:$K$15173, K88)+COUNTIF($K$15191:$K$15199, K88)+COUNTIF($K$15343:$K$15346, K88)+COUNTIF($K$15689:$K$15690, K88)+COUNTIF($K$15835:$K$15836, K88)+COUNTIF($K$15878:$K$15885, K88)+COUNTIF($K$15764:$K$15770, K88)+COUNTIF($K$15752:$K$15759, K88)&gt;1,NOT(ISBLANK(K88)))</formula>
    </cfRule>
  </conditionalFormatting>
  <conditionalFormatting sqref="L88">
    <cfRule type="expression" dxfId="340" priority="52" stopIfTrue="1">
      <formula>AND(COUNTIF($K$12056:$K$12056, L88)&gt;1,NOT(ISBLANK(L88)))</formula>
    </cfRule>
  </conditionalFormatting>
  <conditionalFormatting sqref="L88">
    <cfRule type="expression" dxfId="339" priority="53" stopIfTrue="1">
      <formula>AND(COUNTIF(#REF!, L88)+COUNTIF($K$15451:$K$15457, L88)+COUNTIF($K$15530:$K$15530, L88)+COUNTIF($K$15554:$K$15554, L88)+COUNTIF($K$15495:$K$15499, L88)+COUNTIF($K$15550:$K$15550, L88)+COUNTIF($K$15515:$K$15515, L88)+COUNTIF($K$15524:$K$15524, L88)+COUNTIF($K$15536:$K$15538, L88)+COUNTIF($K$15409:$K$15414, L88)+COUNTIF($K$15544:$K$15544, L88)+COUNTIF($K$15542:$K$15542, L88)+COUNTIF($K$15548:$K$15548, L88)+COUNTIF($K$15512:$K$15513, L88)+COUNTIF($K$15522:$K$15522, L88)+COUNTIF($K$15527:$K$15527, L88)+COUNTIF($K$15265:$K$15268, L88)+COUNTIF($K$15306:$K$15313, L88)+COUNTIF($K$15319:$K$15322, L88)+COUNTIF($K$15324:$K$15331, L88)+COUNTIF($K$15210:$K$15219, L88)+COUNTIF($K$15245:$K$15249, L88)+COUNTIF($K$14943:$K$14956, L88)+COUNTIF($K$14799:$K$14817, L88)+COUNTIF($K$14916:$K$14922, L88)+COUNTIF($K$14865:$K$14876, L88)+COUNTIF($K$14885:$K$14887, L88)+COUNTIF($K$14905:$K$14908, L88)+COUNTIF($K$14819:$K$14845, L88)+COUNTIF($K$12021:$K$14755, L88)+COUNTIF($K$14773:$K$14781, L88)+COUNTIF($K$14925:$K$14928, L88)+COUNTIF($K$15271:$K$15272, L88)+COUNTIF($K$15417:$K$15418, L88)+COUNTIF($K$15460:$K$15467, L88)+COUNTIF($K$15346:$K$15352, L88)+COUNTIF($K$15334:$K$15341, L88)&gt;1,NOT(ISBLANK(L88)))</formula>
    </cfRule>
  </conditionalFormatting>
  <conditionalFormatting sqref="L88">
    <cfRule type="expression" dxfId="338" priority="54" stopIfTrue="1">
      <formula>AND(COUNTIF(#REF!, L88)+COUNTIF($K$15094:$K$15100, L88)+COUNTIF($K$15173:$K$15173, L88)+COUNTIF($K$15197:$K$15197, L88)+COUNTIF($K$15138:$K$15142, L88)+COUNTIF($K$15193:$K$15193, L88)+COUNTIF($K$15158:$K$15158, L88)+COUNTIF($K$15167:$K$15167, L88)+COUNTIF($K$15179:$K$15181, L88)+COUNTIF($K$15052:$K$15057, L88)+COUNTIF($K$15187:$K$15187, L88)+COUNTIF($K$15185:$K$15185, L88)+COUNTIF($K$15191:$K$15191, L88)+COUNTIF($K$15155:$K$15156, L88)+COUNTIF($K$15165:$K$15165, L88)+COUNTIF($K$15170:$K$15170, L88)+COUNTIF($K$14908:$K$14911, L88)+COUNTIF($K$14949:$K$14956, L88)+COUNTIF($K$14962:$K$14965, L88)+COUNTIF($K$14967:$K$14974, L88)+COUNTIF($K$14853:$K$14862, L88)+COUNTIF($K$14888:$K$14892, L88)+COUNTIF($K$14586:$K$14599, L88)+COUNTIF($K$14442:$K$14460, L88)+COUNTIF($K$14559:$K$14565, L88)+COUNTIF($K$14508:$K$14519, L88)+COUNTIF($K$14528:$K$14530, L88)+COUNTIF($K$14548:$K$14551, L88)+COUNTIF($K$14462:$K$14488, L88)+COUNTIF($K$12021:$K$14398, L88)+COUNTIF($K$14416:$K$14424, L88)+COUNTIF($K$14568:$K$14571, L88)+COUNTIF($K$14914:$K$14915, L88)+COUNTIF($K$15060:$K$15061, L88)+COUNTIF($K$15103:$K$15110, L88)+COUNTIF($K$14989:$K$14995, L88)+COUNTIF($K$14977:$K$14984, L88)&gt;1,NOT(ISBLANK(L88)))</formula>
    </cfRule>
  </conditionalFormatting>
  <conditionalFormatting sqref="L88">
    <cfRule type="duplicateValues" dxfId="337" priority="55"/>
  </conditionalFormatting>
  <conditionalFormatting sqref="C88">
    <cfRule type="duplicateValues" dxfId="336" priority="56"/>
  </conditionalFormatting>
  <conditionalFormatting sqref="K89:K91">
    <cfRule type="expression" dxfId="335" priority="41" stopIfTrue="1">
      <formula>AND(COUNTIF($K$12825:$K$12825, K89)&gt;1,NOT(ISBLANK(K89)))</formula>
    </cfRule>
  </conditionalFormatting>
  <conditionalFormatting sqref="K89:K91">
    <cfRule type="expression" dxfId="334" priority="42" stopIfTrue="1">
      <formula>AND(COUNTIF(#REF!, K89)+COUNTIF($K$16220:$K$16226, K89)+COUNTIF($K$16299:$K$16299, K89)+COUNTIF($K$16323:$K$16323, K89)+COUNTIF($K$16264:$K$16268, K89)+COUNTIF($K$16319:$K$16319, K89)+COUNTIF($K$16284:$K$16284, K89)+COUNTIF($K$16293:$K$16293, K89)+COUNTIF($K$16305:$K$16307, K89)+COUNTIF($K$16178:$K$16183, K89)+COUNTIF($K$16313:$K$16313, K89)+COUNTIF($K$16311:$K$16311, K89)+COUNTIF($K$16317:$K$16317, K89)+COUNTIF($K$16281:$K$16282, K89)+COUNTIF($K$16291:$K$16291, K89)+COUNTIF($K$16296:$K$16296, K89)+COUNTIF($K$16034:$K$16037, K89)+COUNTIF($K$16075:$K$16082, K89)+COUNTIF($K$16088:$K$16091, K89)+COUNTIF($K$16093:$K$16100, K89)+COUNTIF($K$15979:$K$15988, K89)+COUNTIF($K$16014:$K$16018, K89)+COUNTIF($K$15712:$K$15725, K89)+COUNTIF($K$15568:$K$15586, K89)+COUNTIF($K$15685:$K$15691, K89)+COUNTIF($K$15634:$K$15645, K89)+COUNTIF($K$15654:$K$15656, K89)+COUNTIF($K$15674:$K$15677, K89)+COUNTIF($K$15588:$K$15614, K89)+COUNTIF($K$12790:$K$15524, K89)+COUNTIF($K$15542:$K$15550, K89)+COUNTIF($K$15694:$K$15697, K89)+COUNTIF($K$16040:$K$16041, K89)+COUNTIF($K$16186:$K$16187, K89)+COUNTIF($K$16229:$K$16236, K89)+COUNTIF($K$16115:$K$16121, K89)+COUNTIF($K$16103:$K$16110, K89)&gt;1,NOT(ISBLANK(K89)))</formula>
    </cfRule>
  </conditionalFormatting>
  <conditionalFormatting sqref="K89:K91">
    <cfRule type="expression" dxfId="333" priority="43" stopIfTrue="1">
      <formula>AND(COUNTIF(#REF!, K89)+COUNTIF($K$15863:$K$15869, K89)+COUNTIF($K$15942:$K$15942, K89)+COUNTIF($K$15966:$K$15966, K89)+COUNTIF($K$15907:$K$15911, K89)+COUNTIF($K$15962:$K$15962, K89)+COUNTIF($K$15927:$K$15927, K89)+COUNTIF($K$15936:$K$15936, K89)+COUNTIF($K$15948:$K$15950, K89)+COUNTIF($K$15821:$K$15826, K89)+COUNTIF($K$15956:$K$15956, K89)+COUNTIF($K$15954:$K$15954, K89)+COUNTIF($K$15960:$K$15960, K89)+COUNTIF($K$15924:$K$15925, K89)+COUNTIF($K$15934:$K$15934, K89)+COUNTIF($K$15939:$K$15939, K89)+COUNTIF($K$15677:$K$15680, K89)+COUNTIF($K$15718:$K$15725, K89)+COUNTIF($K$15731:$K$15734, K89)+COUNTIF($K$15736:$K$15743, K89)+COUNTIF($K$15622:$K$15631, K89)+COUNTIF($K$15657:$K$15661, K89)+COUNTIF($K$15355:$K$15368, K89)+COUNTIF($K$15211:$K$15229, K89)+COUNTIF($K$15328:$K$15334, K89)+COUNTIF($K$15277:$K$15288, K89)+COUNTIF($K$15297:$K$15299, K89)+COUNTIF($K$15317:$K$15320, K89)+COUNTIF($K$15231:$K$15257, K89)+COUNTIF($K$12790:$K$15167, K89)+COUNTIF($K$15185:$K$15193, K89)+COUNTIF($K$15337:$K$15340, K89)+COUNTIF($K$15683:$K$15684, K89)+COUNTIF($K$15829:$K$15830, K89)+COUNTIF($K$15872:$K$15879, K89)+COUNTIF($K$15758:$K$15764, K89)+COUNTIF($K$15746:$K$15753, K89)&gt;1,NOT(ISBLANK(K89)))</formula>
    </cfRule>
  </conditionalFormatting>
  <conditionalFormatting sqref="L89:L91">
    <cfRule type="expression" dxfId="332" priority="44" stopIfTrue="1">
      <formula>AND(COUNTIF($K$12050:$K$12050, L89)&gt;1,NOT(ISBLANK(L89)))</formula>
    </cfRule>
  </conditionalFormatting>
  <conditionalFormatting sqref="L89:L91">
    <cfRule type="expression" dxfId="331" priority="45" stopIfTrue="1">
      <formula>AND(COUNTIF(#REF!, L89)+COUNTIF($K$15445:$K$15451, L89)+COUNTIF($K$15524:$K$15524, L89)+COUNTIF($K$15548:$K$15548, L89)+COUNTIF($K$15489:$K$15493, L89)+COUNTIF($K$15544:$K$15544, L89)+COUNTIF($K$15509:$K$15509, L89)+COUNTIF($K$15518:$K$15518, L89)+COUNTIF($K$15530:$K$15532, L89)+COUNTIF($K$15403:$K$15408, L89)+COUNTIF($K$15538:$K$15538, L89)+COUNTIF($K$15536:$K$15536, L89)+COUNTIF($K$15542:$K$15542, L89)+COUNTIF($K$15506:$K$15507, L89)+COUNTIF($K$15516:$K$15516, L89)+COUNTIF($K$15521:$K$15521, L89)+COUNTIF($K$15259:$K$15262, L89)+COUNTIF($K$15300:$K$15307, L89)+COUNTIF($K$15313:$K$15316, L89)+COUNTIF($K$15318:$K$15325, L89)+COUNTIF($K$15204:$K$15213, L89)+COUNTIF($K$15239:$K$15243, L89)+COUNTIF($K$14937:$K$14950, L89)+COUNTIF($K$14793:$K$14811, L89)+COUNTIF($K$14910:$K$14916, L89)+COUNTIF($K$14859:$K$14870, L89)+COUNTIF($K$14879:$K$14881, L89)+COUNTIF($K$14899:$K$14902, L89)+COUNTIF($K$14813:$K$14839, L89)+COUNTIF($K$12015:$K$14749, L89)+COUNTIF($K$14767:$K$14775, L89)+COUNTIF($K$14919:$K$14922, L89)+COUNTIF($K$15265:$K$15266, L89)+COUNTIF($K$15411:$K$15412, L89)+COUNTIF($K$15454:$K$15461, L89)+COUNTIF($K$15340:$K$15346, L89)+COUNTIF($K$15328:$K$15335, L89)&gt;1,NOT(ISBLANK(L89)))</formula>
    </cfRule>
  </conditionalFormatting>
  <conditionalFormatting sqref="L89:L91">
    <cfRule type="expression" dxfId="330" priority="46" stopIfTrue="1">
      <formula>AND(COUNTIF(#REF!, L89)+COUNTIF($K$15088:$K$15094, L89)+COUNTIF($K$15167:$K$15167, L89)+COUNTIF($K$15191:$K$15191, L89)+COUNTIF($K$15132:$K$15136, L89)+COUNTIF($K$15187:$K$15187, L89)+COUNTIF($K$15152:$K$15152, L89)+COUNTIF($K$15161:$K$15161, L89)+COUNTIF($K$15173:$K$15175, L89)+COUNTIF($K$15046:$K$15051, L89)+COUNTIF($K$15181:$K$15181, L89)+COUNTIF($K$15179:$K$15179, L89)+COUNTIF($K$15185:$K$15185, L89)+COUNTIF($K$15149:$K$15150, L89)+COUNTIF($K$15159:$K$15159, L89)+COUNTIF($K$15164:$K$15164, L89)+COUNTIF($K$14902:$K$14905, L89)+COUNTIF($K$14943:$K$14950, L89)+COUNTIF($K$14956:$K$14959, L89)+COUNTIF($K$14961:$K$14968, L89)+COUNTIF($K$14847:$K$14856, L89)+COUNTIF($K$14882:$K$14886, L89)+COUNTIF($K$14580:$K$14593, L89)+COUNTIF($K$14436:$K$14454, L89)+COUNTIF($K$14553:$K$14559, L89)+COUNTIF($K$14502:$K$14513, L89)+COUNTIF($K$14522:$K$14524, L89)+COUNTIF($K$14542:$K$14545, L89)+COUNTIF($K$14456:$K$14482, L89)+COUNTIF($K$12015:$K$14392, L89)+COUNTIF($K$14410:$K$14418, L89)+COUNTIF($K$14562:$K$14565, L89)+COUNTIF($K$14908:$K$14909, L89)+COUNTIF($K$15054:$K$15055, L89)+COUNTIF($K$15097:$K$15104, L89)+COUNTIF($K$14983:$K$14989, L89)+COUNTIF($K$14971:$K$14978, L89)&gt;1,NOT(ISBLANK(L89)))</formula>
    </cfRule>
  </conditionalFormatting>
  <conditionalFormatting sqref="L89:L91">
    <cfRule type="duplicateValues" dxfId="329" priority="47"/>
  </conditionalFormatting>
  <conditionalFormatting sqref="C89:C91">
    <cfRule type="duplicateValues" dxfId="328" priority="48"/>
  </conditionalFormatting>
  <conditionalFormatting sqref="K92">
    <cfRule type="expression" dxfId="327" priority="33" stopIfTrue="1">
      <formula>AND(COUNTIF($K$12825:$K$12825, K92)&gt;1,NOT(ISBLANK(K92)))</formula>
    </cfRule>
  </conditionalFormatting>
  <conditionalFormatting sqref="K92">
    <cfRule type="expression" dxfId="326" priority="34" stopIfTrue="1">
      <formula>AND(COUNTIF(#REF!, K92)+COUNTIF($K$16220:$K$16226, K92)+COUNTIF($K$16299:$K$16299, K92)+COUNTIF($K$16323:$K$16323, K92)+COUNTIF($K$16264:$K$16268, K92)+COUNTIF($K$16319:$K$16319, K92)+COUNTIF($K$16284:$K$16284, K92)+COUNTIF($K$16293:$K$16293, K92)+COUNTIF($K$16305:$K$16307, K92)+COUNTIF($K$16178:$K$16183, K92)+COUNTIF($K$16313:$K$16313, K92)+COUNTIF($K$16311:$K$16311, K92)+COUNTIF($K$16317:$K$16317, K92)+COUNTIF($K$16281:$K$16282, K92)+COUNTIF($K$16291:$K$16291, K92)+COUNTIF($K$16296:$K$16296, K92)+COUNTIF($K$16034:$K$16037, K92)+COUNTIF($K$16075:$K$16082, K92)+COUNTIF($K$16088:$K$16091, K92)+COUNTIF($K$16093:$K$16100, K92)+COUNTIF($K$15979:$K$15988, K92)+COUNTIF($K$16014:$K$16018, K92)+COUNTIF($K$15712:$K$15725, K92)+COUNTIF($K$15568:$K$15586, K92)+COUNTIF($K$15685:$K$15691, K92)+COUNTIF($K$15634:$K$15645, K92)+COUNTIF($K$15654:$K$15656, K92)+COUNTIF($K$15674:$K$15677, K92)+COUNTIF($K$15588:$K$15614, K92)+COUNTIF($K$12790:$K$15524, K92)+COUNTIF($K$15542:$K$15550, K92)+COUNTIF($K$15694:$K$15697, K92)+COUNTIF($K$16040:$K$16041, K92)+COUNTIF($K$16186:$K$16187, K92)+COUNTIF($K$16229:$K$16236, K92)+COUNTIF($K$16115:$K$16121, K92)+COUNTIF($K$16103:$K$16110, K92)&gt;1,NOT(ISBLANK(K92)))</formula>
    </cfRule>
  </conditionalFormatting>
  <conditionalFormatting sqref="K92">
    <cfRule type="expression" dxfId="325" priority="35" stopIfTrue="1">
      <formula>AND(COUNTIF(#REF!, K92)+COUNTIF($K$15863:$K$15869, K92)+COUNTIF($K$15942:$K$15942, K92)+COUNTIF($K$15966:$K$15966, K92)+COUNTIF($K$15907:$K$15911, K92)+COUNTIF($K$15962:$K$15962, K92)+COUNTIF($K$15927:$K$15927, K92)+COUNTIF($K$15936:$K$15936, K92)+COUNTIF($K$15948:$K$15950, K92)+COUNTIF($K$15821:$K$15826, K92)+COUNTIF($K$15956:$K$15956, K92)+COUNTIF($K$15954:$K$15954, K92)+COUNTIF($K$15960:$K$15960, K92)+COUNTIF($K$15924:$K$15925, K92)+COUNTIF($K$15934:$K$15934, K92)+COUNTIF($K$15939:$K$15939, K92)+COUNTIF($K$15677:$K$15680, K92)+COUNTIF($K$15718:$K$15725, K92)+COUNTIF($K$15731:$K$15734, K92)+COUNTIF($K$15736:$K$15743, K92)+COUNTIF($K$15622:$K$15631, K92)+COUNTIF($K$15657:$K$15661, K92)+COUNTIF($K$15355:$K$15368, K92)+COUNTIF($K$15211:$K$15229, K92)+COUNTIF($K$15328:$K$15334, K92)+COUNTIF($K$15277:$K$15288, K92)+COUNTIF($K$15297:$K$15299, K92)+COUNTIF($K$15317:$K$15320, K92)+COUNTIF($K$15231:$K$15257, K92)+COUNTIF($K$12790:$K$15167, K92)+COUNTIF($K$15185:$K$15193, K92)+COUNTIF($K$15337:$K$15340, K92)+COUNTIF($K$15683:$K$15684, K92)+COUNTIF($K$15829:$K$15830, K92)+COUNTIF($K$15872:$K$15879, K92)+COUNTIF($K$15758:$K$15764, K92)+COUNTIF($K$15746:$K$15753, K92)&gt;1,NOT(ISBLANK(K92)))</formula>
    </cfRule>
  </conditionalFormatting>
  <conditionalFormatting sqref="L92">
    <cfRule type="expression" dxfId="324" priority="36" stopIfTrue="1">
      <formula>AND(COUNTIF($K$12050:$K$12050, L92)&gt;1,NOT(ISBLANK(L92)))</formula>
    </cfRule>
  </conditionalFormatting>
  <conditionalFormatting sqref="L92">
    <cfRule type="expression" dxfId="323" priority="37" stopIfTrue="1">
      <formula>AND(COUNTIF(#REF!, L92)+COUNTIF($K$15445:$K$15451, L92)+COUNTIF($K$15524:$K$15524, L92)+COUNTIF($K$15548:$K$15548, L92)+COUNTIF($K$15489:$K$15493, L92)+COUNTIF($K$15544:$K$15544, L92)+COUNTIF($K$15509:$K$15509, L92)+COUNTIF($K$15518:$K$15518, L92)+COUNTIF($K$15530:$K$15532, L92)+COUNTIF($K$15403:$K$15408, L92)+COUNTIF($K$15538:$K$15538, L92)+COUNTIF($K$15536:$K$15536, L92)+COUNTIF($K$15542:$K$15542, L92)+COUNTIF($K$15506:$K$15507, L92)+COUNTIF($K$15516:$K$15516, L92)+COUNTIF($K$15521:$K$15521, L92)+COUNTIF($K$15259:$K$15262, L92)+COUNTIF($K$15300:$K$15307, L92)+COUNTIF($K$15313:$K$15316, L92)+COUNTIF($K$15318:$K$15325, L92)+COUNTIF($K$15204:$K$15213, L92)+COUNTIF($K$15239:$K$15243, L92)+COUNTIF($K$14937:$K$14950, L92)+COUNTIF($K$14793:$K$14811, L92)+COUNTIF($K$14910:$K$14916, L92)+COUNTIF($K$14859:$K$14870, L92)+COUNTIF($K$14879:$K$14881, L92)+COUNTIF($K$14899:$K$14902, L92)+COUNTIF($K$14813:$K$14839, L92)+COUNTIF($K$12015:$K$14749, L92)+COUNTIF($K$14767:$K$14775, L92)+COUNTIF($K$14919:$K$14922, L92)+COUNTIF($K$15265:$K$15266, L92)+COUNTIF($K$15411:$K$15412, L92)+COUNTIF($K$15454:$K$15461, L92)+COUNTIF($K$15340:$K$15346, L92)+COUNTIF($K$15328:$K$15335, L92)&gt;1,NOT(ISBLANK(L92)))</formula>
    </cfRule>
  </conditionalFormatting>
  <conditionalFormatting sqref="L92">
    <cfRule type="expression" dxfId="322" priority="38" stopIfTrue="1">
      <formula>AND(COUNTIF(#REF!, L92)+COUNTIF($K$15088:$K$15094, L92)+COUNTIF($K$15167:$K$15167, L92)+COUNTIF($K$15191:$K$15191, L92)+COUNTIF($K$15132:$K$15136, L92)+COUNTIF($K$15187:$K$15187, L92)+COUNTIF($K$15152:$K$15152, L92)+COUNTIF($K$15161:$K$15161, L92)+COUNTIF($K$15173:$K$15175, L92)+COUNTIF($K$15046:$K$15051, L92)+COUNTIF($K$15181:$K$15181, L92)+COUNTIF($K$15179:$K$15179, L92)+COUNTIF($K$15185:$K$15185, L92)+COUNTIF($K$15149:$K$15150, L92)+COUNTIF($K$15159:$K$15159, L92)+COUNTIF($K$15164:$K$15164, L92)+COUNTIF($K$14902:$K$14905, L92)+COUNTIF($K$14943:$K$14950, L92)+COUNTIF($K$14956:$K$14959, L92)+COUNTIF($K$14961:$K$14968, L92)+COUNTIF($K$14847:$K$14856, L92)+COUNTIF($K$14882:$K$14886, L92)+COUNTIF($K$14580:$K$14593, L92)+COUNTIF($K$14436:$K$14454, L92)+COUNTIF($K$14553:$K$14559, L92)+COUNTIF($K$14502:$K$14513, L92)+COUNTIF($K$14522:$K$14524, L92)+COUNTIF($K$14542:$K$14545, L92)+COUNTIF($K$14456:$K$14482, L92)+COUNTIF($K$12015:$K$14392, L92)+COUNTIF($K$14410:$K$14418, L92)+COUNTIF($K$14562:$K$14565, L92)+COUNTIF($K$14908:$K$14909, L92)+COUNTIF($K$15054:$K$15055, L92)+COUNTIF($K$15097:$K$15104, L92)+COUNTIF($K$14983:$K$14989, L92)+COUNTIF($K$14971:$K$14978, L92)&gt;1,NOT(ISBLANK(L92)))</formula>
    </cfRule>
  </conditionalFormatting>
  <conditionalFormatting sqref="L92">
    <cfRule type="duplicateValues" dxfId="321" priority="39"/>
  </conditionalFormatting>
  <conditionalFormatting sqref="C92">
    <cfRule type="duplicateValues" dxfId="320" priority="40"/>
  </conditionalFormatting>
  <conditionalFormatting sqref="K93">
    <cfRule type="expression" dxfId="319" priority="25" stopIfTrue="1">
      <formula>AND(COUNTIF($K$12868:$K$12868, K93)&gt;1,NOT(ISBLANK(K93)))</formula>
    </cfRule>
  </conditionalFormatting>
  <conditionalFormatting sqref="K93">
    <cfRule type="expression" dxfId="318" priority="26" stopIfTrue="1">
      <formula>AND(COUNTIF(#REF!, K93)+COUNTIF($K$16263:$K$16269, K93)+COUNTIF($K$16342:$K$16342, K93)+COUNTIF($K$16366:$K$16366, K93)+COUNTIF($K$16307:$K$16311, K93)+COUNTIF($K$16362:$K$16362, K93)+COUNTIF($K$16327:$K$16327, K93)+COUNTIF($K$16336:$K$16336, K93)+COUNTIF($K$16348:$K$16350, K93)+COUNTIF($K$16221:$K$16226, K93)+COUNTIF($K$16356:$K$16356, K93)+COUNTIF($K$16354:$K$16354, K93)+COUNTIF($K$16360:$K$16360, K93)+COUNTIF($K$16324:$K$16325, K93)+COUNTIF($K$16334:$K$16334, K93)+COUNTIF($K$16339:$K$16339, K93)+COUNTIF($K$16077:$K$16080, K93)+COUNTIF($K$16118:$K$16125, K93)+COUNTIF($K$16131:$K$16134, K93)+COUNTIF($K$16136:$K$16143, K93)+COUNTIF($K$16022:$K$16031, K93)+COUNTIF($K$16057:$K$16061, K93)+COUNTIF($K$15755:$K$15768, K93)+COUNTIF($K$15611:$K$15629, K93)+COUNTIF($K$15728:$K$15734, K93)+COUNTIF($K$15677:$K$15688, K93)+COUNTIF($K$15697:$K$15699, K93)+COUNTIF($K$15717:$K$15720, K93)+COUNTIF($K$15631:$K$15657, K93)+COUNTIF($K$12833:$K$15567, K93)+COUNTIF($K$15585:$K$15593, K93)+COUNTIF($K$15737:$K$15740, K93)+COUNTIF($K$16083:$K$16084, K93)+COUNTIF($K$16229:$K$16230, K93)+COUNTIF($K$16272:$K$16279, K93)+COUNTIF($K$16158:$K$16164, K93)+COUNTIF($K$16146:$K$16153, K93)&gt;1,NOT(ISBLANK(K93)))</formula>
    </cfRule>
  </conditionalFormatting>
  <conditionalFormatting sqref="K93">
    <cfRule type="expression" dxfId="317" priority="27" stopIfTrue="1">
      <formula>AND(COUNTIF(#REF!, K93)+COUNTIF($K$15906:$K$15912, K93)+COUNTIF($K$15985:$K$15985, K93)+COUNTIF($K$16009:$K$16009, K93)+COUNTIF($K$15950:$K$15954, K93)+COUNTIF($K$16005:$K$16005, K93)+COUNTIF($K$15970:$K$15970, K93)+COUNTIF($K$15979:$K$15979, K93)+COUNTIF($K$15991:$K$15993, K93)+COUNTIF($K$15864:$K$15869, K93)+COUNTIF($K$15999:$K$15999, K93)+COUNTIF($K$15997:$K$15997, K93)+COUNTIF($K$16003:$K$16003, K93)+COUNTIF($K$15967:$K$15968, K93)+COUNTIF($K$15977:$K$15977, K93)+COUNTIF($K$15982:$K$15982, K93)+COUNTIF($K$15720:$K$15723, K93)+COUNTIF($K$15761:$K$15768, K93)+COUNTIF($K$15774:$K$15777, K93)+COUNTIF($K$15779:$K$15786, K93)+COUNTIF($K$15665:$K$15674, K93)+COUNTIF($K$15700:$K$15704, K93)+COUNTIF($K$15398:$K$15411, K93)+COUNTIF($K$15254:$K$15272, K93)+COUNTIF($K$15371:$K$15377, K93)+COUNTIF($K$15320:$K$15331, K93)+COUNTIF($K$15340:$K$15342, K93)+COUNTIF($K$15360:$K$15363, K93)+COUNTIF($K$15274:$K$15300, K93)+COUNTIF($K$12833:$K$15210, K93)+COUNTIF($K$15228:$K$15236, K93)+COUNTIF($K$15380:$K$15383, K93)+COUNTIF($K$15726:$K$15727, K93)+COUNTIF($K$15872:$K$15873, K93)+COUNTIF($K$15915:$K$15922, K93)+COUNTIF($K$15801:$K$15807, K93)+COUNTIF($K$15789:$K$15796, K93)&gt;1,NOT(ISBLANK(K93)))</formula>
    </cfRule>
  </conditionalFormatting>
  <conditionalFormatting sqref="L93">
    <cfRule type="expression" dxfId="316" priority="28" stopIfTrue="1">
      <formula>AND(COUNTIF($K$12093:$K$12093, L93)&gt;1,NOT(ISBLANK(L93)))</formula>
    </cfRule>
  </conditionalFormatting>
  <conditionalFormatting sqref="L93">
    <cfRule type="expression" dxfId="315" priority="29" stopIfTrue="1">
      <formula>AND(COUNTIF(#REF!, L93)+COUNTIF($K$15488:$K$15494, L93)+COUNTIF($K$15567:$K$15567, L93)+COUNTIF($K$15591:$K$15591, L93)+COUNTIF($K$15532:$K$15536, L93)+COUNTIF($K$15587:$K$15587, L93)+COUNTIF($K$15552:$K$15552, L93)+COUNTIF($K$15561:$K$15561, L93)+COUNTIF($K$15573:$K$15575, L93)+COUNTIF($K$15446:$K$15451, L93)+COUNTIF($K$15581:$K$15581, L93)+COUNTIF($K$15579:$K$15579, L93)+COUNTIF($K$15585:$K$15585, L93)+COUNTIF($K$15549:$K$15550, L93)+COUNTIF($K$15559:$K$15559, L93)+COUNTIF($K$15564:$K$15564, L93)+COUNTIF($K$15302:$K$15305, L93)+COUNTIF($K$15343:$K$15350, L93)+COUNTIF($K$15356:$K$15359, L93)+COUNTIF($K$15361:$K$15368, L93)+COUNTIF($K$15247:$K$15256, L93)+COUNTIF($K$15282:$K$15286, L93)+COUNTIF($K$14980:$K$14993, L93)+COUNTIF($K$14836:$K$14854, L93)+COUNTIF($K$14953:$K$14959, L93)+COUNTIF($K$14902:$K$14913, L93)+COUNTIF($K$14922:$K$14924, L93)+COUNTIF($K$14942:$K$14945, L93)+COUNTIF($K$14856:$K$14882, L93)+COUNTIF($K$12058:$K$14792, L93)+COUNTIF($K$14810:$K$14818, L93)+COUNTIF($K$14962:$K$14965, L93)+COUNTIF($K$15308:$K$15309, L93)+COUNTIF($K$15454:$K$15455, L93)+COUNTIF($K$15497:$K$15504, L93)+COUNTIF($K$15383:$K$15389, L93)+COUNTIF($K$15371:$K$15378, L93)&gt;1,NOT(ISBLANK(L93)))</formula>
    </cfRule>
  </conditionalFormatting>
  <conditionalFormatting sqref="L93">
    <cfRule type="expression" dxfId="314" priority="30" stopIfTrue="1">
      <formula>AND(COUNTIF(#REF!, L93)+COUNTIF($K$15131:$K$15137, L93)+COUNTIF($K$15210:$K$15210, L93)+COUNTIF($K$15234:$K$15234, L93)+COUNTIF($K$15175:$K$15179, L93)+COUNTIF($K$15230:$K$15230, L93)+COUNTIF($K$15195:$K$15195, L93)+COUNTIF($K$15204:$K$15204, L93)+COUNTIF($K$15216:$K$15218, L93)+COUNTIF($K$15089:$K$15094, L93)+COUNTIF($K$15224:$K$15224, L93)+COUNTIF($K$15222:$K$15222, L93)+COUNTIF($K$15228:$K$15228, L93)+COUNTIF($K$15192:$K$15193, L93)+COUNTIF($K$15202:$K$15202, L93)+COUNTIF($K$15207:$K$15207, L93)+COUNTIF($K$14945:$K$14948, L93)+COUNTIF($K$14986:$K$14993, L93)+COUNTIF($K$14999:$K$15002, L93)+COUNTIF($K$15004:$K$15011, L93)+COUNTIF($K$14890:$K$14899, L93)+COUNTIF($K$14925:$K$14929, L93)+COUNTIF($K$14623:$K$14636, L93)+COUNTIF($K$14479:$K$14497, L93)+COUNTIF($K$14596:$K$14602, L93)+COUNTIF($K$14545:$K$14556, L93)+COUNTIF($K$14565:$K$14567, L93)+COUNTIF($K$14585:$K$14588, L93)+COUNTIF($K$14499:$K$14525, L93)+COUNTIF($K$12058:$K$14435, L93)+COUNTIF($K$14453:$K$14461, L93)+COUNTIF($K$14605:$K$14608, L93)+COUNTIF($K$14951:$K$14952, L93)+COUNTIF($K$15097:$K$15098, L93)+COUNTIF($K$15140:$K$15147, L93)+COUNTIF($K$15026:$K$15032, L93)+COUNTIF($K$15014:$K$15021, L93)&gt;1,NOT(ISBLANK(L93)))</formula>
    </cfRule>
  </conditionalFormatting>
  <conditionalFormatting sqref="L93">
    <cfRule type="duplicateValues" dxfId="313" priority="31"/>
  </conditionalFormatting>
  <conditionalFormatting sqref="C93">
    <cfRule type="duplicateValues" dxfId="312" priority="32"/>
  </conditionalFormatting>
  <conditionalFormatting sqref="K94">
    <cfRule type="expression" dxfId="311" priority="17" stopIfTrue="1">
      <formula>AND(COUNTIF($K$12825:$K$12825, K94)&gt;1,NOT(ISBLANK(K94)))</formula>
    </cfRule>
  </conditionalFormatting>
  <conditionalFormatting sqref="K94">
    <cfRule type="expression" dxfId="310" priority="18" stopIfTrue="1">
      <formula>AND(COUNTIF(#REF!, K94)+COUNTIF($K$16220:$K$16226, K94)+COUNTIF($K$16299:$K$16299, K94)+COUNTIF($K$16323:$K$16323, K94)+COUNTIF($K$16264:$K$16268, K94)+COUNTIF($K$16319:$K$16319, K94)+COUNTIF($K$16284:$K$16284, K94)+COUNTIF($K$16293:$K$16293, K94)+COUNTIF($K$16305:$K$16307, K94)+COUNTIF($K$16178:$K$16183, K94)+COUNTIF($K$16313:$K$16313, K94)+COUNTIF($K$16311:$K$16311, K94)+COUNTIF($K$16317:$K$16317, K94)+COUNTIF($K$16281:$K$16282, K94)+COUNTIF($K$16291:$K$16291, K94)+COUNTIF($K$16296:$K$16296, K94)+COUNTIF($K$16034:$K$16037, K94)+COUNTIF($K$16075:$K$16082, K94)+COUNTIF($K$16088:$K$16091, K94)+COUNTIF($K$16093:$K$16100, K94)+COUNTIF($K$15979:$K$15988, K94)+COUNTIF($K$16014:$K$16018, K94)+COUNTIF($K$15712:$K$15725, K94)+COUNTIF($K$15568:$K$15586, K94)+COUNTIF($K$15685:$K$15691, K94)+COUNTIF($K$15634:$K$15645, K94)+COUNTIF($K$15654:$K$15656, K94)+COUNTIF($K$15674:$K$15677, K94)+COUNTIF($K$15588:$K$15614, K94)+COUNTIF($K$12790:$K$15524, K94)+COUNTIF($K$15542:$K$15550, K94)+COUNTIF($K$15694:$K$15697, K94)+COUNTIF($K$16040:$K$16041, K94)+COUNTIF($K$16186:$K$16187, K94)+COUNTIF($K$16229:$K$16236, K94)+COUNTIF($K$16115:$K$16121, K94)+COUNTIF($K$16103:$K$16110, K94)&gt;1,NOT(ISBLANK(K94)))</formula>
    </cfRule>
  </conditionalFormatting>
  <conditionalFormatting sqref="K94">
    <cfRule type="expression" dxfId="309" priority="19" stopIfTrue="1">
      <formula>AND(COUNTIF(#REF!, K94)+COUNTIF($K$15863:$K$15869, K94)+COUNTIF($K$15942:$K$15942, K94)+COUNTIF($K$15966:$K$15966, K94)+COUNTIF($K$15907:$K$15911, K94)+COUNTIF($K$15962:$K$15962, K94)+COUNTIF($K$15927:$K$15927, K94)+COUNTIF($K$15936:$K$15936, K94)+COUNTIF($K$15948:$K$15950, K94)+COUNTIF($K$15821:$K$15826, K94)+COUNTIF($K$15956:$K$15956, K94)+COUNTIF($K$15954:$K$15954, K94)+COUNTIF($K$15960:$K$15960, K94)+COUNTIF($K$15924:$K$15925, K94)+COUNTIF($K$15934:$K$15934, K94)+COUNTIF($K$15939:$K$15939, K94)+COUNTIF($K$15677:$K$15680, K94)+COUNTIF($K$15718:$K$15725, K94)+COUNTIF($K$15731:$K$15734, K94)+COUNTIF($K$15736:$K$15743, K94)+COUNTIF($K$15622:$K$15631, K94)+COUNTIF($K$15657:$K$15661, K94)+COUNTIF($K$15355:$K$15368, K94)+COUNTIF($K$15211:$K$15229, K94)+COUNTIF($K$15328:$K$15334, K94)+COUNTIF($K$15277:$K$15288, K94)+COUNTIF($K$15297:$K$15299, K94)+COUNTIF($K$15317:$K$15320, K94)+COUNTIF($K$15231:$K$15257, K94)+COUNTIF($K$12790:$K$15167, K94)+COUNTIF($K$15185:$K$15193, K94)+COUNTIF($K$15337:$K$15340, K94)+COUNTIF($K$15683:$K$15684, K94)+COUNTIF($K$15829:$K$15830, K94)+COUNTIF($K$15872:$K$15879, K94)+COUNTIF($K$15758:$K$15764, K94)+COUNTIF($K$15746:$K$15753, K94)&gt;1,NOT(ISBLANK(K94)))</formula>
    </cfRule>
  </conditionalFormatting>
  <conditionalFormatting sqref="L94">
    <cfRule type="expression" dxfId="308" priority="20" stopIfTrue="1">
      <formula>AND(COUNTIF($K$12050:$K$12050, L94)&gt;1,NOT(ISBLANK(L94)))</formula>
    </cfRule>
  </conditionalFormatting>
  <conditionalFormatting sqref="L94">
    <cfRule type="expression" dxfId="307" priority="21" stopIfTrue="1">
      <formula>AND(COUNTIF(#REF!, L94)+COUNTIF($K$15445:$K$15451, L94)+COUNTIF($K$15524:$K$15524, L94)+COUNTIF($K$15548:$K$15548, L94)+COUNTIF($K$15489:$K$15493, L94)+COUNTIF($K$15544:$K$15544, L94)+COUNTIF($K$15509:$K$15509, L94)+COUNTIF($K$15518:$K$15518, L94)+COUNTIF($K$15530:$K$15532, L94)+COUNTIF($K$15403:$K$15408, L94)+COUNTIF($K$15538:$K$15538, L94)+COUNTIF($K$15536:$K$15536, L94)+COUNTIF($K$15542:$K$15542, L94)+COUNTIF($K$15506:$K$15507, L94)+COUNTIF($K$15516:$K$15516, L94)+COUNTIF($K$15521:$K$15521, L94)+COUNTIF($K$15259:$K$15262, L94)+COUNTIF($K$15300:$K$15307, L94)+COUNTIF($K$15313:$K$15316, L94)+COUNTIF($K$15318:$K$15325, L94)+COUNTIF($K$15204:$K$15213, L94)+COUNTIF($K$15239:$K$15243, L94)+COUNTIF($K$14937:$K$14950, L94)+COUNTIF($K$14793:$K$14811, L94)+COUNTIF($K$14910:$K$14916, L94)+COUNTIF($K$14859:$K$14870, L94)+COUNTIF($K$14879:$K$14881, L94)+COUNTIF($K$14899:$K$14902, L94)+COUNTIF($K$14813:$K$14839, L94)+COUNTIF($K$12015:$K$14749, L94)+COUNTIF($K$14767:$K$14775, L94)+COUNTIF($K$14919:$K$14922, L94)+COUNTIF($K$15265:$K$15266, L94)+COUNTIF($K$15411:$K$15412, L94)+COUNTIF($K$15454:$K$15461, L94)+COUNTIF($K$15340:$K$15346, L94)+COUNTIF($K$15328:$K$15335, L94)&gt;1,NOT(ISBLANK(L94)))</formula>
    </cfRule>
  </conditionalFormatting>
  <conditionalFormatting sqref="L94">
    <cfRule type="expression" dxfId="306" priority="22" stopIfTrue="1">
      <formula>AND(COUNTIF(#REF!, L94)+COUNTIF($K$15088:$K$15094, L94)+COUNTIF($K$15167:$K$15167, L94)+COUNTIF($K$15191:$K$15191, L94)+COUNTIF($K$15132:$K$15136, L94)+COUNTIF($K$15187:$K$15187, L94)+COUNTIF($K$15152:$K$15152, L94)+COUNTIF($K$15161:$K$15161, L94)+COUNTIF($K$15173:$K$15175, L94)+COUNTIF($K$15046:$K$15051, L94)+COUNTIF($K$15181:$K$15181, L94)+COUNTIF($K$15179:$K$15179, L94)+COUNTIF($K$15185:$K$15185, L94)+COUNTIF($K$15149:$K$15150, L94)+COUNTIF($K$15159:$K$15159, L94)+COUNTIF($K$15164:$K$15164, L94)+COUNTIF($K$14902:$K$14905, L94)+COUNTIF($K$14943:$K$14950, L94)+COUNTIF($K$14956:$K$14959, L94)+COUNTIF($K$14961:$K$14968, L94)+COUNTIF($K$14847:$K$14856, L94)+COUNTIF($K$14882:$K$14886, L94)+COUNTIF($K$14580:$K$14593, L94)+COUNTIF($K$14436:$K$14454, L94)+COUNTIF($K$14553:$K$14559, L94)+COUNTIF($K$14502:$K$14513, L94)+COUNTIF($K$14522:$K$14524, L94)+COUNTIF($K$14542:$K$14545, L94)+COUNTIF($K$14456:$K$14482, L94)+COUNTIF($K$12015:$K$14392, L94)+COUNTIF($K$14410:$K$14418, L94)+COUNTIF($K$14562:$K$14565, L94)+COUNTIF($K$14908:$K$14909, L94)+COUNTIF($K$15054:$K$15055, L94)+COUNTIF($K$15097:$K$15104, L94)+COUNTIF($K$14983:$K$14989, L94)+COUNTIF($K$14971:$K$14978, L94)&gt;1,NOT(ISBLANK(L94)))</formula>
    </cfRule>
  </conditionalFormatting>
  <conditionalFormatting sqref="L94">
    <cfRule type="duplicateValues" dxfId="305" priority="23"/>
  </conditionalFormatting>
  <conditionalFormatting sqref="C94">
    <cfRule type="duplicateValues" dxfId="304" priority="24"/>
  </conditionalFormatting>
  <conditionalFormatting sqref="K95">
    <cfRule type="expression" dxfId="303" priority="9" stopIfTrue="1">
      <formula>AND(COUNTIF($K$12868:$K$12868, K95)&gt;1,NOT(ISBLANK(K95)))</formula>
    </cfRule>
  </conditionalFormatting>
  <conditionalFormatting sqref="K95">
    <cfRule type="expression" dxfId="302" priority="10" stopIfTrue="1">
      <formula>AND(COUNTIF(#REF!, K95)+COUNTIF($K$16263:$K$16269, K95)+COUNTIF($K$16342:$K$16342, K95)+COUNTIF($K$16366:$K$16366, K95)+COUNTIF($K$16307:$K$16311, K95)+COUNTIF($K$16362:$K$16362, K95)+COUNTIF($K$16327:$K$16327, K95)+COUNTIF($K$16336:$K$16336, K95)+COUNTIF($K$16348:$K$16350, K95)+COUNTIF($K$16221:$K$16226, K95)+COUNTIF($K$16356:$K$16356, K95)+COUNTIF($K$16354:$K$16354, K95)+COUNTIF($K$16360:$K$16360, K95)+COUNTIF($K$16324:$K$16325, K95)+COUNTIF($K$16334:$K$16334, K95)+COUNTIF($K$16339:$K$16339, K95)+COUNTIF($K$16077:$K$16080, K95)+COUNTIF($K$16118:$K$16125, K95)+COUNTIF($K$16131:$K$16134, K95)+COUNTIF($K$16136:$K$16143, K95)+COUNTIF($K$16022:$K$16031, K95)+COUNTIF($K$16057:$K$16061, K95)+COUNTIF($K$15755:$K$15768, K95)+COUNTIF($K$15611:$K$15629, K95)+COUNTIF($K$15728:$K$15734, K95)+COUNTIF($K$15677:$K$15688, K95)+COUNTIF($K$15697:$K$15699, K95)+COUNTIF($K$15717:$K$15720, K95)+COUNTIF($K$15631:$K$15657, K95)+COUNTIF($K$12833:$K$15567, K95)+COUNTIF($K$15585:$K$15593, K95)+COUNTIF($K$15737:$K$15740, K95)+COUNTIF($K$16083:$K$16084, K95)+COUNTIF($K$16229:$K$16230, K95)+COUNTIF($K$16272:$K$16279, K95)+COUNTIF($K$16158:$K$16164, K95)+COUNTIF($K$16146:$K$16153, K95)&gt;1,NOT(ISBLANK(K95)))</formula>
    </cfRule>
  </conditionalFormatting>
  <conditionalFormatting sqref="K95">
    <cfRule type="expression" dxfId="301" priority="11" stopIfTrue="1">
      <formula>AND(COUNTIF(#REF!, K95)+COUNTIF($K$15906:$K$15912, K95)+COUNTIF($K$15985:$K$15985, K95)+COUNTIF($K$16009:$K$16009, K95)+COUNTIF($K$15950:$K$15954, K95)+COUNTIF($K$16005:$K$16005, K95)+COUNTIF($K$15970:$K$15970, K95)+COUNTIF($K$15979:$K$15979, K95)+COUNTIF($K$15991:$K$15993, K95)+COUNTIF($K$15864:$K$15869, K95)+COUNTIF($K$15999:$K$15999, K95)+COUNTIF($K$15997:$K$15997, K95)+COUNTIF($K$16003:$K$16003, K95)+COUNTIF($K$15967:$K$15968, K95)+COUNTIF($K$15977:$K$15977, K95)+COUNTIF($K$15982:$K$15982, K95)+COUNTIF($K$15720:$K$15723, K95)+COUNTIF($K$15761:$K$15768, K95)+COUNTIF($K$15774:$K$15777, K95)+COUNTIF($K$15779:$K$15786, K95)+COUNTIF($K$15665:$K$15674, K95)+COUNTIF($K$15700:$K$15704, K95)+COUNTIF($K$15398:$K$15411, K95)+COUNTIF($K$15254:$K$15272, K95)+COUNTIF($K$15371:$K$15377, K95)+COUNTIF($K$15320:$K$15331, K95)+COUNTIF($K$15340:$K$15342, K95)+COUNTIF($K$15360:$K$15363, K95)+COUNTIF($K$15274:$K$15300, K95)+COUNTIF($K$12833:$K$15210, K95)+COUNTIF($K$15228:$K$15236, K95)+COUNTIF($K$15380:$K$15383, K95)+COUNTIF($K$15726:$K$15727, K95)+COUNTIF($K$15872:$K$15873, K95)+COUNTIF($K$15915:$K$15922, K95)+COUNTIF($K$15801:$K$15807, K95)+COUNTIF($K$15789:$K$15796, K95)&gt;1,NOT(ISBLANK(K95)))</formula>
    </cfRule>
  </conditionalFormatting>
  <conditionalFormatting sqref="L95">
    <cfRule type="expression" dxfId="300" priority="12" stopIfTrue="1">
      <formula>AND(COUNTIF($K$12093:$K$12093, L95)&gt;1,NOT(ISBLANK(L95)))</formula>
    </cfRule>
  </conditionalFormatting>
  <conditionalFormatting sqref="L95">
    <cfRule type="expression" dxfId="299" priority="13" stopIfTrue="1">
      <formula>AND(COUNTIF(#REF!, L95)+COUNTIF($K$15488:$K$15494, L95)+COUNTIF($K$15567:$K$15567, L95)+COUNTIF($K$15591:$K$15591, L95)+COUNTIF($K$15532:$K$15536, L95)+COUNTIF($K$15587:$K$15587, L95)+COUNTIF($K$15552:$K$15552, L95)+COUNTIF($K$15561:$K$15561, L95)+COUNTIF($K$15573:$K$15575, L95)+COUNTIF($K$15446:$K$15451, L95)+COUNTIF($K$15581:$K$15581, L95)+COUNTIF($K$15579:$K$15579, L95)+COUNTIF($K$15585:$K$15585, L95)+COUNTIF($K$15549:$K$15550, L95)+COUNTIF($K$15559:$K$15559, L95)+COUNTIF($K$15564:$K$15564, L95)+COUNTIF($K$15302:$K$15305, L95)+COUNTIF($K$15343:$K$15350, L95)+COUNTIF($K$15356:$K$15359, L95)+COUNTIF($K$15361:$K$15368, L95)+COUNTIF($K$15247:$K$15256, L95)+COUNTIF($K$15282:$K$15286, L95)+COUNTIF($K$14980:$K$14993, L95)+COUNTIF($K$14836:$K$14854, L95)+COUNTIF($K$14953:$K$14959, L95)+COUNTIF($K$14902:$K$14913, L95)+COUNTIF($K$14922:$K$14924, L95)+COUNTIF($K$14942:$K$14945, L95)+COUNTIF($K$14856:$K$14882, L95)+COUNTIF($K$12058:$K$14792, L95)+COUNTIF($K$14810:$K$14818, L95)+COUNTIF($K$14962:$K$14965, L95)+COUNTIF($K$15308:$K$15309, L95)+COUNTIF($K$15454:$K$15455, L95)+COUNTIF($K$15497:$K$15504, L95)+COUNTIF($K$15383:$K$15389, L95)+COUNTIF($K$15371:$K$15378, L95)&gt;1,NOT(ISBLANK(L95)))</formula>
    </cfRule>
  </conditionalFormatting>
  <conditionalFormatting sqref="L95">
    <cfRule type="expression" dxfId="298" priority="14" stopIfTrue="1">
      <formula>AND(COUNTIF(#REF!, L95)+COUNTIF($K$15131:$K$15137, L95)+COUNTIF($K$15210:$K$15210, L95)+COUNTIF($K$15234:$K$15234, L95)+COUNTIF($K$15175:$K$15179, L95)+COUNTIF($K$15230:$K$15230, L95)+COUNTIF($K$15195:$K$15195, L95)+COUNTIF($K$15204:$K$15204, L95)+COUNTIF($K$15216:$K$15218, L95)+COUNTIF($K$15089:$K$15094, L95)+COUNTIF($K$15224:$K$15224, L95)+COUNTIF($K$15222:$K$15222, L95)+COUNTIF($K$15228:$K$15228, L95)+COUNTIF($K$15192:$K$15193, L95)+COUNTIF($K$15202:$K$15202, L95)+COUNTIF($K$15207:$K$15207, L95)+COUNTIF($K$14945:$K$14948, L95)+COUNTIF($K$14986:$K$14993, L95)+COUNTIF($K$14999:$K$15002, L95)+COUNTIF($K$15004:$K$15011, L95)+COUNTIF($K$14890:$K$14899, L95)+COUNTIF($K$14925:$K$14929, L95)+COUNTIF($K$14623:$K$14636, L95)+COUNTIF($K$14479:$K$14497, L95)+COUNTIF($K$14596:$K$14602, L95)+COUNTIF($K$14545:$K$14556, L95)+COUNTIF($K$14565:$K$14567, L95)+COUNTIF($K$14585:$K$14588, L95)+COUNTIF($K$14499:$K$14525, L95)+COUNTIF($K$12058:$K$14435, L95)+COUNTIF($K$14453:$K$14461, L95)+COUNTIF($K$14605:$K$14608, L95)+COUNTIF($K$14951:$K$14952, L95)+COUNTIF($K$15097:$K$15098, L95)+COUNTIF($K$15140:$K$15147, L95)+COUNTIF($K$15026:$K$15032, L95)+COUNTIF($K$15014:$K$15021, L95)&gt;1,NOT(ISBLANK(L95)))</formula>
    </cfRule>
  </conditionalFormatting>
  <conditionalFormatting sqref="L95">
    <cfRule type="duplicateValues" dxfId="297" priority="15"/>
  </conditionalFormatting>
  <conditionalFormatting sqref="C95">
    <cfRule type="duplicateValues" dxfId="296" priority="16"/>
  </conditionalFormatting>
  <conditionalFormatting sqref="K96">
    <cfRule type="expression" dxfId="295" priority="1" stopIfTrue="1">
      <formula>AND(COUNTIF($K$12825:$K$12825, K96)&gt;1,NOT(ISBLANK(K96)))</formula>
    </cfRule>
  </conditionalFormatting>
  <conditionalFormatting sqref="K96">
    <cfRule type="expression" dxfId="294" priority="2" stopIfTrue="1">
      <formula>AND(COUNTIF(#REF!, K96)+COUNTIF($K$16220:$K$16226, K96)+COUNTIF($K$16299:$K$16299, K96)+COUNTIF($K$16323:$K$16323, K96)+COUNTIF($K$16264:$K$16268, K96)+COUNTIF($K$16319:$K$16319, K96)+COUNTIF($K$16284:$K$16284, K96)+COUNTIF($K$16293:$K$16293, K96)+COUNTIF($K$16305:$K$16307, K96)+COUNTIF($K$16178:$K$16183, K96)+COUNTIF($K$16313:$K$16313, K96)+COUNTIF($K$16311:$K$16311, K96)+COUNTIF($K$16317:$K$16317, K96)+COUNTIF($K$16281:$K$16282, K96)+COUNTIF($K$16291:$K$16291, K96)+COUNTIF($K$16296:$K$16296, K96)+COUNTIF($K$16034:$K$16037, K96)+COUNTIF($K$16075:$K$16082, K96)+COUNTIF($K$16088:$K$16091, K96)+COUNTIF($K$16093:$K$16100, K96)+COUNTIF($K$15979:$K$15988, K96)+COUNTIF($K$16014:$K$16018, K96)+COUNTIF($K$15712:$K$15725, K96)+COUNTIF($K$15568:$K$15586, K96)+COUNTIF($K$15685:$K$15691, K96)+COUNTIF($K$15634:$K$15645, K96)+COUNTIF($K$15654:$K$15656, K96)+COUNTIF($K$15674:$K$15677, K96)+COUNTIF($K$15588:$K$15614, K96)+COUNTIF($K$12790:$K$15524, K96)+COUNTIF($K$15542:$K$15550, K96)+COUNTIF($K$15694:$K$15697, K96)+COUNTIF($K$16040:$K$16041, K96)+COUNTIF($K$16186:$K$16187, K96)+COUNTIF($K$16229:$K$16236, K96)+COUNTIF($K$16115:$K$16121, K96)+COUNTIF($K$16103:$K$16110, K96)&gt;1,NOT(ISBLANK(K96)))</formula>
    </cfRule>
  </conditionalFormatting>
  <conditionalFormatting sqref="K96">
    <cfRule type="expression" dxfId="293" priority="3" stopIfTrue="1">
      <formula>AND(COUNTIF(#REF!, K96)+COUNTIF($K$15863:$K$15869, K96)+COUNTIF($K$15942:$K$15942, K96)+COUNTIF($K$15966:$K$15966, K96)+COUNTIF($K$15907:$K$15911, K96)+COUNTIF($K$15962:$K$15962, K96)+COUNTIF($K$15927:$K$15927, K96)+COUNTIF($K$15936:$K$15936, K96)+COUNTIF($K$15948:$K$15950, K96)+COUNTIF($K$15821:$K$15826, K96)+COUNTIF($K$15956:$K$15956, K96)+COUNTIF($K$15954:$K$15954, K96)+COUNTIF($K$15960:$K$15960, K96)+COUNTIF($K$15924:$K$15925, K96)+COUNTIF($K$15934:$K$15934, K96)+COUNTIF($K$15939:$K$15939, K96)+COUNTIF($K$15677:$K$15680, K96)+COUNTIF($K$15718:$K$15725, K96)+COUNTIF($K$15731:$K$15734, K96)+COUNTIF($K$15736:$K$15743, K96)+COUNTIF($K$15622:$K$15631, K96)+COUNTIF($K$15657:$K$15661, K96)+COUNTIF($K$15355:$K$15368, K96)+COUNTIF($K$15211:$K$15229, K96)+COUNTIF($K$15328:$K$15334, K96)+COUNTIF($K$15277:$K$15288, K96)+COUNTIF($K$15297:$K$15299, K96)+COUNTIF($K$15317:$K$15320, K96)+COUNTIF($K$15231:$K$15257, K96)+COUNTIF($K$12790:$K$15167, K96)+COUNTIF($K$15185:$K$15193, K96)+COUNTIF($K$15337:$K$15340, K96)+COUNTIF($K$15683:$K$15684, K96)+COUNTIF($K$15829:$K$15830, K96)+COUNTIF($K$15872:$K$15879, K96)+COUNTIF($K$15758:$K$15764, K96)+COUNTIF($K$15746:$K$15753, K96)&gt;1,NOT(ISBLANK(K96)))</formula>
    </cfRule>
  </conditionalFormatting>
  <conditionalFormatting sqref="L96">
    <cfRule type="expression" dxfId="292" priority="4" stopIfTrue="1">
      <formula>AND(COUNTIF($K$12050:$K$12050, L96)&gt;1,NOT(ISBLANK(L96)))</formula>
    </cfRule>
  </conditionalFormatting>
  <conditionalFormatting sqref="L96">
    <cfRule type="expression" dxfId="291" priority="5" stopIfTrue="1">
      <formula>AND(COUNTIF(#REF!, L96)+COUNTIF($K$15445:$K$15451, L96)+COUNTIF($K$15524:$K$15524, L96)+COUNTIF($K$15548:$K$15548, L96)+COUNTIF($K$15489:$K$15493, L96)+COUNTIF($K$15544:$K$15544, L96)+COUNTIF($K$15509:$K$15509, L96)+COUNTIF($K$15518:$K$15518, L96)+COUNTIF($K$15530:$K$15532, L96)+COUNTIF($K$15403:$K$15408, L96)+COUNTIF($K$15538:$K$15538, L96)+COUNTIF($K$15536:$K$15536, L96)+COUNTIF($K$15542:$K$15542, L96)+COUNTIF($K$15506:$K$15507, L96)+COUNTIF($K$15516:$K$15516, L96)+COUNTIF($K$15521:$K$15521, L96)+COUNTIF($K$15259:$K$15262, L96)+COUNTIF($K$15300:$K$15307, L96)+COUNTIF($K$15313:$K$15316, L96)+COUNTIF($K$15318:$K$15325, L96)+COUNTIF($K$15204:$K$15213, L96)+COUNTIF($K$15239:$K$15243, L96)+COUNTIF($K$14937:$K$14950, L96)+COUNTIF($K$14793:$K$14811, L96)+COUNTIF($K$14910:$K$14916, L96)+COUNTIF($K$14859:$K$14870, L96)+COUNTIF($K$14879:$K$14881, L96)+COUNTIF($K$14899:$K$14902, L96)+COUNTIF($K$14813:$K$14839, L96)+COUNTIF($K$12015:$K$14749, L96)+COUNTIF($K$14767:$K$14775, L96)+COUNTIF($K$14919:$K$14922, L96)+COUNTIF($K$15265:$K$15266, L96)+COUNTIF($K$15411:$K$15412, L96)+COUNTIF($K$15454:$K$15461, L96)+COUNTIF($K$15340:$K$15346, L96)+COUNTIF($K$15328:$K$15335, L96)&gt;1,NOT(ISBLANK(L96)))</formula>
    </cfRule>
  </conditionalFormatting>
  <conditionalFormatting sqref="L96">
    <cfRule type="expression" dxfId="290" priority="6" stopIfTrue="1">
      <formula>AND(COUNTIF(#REF!, L96)+COUNTIF($K$15088:$K$15094, L96)+COUNTIF($K$15167:$K$15167, L96)+COUNTIF($K$15191:$K$15191, L96)+COUNTIF($K$15132:$K$15136, L96)+COUNTIF($K$15187:$K$15187, L96)+COUNTIF($K$15152:$K$15152, L96)+COUNTIF($K$15161:$K$15161, L96)+COUNTIF($K$15173:$K$15175, L96)+COUNTIF($K$15046:$K$15051, L96)+COUNTIF($K$15181:$K$15181, L96)+COUNTIF($K$15179:$K$15179, L96)+COUNTIF($K$15185:$K$15185, L96)+COUNTIF($K$15149:$K$15150, L96)+COUNTIF($K$15159:$K$15159, L96)+COUNTIF($K$15164:$K$15164, L96)+COUNTIF($K$14902:$K$14905, L96)+COUNTIF($K$14943:$K$14950, L96)+COUNTIF($K$14956:$K$14959, L96)+COUNTIF($K$14961:$K$14968, L96)+COUNTIF($K$14847:$K$14856, L96)+COUNTIF($K$14882:$K$14886, L96)+COUNTIF($K$14580:$K$14593, L96)+COUNTIF($K$14436:$K$14454, L96)+COUNTIF($K$14553:$K$14559, L96)+COUNTIF($K$14502:$K$14513, L96)+COUNTIF($K$14522:$K$14524, L96)+COUNTIF($K$14542:$K$14545, L96)+COUNTIF($K$14456:$K$14482, L96)+COUNTIF($K$12015:$K$14392, L96)+COUNTIF($K$14410:$K$14418, L96)+COUNTIF($K$14562:$K$14565, L96)+COUNTIF($K$14908:$K$14909, L96)+COUNTIF($K$15054:$K$15055, L96)+COUNTIF($K$15097:$K$15104, L96)+COUNTIF($K$14983:$K$14989, L96)+COUNTIF($K$14971:$K$14978, L96)&gt;1,NOT(ISBLANK(L96)))</formula>
    </cfRule>
  </conditionalFormatting>
  <conditionalFormatting sqref="L96">
    <cfRule type="duplicateValues" dxfId="289" priority="7"/>
  </conditionalFormatting>
  <conditionalFormatting sqref="C96">
    <cfRule type="duplicateValues" dxfId="288" priority="8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"/>
  <sheetViews>
    <sheetView workbookViewId="0">
      <pane ySplit="4" topLeftCell="A5" activePane="bottomLeft" state="frozen"/>
      <selection activeCell="K1" sqref="K1"/>
      <selection pane="bottomLeft" activeCell="E35" sqref="E35"/>
    </sheetView>
  </sheetViews>
  <sheetFormatPr defaultRowHeight="14.25" outlineLevelRow="2" x14ac:dyDescent="0.45"/>
  <cols>
    <col min="3" max="3" width="14.86328125" bestFit="1" customWidth="1"/>
    <col min="11" max="11" width="10.73046875" style="1" customWidth="1"/>
    <col min="12" max="12" width="11.86328125" customWidth="1"/>
    <col min="13" max="13" width="11.1328125" style="1" customWidth="1"/>
    <col min="14" max="14" width="11.86328125" customWidth="1"/>
    <col min="15" max="15" width="16.86328125" bestFit="1" customWidth="1"/>
    <col min="16" max="16" width="26.73046875" bestFit="1" customWidth="1"/>
    <col min="17" max="17" width="12" bestFit="1" customWidth="1"/>
    <col min="18" max="18" width="17.3984375" bestFit="1" customWidth="1"/>
  </cols>
  <sheetData>
    <row r="1" spans="1:53" x14ac:dyDescent="0.4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</row>
    <row r="2" spans="1:53" ht="25.15" x14ac:dyDescent="0.45">
      <c r="A2" s="143" t="s">
        <v>560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</row>
    <row r="3" spans="1:53" x14ac:dyDescent="0.45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</row>
    <row r="4" spans="1:53" x14ac:dyDescent="0.45">
      <c r="A4" s="2" t="s">
        <v>12</v>
      </c>
      <c r="B4" s="2" t="s">
        <v>13</v>
      </c>
      <c r="C4" s="2" t="s">
        <v>14</v>
      </c>
      <c r="D4" s="3" t="s">
        <v>1</v>
      </c>
      <c r="E4" s="8" t="s">
        <v>0</v>
      </c>
      <c r="F4" s="3" t="s">
        <v>15</v>
      </c>
      <c r="G4" s="4" t="s">
        <v>16</v>
      </c>
      <c r="H4" s="5" t="s">
        <v>17</v>
      </c>
      <c r="I4" s="5" t="s">
        <v>9</v>
      </c>
      <c r="J4" s="5" t="s">
        <v>18</v>
      </c>
      <c r="K4" s="5" t="s">
        <v>19</v>
      </c>
      <c r="L4" s="6" t="s">
        <v>7</v>
      </c>
      <c r="M4" s="5" t="s">
        <v>20</v>
      </c>
      <c r="N4" s="7" t="s">
        <v>8</v>
      </c>
      <c r="O4" s="8" t="s">
        <v>21</v>
      </c>
      <c r="P4" s="9" t="s">
        <v>22</v>
      </c>
      <c r="Q4" s="4" t="s">
        <v>23</v>
      </c>
      <c r="R4" s="10" t="s">
        <v>24</v>
      </c>
      <c r="S4" s="9" t="s">
        <v>25</v>
      </c>
      <c r="T4" s="47" t="s">
        <v>61</v>
      </c>
      <c r="U4" s="47" t="s">
        <v>62</v>
      </c>
      <c r="V4" s="47" t="s">
        <v>63</v>
      </c>
      <c r="W4" s="47" t="s">
        <v>64</v>
      </c>
      <c r="X4" s="47" t="s">
        <v>65</v>
      </c>
      <c r="Y4" s="47" t="s">
        <v>66</v>
      </c>
      <c r="Z4" s="47" t="s">
        <v>67</v>
      </c>
      <c r="AA4" s="47" t="s">
        <v>68</v>
      </c>
      <c r="AB4" s="47" t="s">
        <v>69</v>
      </c>
      <c r="AC4" s="47" t="s">
        <v>70</v>
      </c>
      <c r="AD4" s="47" t="s">
        <v>71</v>
      </c>
      <c r="AE4" s="47" t="s">
        <v>72</v>
      </c>
      <c r="AF4" s="47" t="s">
        <v>73</v>
      </c>
      <c r="AG4" s="47" t="s">
        <v>74</v>
      </c>
      <c r="AH4" s="47" t="s">
        <v>75</v>
      </c>
      <c r="AI4" s="47" t="s">
        <v>76</v>
      </c>
      <c r="AJ4" s="47" t="s">
        <v>77</v>
      </c>
      <c r="AK4" s="47" t="s">
        <v>78</v>
      </c>
      <c r="AL4" s="47" t="s">
        <v>79</v>
      </c>
      <c r="AM4" s="47" t="s">
        <v>80</v>
      </c>
      <c r="AN4" s="47" t="s">
        <v>81</v>
      </c>
      <c r="AO4" s="47" t="s">
        <v>82</v>
      </c>
      <c r="AP4" s="47" t="s">
        <v>83</v>
      </c>
      <c r="AQ4" s="47" t="s">
        <v>84</v>
      </c>
      <c r="AR4" s="47" t="s">
        <v>85</v>
      </c>
      <c r="AS4" s="47" t="s">
        <v>86</v>
      </c>
      <c r="AT4" s="47" t="s">
        <v>87</v>
      </c>
      <c r="AU4" s="47" t="s">
        <v>88</v>
      </c>
      <c r="AV4" s="47" t="s">
        <v>89</v>
      </c>
      <c r="AW4" s="47" t="s">
        <v>90</v>
      </c>
      <c r="AX4" s="47" t="s">
        <v>91</v>
      </c>
      <c r="AY4" s="47" t="s">
        <v>92</v>
      </c>
      <c r="AZ4" s="47" t="s">
        <v>93</v>
      </c>
      <c r="BA4" s="47" t="s">
        <v>94</v>
      </c>
    </row>
    <row r="5" spans="1:53" s="60" customFormat="1" ht="15" customHeight="1" outlineLevel="2" x14ac:dyDescent="0.45">
      <c r="A5" s="48">
        <v>4509528576</v>
      </c>
      <c r="B5" s="49">
        <v>10</v>
      </c>
      <c r="C5" s="49" t="s">
        <v>525</v>
      </c>
      <c r="D5" s="50"/>
      <c r="E5" s="51"/>
      <c r="F5" s="51" t="s">
        <v>526</v>
      </c>
      <c r="G5" s="51">
        <v>1015</v>
      </c>
      <c r="H5" s="51" t="s">
        <v>118</v>
      </c>
      <c r="I5" s="51" t="s">
        <v>152</v>
      </c>
      <c r="J5" s="50"/>
      <c r="K5" s="50">
        <v>45192</v>
      </c>
      <c r="L5" s="52" t="s">
        <v>527</v>
      </c>
      <c r="M5" s="50">
        <v>45091</v>
      </c>
      <c r="N5" s="53" t="str">
        <f>+LEFT(L5,5)</f>
        <v>T3WCE</v>
      </c>
      <c r="O5" s="54" t="s">
        <v>528</v>
      </c>
      <c r="P5" s="55" t="s">
        <v>529</v>
      </c>
      <c r="Q5" s="56" t="s">
        <v>102</v>
      </c>
      <c r="R5" s="57" t="s">
        <v>530</v>
      </c>
      <c r="S5" s="58">
        <f>SUM(T5:BA5)</f>
        <v>5</v>
      </c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>
        <v>1</v>
      </c>
      <c r="AH5" s="58">
        <v>1</v>
      </c>
      <c r="AI5" s="58">
        <v>1</v>
      </c>
      <c r="AJ5" s="58"/>
      <c r="AK5" s="58">
        <v>1</v>
      </c>
      <c r="AL5" s="58">
        <v>1</v>
      </c>
      <c r="AM5" s="58"/>
      <c r="AN5" s="59"/>
      <c r="AO5" s="59"/>
      <c r="AP5" s="59"/>
      <c r="AQ5" s="59"/>
      <c r="AR5" s="59"/>
      <c r="AS5" s="59"/>
      <c r="AT5" s="59"/>
      <c r="AU5" s="59"/>
      <c r="AV5" s="58"/>
      <c r="AW5" s="58"/>
      <c r="AX5" s="58"/>
      <c r="AY5" s="59"/>
      <c r="AZ5" s="59"/>
      <c r="BA5" s="59"/>
    </row>
    <row r="6" spans="1:53" s="71" customFormat="1" ht="15" customHeight="1" outlineLevel="1" x14ac:dyDescent="0.45">
      <c r="A6" s="61"/>
      <c r="B6" s="62"/>
      <c r="C6" s="62"/>
      <c r="D6" s="63"/>
      <c r="E6" s="52"/>
      <c r="F6" s="52"/>
      <c r="G6" s="52"/>
      <c r="H6" s="52"/>
      <c r="I6" s="52"/>
      <c r="J6" s="63"/>
      <c r="K6" s="63"/>
      <c r="L6" s="52"/>
      <c r="M6" s="63"/>
      <c r="N6" s="64" t="s">
        <v>531</v>
      </c>
      <c r="O6" s="65"/>
      <c r="P6" s="66"/>
      <c r="Q6" s="67"/>
      <c r="R6" s="68"/>
      <c r="S6" s="69">
        <f t="shared" ref="S6:BA6" si="0">SUBTOTAL(9,S5:S5)</f>
        <v>5</v>
      </c>
      <c r="T6" s="69">
        <f t="shared" si="0"/>
        <v>0</v>
      </c>
      <c r="U6" s="69">
        <f t="shared" si="0"/>
        <v>0</v>
      </c>
      <c r="V6" s="69">
        <f t="shared" si="0"/>
        <v>0</v>
      </c>
      <c r="W6" s="69">
        <f t="shared" si="0"/>
        <v>0</v>
      </c>
      <c r="X6" s="69">
        <f t="shared" si="0"/>
        <v>0</v>
      </c>
      <c r="Y6" s="69">
        <f t="shared" si="0"/>
        <v>0</v>
      </c>
      <c r="Z6" s="69">
        <f t="shared" si="0"/>
        <v>0</v>
      </c>
      <c r="AA6" s="69">
        <f t="shared" si="0"/>
        <v>0</v>
      </c>
      <c r="AB6" s="69">
        <f t="shared" si="0"/>
        <v>0</v>
      </c>
      <c r="AC6" s="69">
        <f t="shared" si="0"/>
        <v>0</v>
      </c>
      <c r="AD6" s="69">
        <f t="shared" si="0"/>
        <v>0</v>
      </c>
      <c r="AE6" s="69">
        <f t="shared" si="0"/>
        <v>0</v>
      </c>
      <c r="AF6" s="69">
        <f t="shared" si="0"/>
        <v>0</v>
      </c>
      <c r="AG6" s="69">
        <f t="shared" si="0"/>
        <v>1</v>
      </c>
      <c r="AH6" s="69">
        <f t="shared" si="0"/>
        <v>1</v>
      </c>
      <c r="AI6" s="69">
        <f t="shared" si="0"/>
        <v>1</v>
      </c>
      <c r="AJ6" s="69">
        <f t="shared" si="0"/>
        <v>0</v>
      </c>
      <c r="AK6" s="69">
        <f t="shared" si="0"/>
        <v>1</v>
      </c>
      <c r="AL6" s="69">
        <f t="shared" si="0"/>
        <v>1</v>
      </c>
      <c r="AM6" s="69">
        <f t="shared" si="0"/>
        <v>0</v>
      </c>
      <c r="AN6" s="70">
        <f t="shared" si="0"/>
        <v>0</v>
      </c>
      <c r="AO6" s="70">
        <f t="shared" si="0"/>
        <v>0</v>
      </c>
      <c r="AP6" s="70">
        <f t="shared" si="0"/>
        <v>0</v>
      </c>
      <c r="AQ6" s="70">
        <f t="shared" si="0"/>
        <v>0</v>
      </c>
      <c r="AR6" s="70">
        <f t="shared" si="0"/>
        <v>0</v>
      </c>
      <c r="AS6" s="70">
        <f t="shared" si="0"/>
        <v>0</v>
      </c>
      <c r="AT6" s="70">
        <f t="shared" si="0"/>
        <v>0</v>
      </c>
      <c r="AU6" s="70">
        <f t="shared" si="0"/>
        <v>0</v>
      </c>
      <c r="AV6" s="69">
        <f t="shared" si="0"/>
        <v>0</v>
      </c>
      <c r="AW6" s="69">
        <f t="shared" si="0"/>
        <v>0</v>
      </c>
      <c r="AX6" s="69">
        <f t="shared" si="0"/>
        <v>0</v>
      </c>
      <c r="AY6" s="70">
        <f t="shared" si="0"/>
        <v>0</v>
      </c>
      <c r="AZ6" s="70">
        <f t="shared" si="0"/>
        <v>0</v>
      </c>
      <c r="BA6" s="70">
        <f t="shared" si="0"/>
        <v>0</v>
      </c>
    </row>
    <row r="7" spans="1:53" s="60" customFormat="1" ht="15" customHeight="1" outlineLevel="2" x14ac:dyDescent="0.45">
      <c r="A7" s="48">
        <v>4509528575</v>
      </c>
      <c r="B7" s="49">
        <v>10</v>
      </c>
      <c r="C7" s="49" t="s">
        <v>532</v>
      </c>
      <c r="D7" s="50"/>
      <c r="E7" s="51"/>
      <c r="F7" s="51" t="s">
        <v>117</v>
      </c>
      <c r="G7" s="51">
        <v>1015</v>
      </c>
      <c r="H7" s="51" t="s">
        <v>118</v>
      </c>
      <c r="I7" s="51" t="s">
        <v>152</v>
      </c>
      <c r="J7" s="50"/>
      <c r="K7" s="50">
        <v>45192</v>
      </c>
      <c r="L7" s="52" t="s">
        <v>533</v>
      </c>
      <c r="M7" s="50">
        <v>45091</v>
      </c>
      <c r="N7" s="53" t="str">
        <f>+LEFT(L7,5)</f>
        <v>T3WCF</v>
      </c>
      <c r="O7" s="54" t="s">
        <v>534</v>
      </c>
      <c r="P7" s="55" t="s">
        <v>121</v>
      </c>
      <c r="Q7" s="56" t="s">
        <v>102</v>
      </c>
      <c r="R7" s="57" t="s">
        <v>103</v>
      </c>
      <c r="S7" s="58">
        <f t="shared" ref="S7:S9" si="1">SUM(T7:BA7)</f>
        <v>5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9"/>
      <c r="AO7" s="59"/>
      <c r="AP7" s="59"/>
      <c r="AQ7" s="59">
        <v>1</v>
      </c>
      <c r="AR7" s="59">
        <v>1</v>
      </c>
      <c r="AS7" s="59">
        <v>1</v>
      </c>
      <c r="AT7" s="59">
        <v>1</v>
      </c>
      <c r="AU7" s="59">
        <v>1</v>
      </c>
      <c r="AV7" s="58"/>
      <c r="AW7" s="58"/>
      <c r="AX7" s="58"/>
      <c r="AY7" s="59"/>
      <c r="AZ7" s="59"/>
      <c r="BA7" s="59"/>
    </row>
    <row r="8" spans="1:53" s="71" customFormat="1" ht="15" customHeight="1" outlineLevel="1" x14ac:dyDescent="0.45">
      <c r="A8" s="61"/>
      <c r="B8" s="62"/>
      <c r="C8" s="62"/>
      <c r="D8" s="63"/>
      <c r="E8" s="52"/>
      <c r="F8" s="52"/>
      <c r="G8" s="52"/>
      <c r="H8" s="52"/>
      <c r="I8" s="52"/>
      <c r="J8" s="63"/>
      <c r="K8" s="63"/>
      <c r="L8" s="52"/>
      <c r="M8" s="63"/>
      <c r="N8" s="72" t="s">
        <v>535</v>
      </c>
      <c r="O8" s="65"/>
      <c r="P8" s="66"/>
      <c r="Q8" s="67"/>
      <c r="R8" s="68"/>
      <c r="S8" s="69">
        <f t="shared" ref="S8:BA8" si="2">SUBTOTAL(9,S7:S7)</f>
        <v>5</v>
      </c>
      <c r="T8" s="69">
        <f t="shared" si="2"/>
        <v>0</v>
      </c>
      <c r="U8" s="69">
        <f t="shared" si="2"/>
        <v>0</v>
      </c>
      <c r="V8" s="69">
        <f t="shared" si="2"/>
        <v>0</v>
      </c>
      <c r="W8" s="69">
        <f t="shared" si="2"/>
        <v>0</v>
      </c>
      <c r="X8" s="69">
        <f t="shared" si="2"/>
        <v>0</v>
      </c>
      <c r="Y8" s="69">
        <f t="shared" si="2"/>
        <v>0</v>
      </c>
      <c r="Z8" s="69">
        <f t="shared" si="2"/>
        <v>0</v>
      </c>
      <c r="AA8" s="69">
        <f t="shared" si="2"/>
        <v>0</v>
      </c>
      <c r="AB8" s="69">
        <f t="shared" si="2"/>
        <v>0</v>
      </c>
      <c r="AC8" s="69">
        <f t="shared" si="2"/>
        <v>0</v>
      </c>
      <c r="AD8" s="69">
        <f t="shared" si="2"/>
        <v>0</v>
      </c>
      <c r="AE8" s="69">
        <f t="shared" si="2"/>
        <v>0</v>
      </c>
      <c r="AF8" s="69">
        <f t="shared" si="2"/>
        <v>0</v>
      </c>
      <c r="AG8" s="69">
        <f t="shared" si="2"/>
        <v>0</v>
      </c>
      <c r="AH8" s="69">
        <f t="shared" si="2"/>
        <v>0</v>
      </c>
      <c r="AI8" s="69">
        <f t="shared" si="2"/>
        <v>0</v>
      </c>
      <c r="AJ8" s="69">
        <f t="shared" si="2"/>
        <v>0</v>
      </c>
      <c r="AK8" s="69">
        <f t="shared" si="2"/>
        <v>0</v>
      </c>
      <c r="AL8" s="69">
        <f t="shared" si="2"/>
        <v>0</v>
      </c>
      <c r="AM8" s="69">
        <f t="shared" si="2"/>
        <v>0</v>
      </c>
      <c r="AN8" s="70">
        <f t="shared" si="2"/>
        <v>0</v>
      </c>
      <c r="AO8" s="70">
        <f t="shared" si="2"/>
        <v>0</v>
      </c>
      <c r="AP8" s="70">
        <f t="shared" si="2"/>
        <v>0</v>
      </c>
      <c r="AQ8" s="70">
        <f t="shared" si="2"/>
        <v>1</v>
      </c>
      <c r="AR8" s="70">
        <f t="shared" si="2"/>
        <v>1</v>
      </c>
      <c r="AS8" s="70">
        <f t="shared" si="2"/>
        <v>1</v>
      </c>
      <c r="AT8" s="70">
        <f t="shared" si="2"/>
        <v>1</v>
      </c>
      <c r="AU8" s="70">
        <f t="shared" si="2"/>
        <v>1</v>
      </c>
      <c r="AV8" s="69">
        <f t="shared" si="2"/>
        <v>0</v>
      </c>
      <c r="AW8" s="69">
        <f t="shared" si="2"/>
        <v>0</v>
      </c>
      <c r="AX8" s="69">
        <f t="shared" si="2"/>
        <v>0</v>
      </c>
      <c r="AY8" s="70">
        <f t="shared" si="2"/>
        <v>0</v>
      </c>
      <c r="AZ8" s="70">
        <f t="shared" si="2"/>
        <v>0</v>
      </c>
      <c r="BA8" s="70">
        <f t="shared" si="2"/>
        <v>0</v>
      </c>
    </row>
    <row r="9" spans="1:53" s="60" customFormat="1" ht="15" customHeight="1" outlineLevel="2" x14ac:dyDescent="0.45">
      <c r="A9" s="48">
        <v>4509528581</v>
      </c>
      <c r="B9" s="49">
        <v>10</v>
      </c>
      <c r="C9" s="49" t="s">
        <v>536</v>
      </c>
      <c r="D9" s="50"/>
      <c r="E9" s="51" t="s">
        <v>165</v>
      </c>
      <c r="F9" s="51" t="s">
        <v>150</v>
      </c>
      <c r="G9" s="51">
        <v>1015</v>
      </c>
      <c r="H9" s="51" t="s">
        <v>118</v>
      </c>
      <c r="I9" s="51" t="s">
        <v>152</v>
      </c>
      <c r="J9" s="50"/>
      <c r="K9" s="50">
        <v>45199</v>
      </c>
      <c r="L9" s="52" t="s">
        <v>537</v>
      </c>
      <c r="M9" s="50">
        <v>45091</v>
      </c>
      <c r="N9" s="53" t="str">
        <f>+LEFT(L9,5)</f>
        <v>T3WCG</v>
      </c>
      <c r="O9" s="54" t="s">
        <v>173</v>
      </c>
      <c r="P9" s="55" t="s">
        <v>174</v>
      </c>
      <c r="Q9" s="56" t="s">
        <v>102</v>
      </c>
      <c r="R9" s="57" t="s">
        <v>103</v>
      </c>
      <c r="S9" s="58">
        <f t="shared" si="1"/>
        <v>52</v>
      </c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>
        <v>4</v>
      </c>
      <c r="AK9" s="58">
        <v>4</v>
      </c>
      <c r="AL9" s="58">
        <v>4</v>
      </c>
      <c r="AM9" s="58">
        <v>4</v>
      </c>
      <c r="AN9" s="59">
        <v>4</v>
      </c>
      <c r="AO9" s="59">
        <v>4</v>
      </c>
      <c r="AP9" s="59">
        <v>4</v>
      </c>
      <c r="AQ9" s="59">
        <v>4</v>
      </c>
      <c r="AR9" s="59">
        <v>4</v>
      </c>
      <c r="AS9" s="59">
        <v>4</v>
      </c>
      <c r="AT9" s="59">
        <v>4</v>
      </c>
      <c r="AU9" s="59">
        <v>4</v>
      </c>
      <c r="AV9" s="58">
        <v>4</v>
      </c>
      <c r="AW9" s="58"/>
      <c r="AX9" s="58"/>
      <c r="AY9" s="59"/>
      <c r="AZ9" s="59"/>
      <c r="BA9" s="59"/>
    </row>
    <row r="10" spans="1:53" s="71" customFormat="1" ht="15" customHeight="1" outlineLevel="1" x14ac:dyDescent="0.45">
      <c r="A10" s="88"/>
      <c r="B10" s="88"/>
      <c r="C10" s="88"/>
      <c r="D10" s="89"/>
      <c r="E10" s="90"/>
      <c r="F10" s="90"/>
      <c r="G10" s="90"/>
      <c r="H10" s="90"/>
      <c r="I10" s="90"/>
      <c r="J10" s="89"/>
      <c r="K10" s="89"/>
      <c r="L10" s="90"/>
      <c r="M10" s="89"/>
      <c r="N10" s="91" t="s">
        <v>538</v>
      </c>
      <c r="O10" s="92"/>
      <c r="P10" s="93"/>
      <c r="Q10" s="94"/>
      <c r="R10" s="95"/>
      <c r="S10" s="96">
        <f t="shared" ref="S10:BA10" si="3">SUBTOTAL(9,S9:S9)</f>
        <v>52</v>
      </c>
      <c r="T10" s="96">
        <f t="shared" si="3"/>
        <v>0</v>
      </c>
      <c r="U10" s="96">
        <f t="shared" si="3"/>
        <v>0</v>
      </c>
      <c r="V10" s="96">
        <f t="shared" si="3"/>
        <v>0</v>
      </c>
      <c r="W10" s="96">
        <f t="shared" si="3"/>
        <v>0</v>
      </c>
      <c r="X10" s="96">
        <f t="shared" si="3"/>
        <v>0</v>
      </c>
      <c r="Y10" s="96">
        <f t="shared" si="3"/>
        <v>0</v>
      </c>
      <c r="Z10" s="96">
        <f t="shared" si="3"/>
        <v>0</v>
      </c>
      <c r="AA10" s="96">
        <f t="shared" si="3"/>
        <v>0</v>
      </c>
      <c r="AB10" s="96">
        <f t="shared" si="3"/>
        <v>0</v>
      </c>
      <c r="AC10" s="96">
        <f t="shared" si="3"/>
        <v>0</v>
      </c>
      <c r="AD10" s="96">
        <f t="shared" si="3"/>
        <v>0</v>
      </c>
      <c r="AE10" s="96">
        <f t="shared" si="3"/>
        <v>0</v>
      </c>
      <c r="AF10" s="96">
        <f t="shared" si="3"/>
        <v>0</v>
      </c>
      <c r="AG10" s="96">
        <f t="shared" si="3"/>
        <v>0</v>
      </c>
      <c r="AH10" s="96">
        <f t="shared" si="3"/>
        <v>0</v>
      </c>
      <c r="AI10" s="96">
        <f t="shared" si="3"/>
        <v>0</v>
      </c>
      <c r="AJ10" s="96">
        <f t="shared" si="3"/>
        <v>4</v>
      </c>
      <c r="AK10" s="96">
        <f t="shared" si="3"/>
        <v>4</v>
      </c>
      <c r="AL10" s="96">
        <f t="shared" si="3"/>
        <v>4</v>
      </c>
      <c r="AM10" s="96">
        <f t="shared" si="3"/>
        <v>4</v>
      </c>
      <c r="AN10" s="97">
        <f t="shared" si="3"/>
        <v>4</v>
      </c>
      <c r="AO10" s="97">
        <f t="shared" si="3"/>
        <v>4</v>
      </c>
      <c r="AP10" s="97">
        <f t="shared" si="3"/>
        <v>4</v>
      </c>
      <c r="AQ10" s="97">
        <f t="shared" si="3"/>
        <v>4</v>
      </c>
      <c r="AR10" s="97">
        <f t="shared" si="3"/>
        <v>4</v>
      </c>
      <c r="AS10" s="97">
        <f t="shared" si="3"/>
        <v>4</v>
      </c>
      <c r="AT10" s="97">
        <f t="shared" si="3"/>
        <v>4</v>
      </c>
      <c r="AU10" s="97">
        <f t="shared" si="3"/>
        <v>4</v>
      </c>
      <c r="AV10" s="96">
        <f t="shared" si="3"/>
        <v>4</v>
      </c>
      <c r="AW10" s="96">
        <f t="shared" si="3"/>
        <v>0</v>
      </c>
      <c r="AX10" s="96">
        <f t="shared" si="3"/>
        <v>0</v>
      </c>
      <c r="AY10" s="97">
        <f t="shared" si="3"/>
        <v>0</v>
      </c>
      <c r="AZ10" s="97">
        <f t="shared" si="3"/>
        <v>0</v>
      </c>
      <c r="BA10" s="97">
        <f t="shared" si="3"/>
        <v>0</v>
      </c>
    </row>
    <row r="11" spans="1:53" s="83" customFormat="1" ht="15" customHeight="1" x14ac:dyDescent="0.45">
      <c r="A11" s="73"/>
      <c r="B11" s="73"/>
      <c r="C11" s="73"/>
      <c r="D11" s="74"/>
      <c r="E11" s="75"/>
      <c r="F11" s="75"/>
      <c r="G11" s="75"/>
      <c r="H11" s="75"/>
      <c r="I11" s="75"/>
      <c r="J11" s="74"/>
      <c r="K11" s="74"/>
      <c r="L11" s="75"/>
      <c r="M11" s="74"/>
      <c r="N11" s="76" t="s">
        <v>54</v>
      </c>
      <c r="O11" s="77"/>
      <c r="P11" s="78"/>
      <c r="Q11" s="79"/>
      <c r="R11" s="80"/>
      <c r="S11" s="81">
        <f t="shared" ref="S11:BA11" si="4">SUBTOTAL(9,S5:S9)</f>
        <v>62</v>
      </c>
      <c r="T11" s="81">
        <f t="shared" si="4"/>
        <v>0</v>
      </c>
      <c r="U11" s="81">
        <f t="shared" si="4"/>
        <v>0</v>
      </c>
      <c r="V11" s="81">
        <f t="shared" si="4"/>
        <v>0</v>
      </c>
      <c r="W11" s="81">
        <f t="shared" si="4"/>
        <v>0</v>
      </c>
      <c r="X11" s="81">
        <f t="shared" si="4"/>
        <v>0</v>
      </c>
      <c r="Y11" s="81">
        <f t="shared" si="4"/>
        <v>0</v>
      </c>
      <c r="Z11" s="81">
        <f t="shared" si="4"/>
        <v>0</v>
      </c>
      <c r="AA11" s="81">
        <f t="shared" si="4"/>
        <v>0</v>
      </c>
      <c r="AB11" s="81">
        <f t="shared" si="4"/>
        <v>0</v>
      </c>
      <c r="AC11" s="81">
        <f t="shared" si="4"/>
        <v>0</v>
      </c>
      <c r="AD11" s="81">
        <f t="shared" si="4"/>
        <v>0</v>
      </c>
      <c r="AE11" s="81">
        <f t="shared" si="4"/>
        <v>0</v>
      </c>
      <c r="AF11" s="81">
        <f t="shared" si="4"/>
        <v>0</v>
      </c>
      <c r="AG11" s="81">
        <f t="shared" si="4"/>
        <v>1</v>
      </c>
      <c r="AH11" s="81">
        <f t="shared" si="4"/>
        <v>1</v>
      </c>
      <c r="AI11" s="81">
        <f t="shared" si="4"/>
        <v>1</v>
      </c>
      <c r="AJ11" s="81">
        <f t="shared" si="4"/>
        <v>4</v>
      </c>
      <c r="AK11" s="81">
        <f t="shared" si="4"/>
        <v>5</v>
      </c>
      <c r="AL11" s="81">
        <f t="shared" si="4"/>
        <v>5</v>
      </c>
      <c r="AM11" s="81">
        <f t="shared" si="4"/>
        <v>4</v>
      </c>
      <c r="AN11" s="82">
        <f t="shared" si="4"/>
        <v>4</v>
      </c>
      <c r="AO11" s="82">
        <f t="shared" si="4"/>
        <v>4</v>
      </c>
      <c r="AP11" s="82">
        <f t="shared" si="4"/>
        <v>4</v>
      </c>
      <c r="AQ11" s="82">
        <f t="shared" si="4"/>
        <v>5</v>
      </c>
      <c r="AR11" s="82">
        <f t="shared" si="4"/>
        <v>5</v>
      </c>
      <c r="AS11" s="82">
        <f t="shared" si="4"/>
        <v>5</v>
      </c>
      <c r="AT11" s="82">
        <f t="shared" si="4"/>
        <v>5</v>
      </c>
      <c r="AU11" s="82">
        <f t="shared" si="4"/>
        <v>5</v>
      </c>
      <c r="AV11" s="81">
        <f t="shared" si="4"/>
        <v>4</v>
      </c>
      <c r="AW11" s="81">
        <f t="shared" si="4"/>
        <v>0</v>
      </c>
      <c r="AX11" s="81">
        <f t="shared" si="4"/>
        <v>0</v>
      </c>
      <c r="AY11" s="82">
        <f t="shared" si="4"/>
        <v>0</v>
      </c>
      <c r="AZ11" s="82">
        <f t="shared" si="4"/>
        <v>0</v>
      </c>
      <c r="BA11" s="82">
        <f t="shared" si="4"/>
        <v>0</v>
      </c>
    </row>
  </sheetData>
  <autoFilter ref="A4:BA10"/>
  <mergeCells count="3">
    <mergeCell ref="A1:BA1"/>
    <mergeCell ref="A2:BA2"/>
    <mergeCell ref="A3:BA3"/>
  </mergeCells>
  <conditionalFormatting sqref="L4">
    <cfRule type="duplicateValues" dxfId="287" priority="27"/>
  </conditionalFormatting>
  <conditionalFormatting sqref="M4">
    <cfRule type="duplicateValues" dxfId="286" priority="26"/>
  </conditionalFormatting>
  <conditionalFormatting sqref="L4">
    <cfRule type="duplicateValues" dxfId="285" priority="25"/>
  </conditionalFormatting>
  <conditionalFormatting sqref="L4">
    <cfRule type="duplicateValues" dxfId="284" priority="24"/>
  </conditionalFormatting>
  <conditionalFormatting sqref="L4">
    <cfRule type="duplicateValues" dxfId="283" priority="23"/>
  </conditionalFormatting>
  <conditionalFormatting sqref="C4">
    <cfRule type="duplicateValues" dxfId="282" priority="28"/>
    <cfRule type="duplicateValues" dxfId="281" priority="29"/>
  </conditionalFormatting>
  <conditionalFormatting sqref="C4">
    <cfRule type="duplicateValues" dxfId="280" priority="30"/>
  </conditionalFormatting>
  <conditionalFormatting sqref="A4:XFD4">
    <cfRule type="duplicateValues" dxfId="279" priority="31"/>
  </conditionalFormatting>
  <conditionalFormatting sqref="L4">
    <cfRule type="duplicateValues" dxfId="278" priority="22"/>
  </conditionalFormatting>
  <conditionalFormatting sqref="C4">
    <cfRule type="duplicateValues" dxfId="277" priority="21"/>
  </conditionalFormatting>
  <conditionalFormatting sqref="C4">
    <cfRule type="duplicateValues" dxfId="276" priority="20"/>
  </conditionalFormatting>
  <conditionalFormatting sqref="L4">
    <cfRule type="duplicateValues" dxfId="275" priority="19"/>
  </conditionalFormatting>
  <conditionalFormatting sqref="C4">
    <cfRule type="duplicateValues" dxfId="274" priority="18"/>
  </conditionalFormatting>
  <conditionalFormatting sqref="L4">
    <cfRule type="duplicateValues" dxfId="273" priority="17"/>
  </conditionalFormatting>
  <conditionalFormatting sqref="C4">
    <cfRule type="duplicateValues" dxfId="272" priority="16"/>
  </conditionalFormatting>
  <conditionalFormatting sqref="L4">
    <cfRule type="duplicateValues" dxfId="271" priority="15"/>
  </conditionalFormatting>
  <conditionalFormatting sqref="C4">
    <cfRule type="duplicateValues" dxfId="270" priority="14"/>
  </conditionalFormatting>
  <conditionalFormatting sqref="C4">
    <cfRule type="duplicateValues" dxfId="269" priority="13"/>
  </conditionalFormatting>
  <conditionalFormatting sqref="C4">
    <cfRule type="duplicateValues" dxfId="268" priority="12"/>
  </conditionalFormatting>
  <conditionalFormatting sqref="C4">
    <cfRule type="duplicateValues" dxfId="267" priority="11"/>
  </conditionalFormatting>
  <conditionalFormatting sqref="L4">
    <cfRule type="duplicateValues" dxfId="266" priority="10"/>
  </conditionalFormatting>
  <conditionalFormatting sqref="C4">
    <cfRule type="duplicateValues" dxfId="265" priority="9"/>
  </conditionalFormatting>
  <conditionalFormatting sqref="K5:K11">
    <cfRule type="expression" dxfId="264" priority="1" stopIfTrue="1">
      <formula>AND(COUNTIF($K$12190:$K$12190, K5)&gt;1,NOT(ISBLANK(K5)))</formula>
    </cfRule>
  </conditionalFormatting>
  <conditionalFormatting sqref="K5:K11">
    <cfRule type="expression" dxfId="263" priority="2" stopIfTrue="1">
      <formula>AND(COUNTIF(#REF!, K5)+COUNTIF($K$15585:$K$15591, K5)+COUNTIF($K$15664:$K$15664, K5)+COUNTIF($K$15688:$K$15688, K5)+COUNTIF($K$15629:$K$15633, K5)+COUNTIF($K$15684:$K$15684, K5)+COUNTIF($K$15649:$K$15649, K5)+COUNTIF($K$15658:$K$15658, K5)+COUNTIF($K$15670:$K$15672, K5)+COUNTIF($K$15543:$K$15548, K5)+COUNTIF($K$15678:$K$15678, K5)+COUNTIF($K$15676:$K$15676, K5)+COUNTIF($K$15682:$K$15682, K5)+COUNTIF($K$15646:$K$15647, K5)+COUNTIF($K$15656:$K$15656, K5)+COUNTIF($K$15661:$K$15661, K5)+COUNTIF($K$15399:$K$15402, K5)+COUNTIF($K$15440:$K$15447, K5)+COUNTIF($K$15453:$K$15456, K5)+COUNTIF($K$15458:$K$15465, K5)+COUNTIF($K$15344:$K$15353, K5)+COUNTIF($K$15379:$K$15383, K5)+COUNTIF($K$15077:$K$15090, K5)+COUNTIF($K$14933:$K$14951, K5)+COUNTIF($K$15050:$K$15056, K5)+COUNTIF($K$14999:$K$15010, K5)+COUNTIF($K$15019:$K$15021, K5)+COUNTIF($K$15039:$K$15042, K5)+COUNTIF($K$14953:$K$14979, K5)+COUNTIF($K$12155:$K$14889, K5)+COUNTIF($K$14907:$K$14915, K5)+COUNTIF($K$15059:$K$15062, K5)+COUNTIF($K$15405:$K$15406, K5)+COUNTIF($K$15551:$K$15552, K5)+COUNTIF($K$15594:$K$15601, K5)+COUNTIF($K$15480:$K$15486, K5)+COUNTIF($K$15468:$K$15475, K5)&gt;1,NOT(ISBLANK(K5)))</formula>
    </cfRule>
  </conditionalFormatting>
  <conditionalFormatting sqref="K5:K11">
    <cfRule type="expression" dxfId="262" priority="3" stopIfTrue="1">
      <formula>AND(COUNTIF(#REF!, K5)+COUNTIF($K$15228:$K$15234, K5)+COUNTIF($K$15307:$K$15307, K5)+COUNTIF($K$15331:$K$15331, K5)+COUNTIF($K$15272:$K$15276, K5)+COUNTIF($K$15327:$K$15327, K5)+COUNTIF($K$15292:$K$15292, K5)+COUNTIF($K$15301:$K$15301, K5)+COUNTIF($K$15313:$K$15315, K5)+COUNTIF($K$15186:$K$15191, K5)+COUNTIF($K$15321:$K$15321, K5)+COUNTIF($K$15319:$K$15319, K5)+COUNTIF($K$15325:$K$15325, K5)+COUNTIF($K$15289:$K$15290, K5)+COUNTIF($K$15299:$K$15299, K5)+COUNTIF($K$15304:$K$15304, K5)+COUNTIF($K$15042:$K$15045, K5)+COUNTIF($K$15083:$K$15090, K5)+COUNTIF($K$15096:$K$15099, K5)+COUNTIF($K$15101:$K$15108, K5)+COUNTIF($K$14987:$K$14996, K5)+COUNTIF($K$15022:$K$15026, K5)+COUNTIF($K$14720:$K$14733, K5)+COUNTIF($K$14576:$K$14594, K5)+COUNTIF($K$14693:$K$14699, K5)+COUNTIF($K$14642:$K$14653, K5)+COUNTIF($K$14662:$K$14664, K5)+COUNTIF($K$14682:$K$14685, K5)+COUNTIF($K$14596:$K$14622, K5)+COUNTIF($K$12155:$K$14532, K5)+COUNTIF($K$14550:$K$14558, K5)+COUNTIF($K$14702:$K$14705, K5)+COUNTIF($K$15048:$K$15049, K5)+COUNTIF($K$15194:$K$15195, K5)+COUNTIF($K$15237:$K$15244, K5)+COUNTIF($K$15123:$K$15129, K5)+COUNTIF($K$15111:$K$15118, K5)&gt;1,NOT(ISBLANK(K5)))</formula>
    </cfRule>
  </conditionalFormatting>
  <conditionalFormatting sqref="L5:L11">
    <cfRule type="expression" dxfId="261" priority="4" stopIfTrue="1">
      <formula>AND(COUNTIF($K$11415:$K$11415, L5)&gt;1,NOT(ISBLANK(L5)))</formula>
    </cfRule>
  </conditionalFormatting>
  <conditionalFormatting sqref="L5:L11">
    <cfRule type="expression" dxfId="260" priority="5" stopIfTrue="1">
      <formula>AND(COUNTIF(#REF!, L5)+COUNTIF($K$14810:$K$14816, L5)+COUNTIF($K$14889:$K$14889, L5)+COUNTIF($K$14913:$K$14913, L5)+COUNTIF($K$14854:$K$14858, L5)+COUNTIF($K$14909:$K$14909, L5)+COUNTIF($K$14874:$K$14874, L5)+COUNTIF($K$14883:$K$14883, L5)+COUNTIF($K$14895:$K$14897, L5)+COUNTIF($K$14768:$K$14773, L5)+COUNTIF($K$14903:$K$14903, L5)+COUNTIF($K$14901:$K$14901, L5)+COUNTIF($K$14907:$K$14907, L5)+COUNTIF($K$14871:$K$14872, L5)+COUNTIF($K$14881:$K$14881, L5)+COUNTIF($K$14886:$K$14886, L5)+COUNTIF($K$14624:$K$14627, L5)+COUNTIF($K$14665:$K$14672, L5)+COUNTIF($K$14678:$K$14681, L5)+COUNTIF($K$14683:$K$14690, L5)+COUNTIF($K$14569:$K$14578, L5)+COUNTIF($K$14604:$K$14608, L5)+COUNTIF($K$14302:$K$14315, L5)+COUNTIF($K$14158:$K$14176, L5)+COUNTIF($K$14275:$K$14281, L5)+COUNTIF($K$14224:$K$14235, L5)+COUNTIF($K$14244:$K$14246, L5)+COUNTIF($K$14264:$K$14267, L5)+COUNTIF($K$14178:$K$14204, L5)+COUNTIF($K$11380:$K$14114, L5)+COUNTIF($K$14132:$K$14140, L5)+COUNTIF($K$14284:$K$14287, L5)+COUNTIF($K$14630:$K$14631, L5)+COUNTIF($K$14776:$K$14777, L5)+COUNTIF($K$14819:$K$14826, L5)+COUNTIF($K$14705:$K$14711, L5)+COUNTIF($K$14693:$K$14700, L5)&gt;1,NOT(ISBLANK(L5)))</formula>
    </cfRule>
  </conditionalFormatting>
  <conditionalFormatting sqref="L5:L11">
    <cfRule type="expression" dxfId="259" priority="6" stopIfTrue="1">
      <formula>AND(COUNTIF(#REF!, L5)+COUNTIF($K$14453:$K$14459, L5)+COUNTIF($K$14532:$K$14532, L5)+COUNTIF($K$14556:$K$14556, L5)+COUNTIF($K$14497:$K$14501, L5)+COUNTIF($K$14552:$K$14552, L5)+COUNTIF($K$14517:$K$14517, L5)+COUNTIF($K$14526:$K$14526, L5)+COUNTIF($K$14538:$K$14540, L5)+COUNTIF($K$14411:$K$14416, L5)+COUNTIF($K$14546:$K$14546, L5)+COUNTIF($K$14544:$K$14544, L5)+COUNTIF($K$14550:$K$14550, L5)+COUNTIF($K$14514:$K$14515, L5)+COUNTIF($K$14524:$K$14524, L5)+COUNTIF($K$14529:$K$14529, L5)+COUNTIF($K$14267:$K$14270, L5)+COUNTIF($K$14308:$K$14315, L5)+COUNTIF($K$14321:$K$14324, L5)+COUNTIF($K$14326:$K$14333, L5)+COUNTIF($K$14212:$K$14221, L5)+COUNTIF($K$14247:$K$14251, L5)+COUNTIF($K$13945:$K$13958, L5)+COUNTIF($K$13801:$K$13819, L5)+COUNTIF($K$13918:$K$13924, L5)+COUNTIF($K$13867:$K$13878, L5)+COUNTIF($K$13887:$K$13889, L5)+COUNTIF($K$13907:$K$13910, L5)+COUNTIF($K$13821:$K$13847, L5)+COUNTIF($K$11380:$K$13757, L5)+COUNTIF($K$13775:$K$13783, L5)+COUNTIF($K$13927:$K$13930, L5)+COUNTIF($K$14273:$K$14274, L5)+COUNTIF($K$14419:$K$14420, L5)+COUNTIF($K$14462:$K$14469, L5)+COUNTIF($K$14348:$K$14354, L5)+COUNTIF($K$14336:$K$14343, L5)&gt;1,NOT(ISBLANK(L5)))</formula>
    </cfRule>
  </conditionalFormatting>
  <conditionalFormatting sqref="L5:L11">
    <cfRule type="duplicateValues" dxfId="258" priority="7"/>
  </conditionalFormatting>
  <conditionalFormatting sqref="C5:C11">
    <cfRule type="duplicateValues" dxfId="257" priority="8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33"/>
  <sheetViews>
    <sheetView topLeftCell="B1" workbookViewId="0">
      <pane ySplit="4" topLeftCell="A5" activePane="bottomLeft" state="frozen"/>
      <selection activeCell="K1" sqref="K1"/>
      <selection pane="bottomLeft" activeCell="L17" sqref="L17"/>
    </sheetView>
  </sheetViews>
  <sheetFormatPr defaultRowHeight="14.25" outlineLevelRow="2" x14ac:dyDescent="0.45"/>
  <cols>
    <col min="1" max="1" width="10.265625" customWidth="1"/>
    <col min="3" max="3" width="14.86328125" bestFit="1" customWidth="1"/>
    <col min="6" max="6" width="15.73046875" bestFit="1" customWidth="1"/>
    <col min="11" max="11" width="10.73046875" style="1" customWidth="1"/>
    <col min="12" max="12" width="11.86328125" customWidth="1"/>
    <col min="13" max="13" width="9.73046875" style="1" bestFit="1" customWidth="1"/>
    <col min="14" max="14" width="11.86328125" customWidth="1"/>
    <col min="15" max="15" width="16.86328125" bestFit="1" customWidth="1"/>
    <col min="16" max="16" width="18" bestFit="1" customWidth="1"/>
    <col min="17" max="17" width="18.3984375" customWidth="1"/>
  </cols>
  <sheetData>
    <row r="1" spans="1:52" s="37" customFormat="1" x14ac:dyDescent="0.45">
      <c r="D1" s="125"/>
    </row>
    <row r="2" spans="1:52" s="37" customFormat="1" ht="21" customHeight="1" x14ac:dyDescent="0.7">
      <c r="A2" s="145" t="s">
        <v>561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</row>
    <row r="3" spans="1:52" s="37" customFormat="1" x14ac:dyDescent="0.45">
      <c r="D3" s="125"/>
    </row>
    <row r="4" spans="1:52" x14ac:dyDescent="0.45">
      <c r="A4" s="2" t="s">
        <v>12</v>
      </c>
      <c r="B4" s="2" t="s">
        <v>13</v>
      </c>
      <c r="C4" s="2" t="s">
        <v>14</v>
      </c>
      <c r="D4" s="3" t="s">
        <v>1</v>
      </c>
      <c r="E4" s="3" t="s">
        <v>0</v>
      </c>
      <c r="F4" s="3" t="s">
        <v>15</v>
      </c>
      <c r="G4" s="4" t="s">
        <v>16</v>
      </c>
      <c r="H4" s="5" t="s">
        <v>17</v>
      </c>
      <c r="I4" s="5" t="s">
        <v>9</v>
      </c>
      <c r="J4" s="5" t="s">
        <v>18</v>
      </c>
      <c r="K4" s="5" t="s">
        <v>19</v>
      </c>
      <c r="L4" s="6" t="s">
        <v>7</v>
      </c>
      <c r="M4" s="5" t="s">
        <v>20</v>
      </c>
      <c r="N4" s="7" t="s">
        <v>8</v>
      </c>
      <c r="O4" s="8" t="s">
        <v>21</v>
      </c>
      <c r="P4" s="9" t="s">
        <v>22</v>
      </c>
      <c r="Q4" s="4" t="s">
        <v>23</v>
      </c>
      <c r="R4" s="10" t="s">
        <v>24</v>
      </c>
      <c r="S4" s="9" t="s">
        <v>25</v>
      </c>
      <c r="T4" s="9" t="s">
        <v>26</v>
      </c>
      <c r="U4" s="9" t="s">
        <v>27</v>
      </c>
      <c r="V4" s="9" t="s">
        <v>28</v>
      </c>
      <c r="W4" s="9" t="s">
        <v>29</v>
      </c>
      <c r="X4" s="9" t="s">
        <v>30</v>
      </c>
      <c r="Y4" s="9" t="s">
        <v>31</v>
      </c>
      <c r="Z4" s="9" t="s">
        <v>32</v>
      </c>
      <c r="AA4" s="9" t="s">
        <v>33</v>
      </c>
      <c r="AB4" s="9" t="s">
        <v>34</v>
      </c>
      <c r="AC4" s="9" t="s">
        <v>35</v>
      </c>
      <c r="AD4" s="9" t="s">
        <v>36</v>
      </c>
      <c r="AE4" s="9" t="s">
        <v>37</v>
      </c>
      <c r="AF4" s="9" t="s">
        <v>38</v>
      </c>
      <c r="AG4" s="9" t="s">
        <v>39</v>
      </c>
      <c r="AH4" s="9" t="s">
        <v>40</v>
      </c>
      <c r="AI4" s="9" t="s">
        <v>41</v>
      </c>
      <c r="AJ4" s="9" t="s">
        <v>42</v>
      </c>
      <c r="AK4" s="9" t="s">
        <v>43</v>
      </c>
      <c r="AL4" s="9" t="s">
        <v>44</v>
      </c>
      <c r="AM4" s="9" t="s">
        <v>45</v>
      </c>
      <c r="AN4" s="9">
        <v>13.5</v>
      </c>
      <c r="AO4" s="9" t="s">
        <v>46</v>
      </c>
      <c r="AP4" s="9">
        <v>14.5</v>
      </c>
      <c r="AQ4" s="9" t="s">
        <v>47</v>
      </c>
      <c r="AR4" s="9">
        <v>15.5</v>
      </c>
      <c r="AS4" s="9" t="s">
        <v>48</v>
      </c>
      <c r="AT4" s="9">
        <v>16.5</v>
      </c>
      <c r="AU4" s="9" t="s">
        <v>49</v>
      </c>
      <c r="AV4" s="9">
        <v>17.5</v>
      </c>
      <c r="AW4" s="9" t="s">
        <v>50</v>
      </c>
      <c r="AX4" s="9">
        <v>18.5</v>
      </c>
      <c r="AY4" s="9" t="s">
        <v>51</v>
      </c>
      <c r="AZ4" s="11">
        <v>19.5</v>
      </c>
    </row>
    <row r="5" spans="1:52" s="111" customFormat="1" ht="15" customHeight="1" outlineLevel="2" x14ac:dyDescent="0.45">
      <c r="A5" s="98">
        <v>4509529561</v>
      </c>
      <c r="B5" s="99">
        <v>10</v>
      </c>
      <c r="C5" s="99" t="s">
        <v>539</v>
      </c>
      <c r="D5" s="100"/>
      <c r="E5" s="100"/>
      <c r="F5" s="101" t="s">
        <v>255</v>
      </c>
      <c r="G5" s="101">
        <v>1015</v>
      </c>
      <c r="H5" s="101" t="s">
        <v>118</v>
      </c>
      <c r="I5" s="101" t="s">
        <v>152</v>
      </c>
      <c r="J5" s="100"/>
      <c r="K5" s="100">
        <v>45192</v>
      </c>
      <c r="L5" s="102" t="s">
        <v>540</v>
      </c>
      <c r="M5" s="100">
        <v>45091</v>
      </c>
      <c r="N5" s="103" t="str">
        <f>+LEFT(L5,5)</f>
        <v>T3WC8</v>
      </c>
      <c r="O5" s="104" t="s">
        <v>257</v>
      </c>
      <c r="P5" s="105" t="s">
        <v>258</v>
      </c>
      <c r="Q5" s="106" t="s">
        <v>102</v>
      </c>
      <c r="R5" s="107" t="s">
        <v>225</v>
      </c>
      <c r="S5" s="108">
        <f>SUM(T5:AZ5)</f>
        <v>203</v>
      </c>
      <c r="T5" s="108"/>
      <c r="U5" s="108"/>
      <c r="V5" s="108"/>
      <c r="W5" s="109"/>
      <c r="X5" s="109"/>
      <c r="Y5" s="109">
        <v>7</v>
      </c>
      <c r="Z5" s="109">
        <v>7</v>
      </c>
      <c r="AA5" s="109">
        <v>7</v>
      </c>
      <c r="AB5" s="109">
        <v>7</v>
      </c>
      <c r="AC5" s="109">
        <v>8</v>
      </c>
      <c r="AD5" s="109">
        <v>6</v>
      </c>
      <c r="AE5" s="109">
        <v>3</v>
      </c>
      <c r="AF5" s="109">
        <v>3</v>
      </c>
      <c r="AG5" s="109">
        <v>17</v>
      </c>
      <c r="AH5" s="109">
        <v>20</v>
      </c>
      <c r="AI5" s="109">
        <v>17</v>
      </c>
      <c r="AJ5" s="109">
        <v>17</v>
      </c>
      <c r="AK5" s="109">
        <v>18</v>
      </c>
      <c r="AL5" s="110">
        <v>19</v>
      </c>
      <c r="AM5" s="110">
        <v>19</v>
      </c>
      <c r="AN5" s="110"/>
      <c r="AO5" s="110">
        <v>14</v>
      </c>
      <c r="AP5" s="110"/>
      <c r="AQ5" s="110">
        <v>14</v>
      </c>
      <c r="AR5" s="110"/>
      <c r="AS5" s="110"/>
      <c r="AT5" s="110"/>
      <c r="AU5" s="110"/>
      <c r="AV5" s="110"/>
      <c r="AW5" s="110"/>
      <c r="AX5" s="110"/>
      <c r="AY5" s="110"/>
      <c r="AZ5" s="110"/>
    </row>
    <row r="6" spans="1:52" s="123" customFormat="1" ht="15" customHeight="1" outlineLevel="1" x14ac:dyDescent="0.45">
      <c r="A6" s="112"/>
      <c r="B6" s="113"/>
      <c r="C6" s="113"/>
      <c r="D6" s="114"/>
      <c r="E6" s="114"/>
      <c r="F6" s="102"/>
      <c r="G6" s="102"/>
      <c r="H6" s="102"/>
      <c r="I6" s="102"/>
      <c r="J6" s="114"/>
      <c r="K6" s="114"/>
      <c r="L6" s="102"/>
      <c r="M6" s="114"/>
      <c r="N6" s="115" t="s">
        <v>541</v>
      </c>
      <c r="O6" s="116"/>
      <c r="P6" s="117"/>
      <c r="Q6" s="118"/>
      <c r="R6" s="119"/>
      <c r="S6" s="120">
        <f t="shared" ref="S6:AZ6" si="0">SUBTOTAL(9,S5:S5)</f>
        <v>203</v>
      </c>
      <c r="T6" s="120">
        <f t="shared" si="0"/>
        <v>0</v>
      </c>
      <c r="U6" s="120">
        <f t="shared" si="0"/>
        <v>0</v>
      </c>
      <c r="V6" s="120">
        <f t="shared" si="0"/>
        <v>0</v>
      </c>
      <c r="W6" s="121">
        <f t="shared" si="0"/>
        <v>0</v>
      </c>
      <c r="X6" s="121">
        <f t="shared" si="0"/>
        <v>0</v>
      </c>
      <c r="Y6" s="121">
        <f t="shared" si="0"/>
        <v>7</v>
      </c>
      <c r="Z6" s="121">
        <f t="shared" si="0"/>
        <v>7</v>
      </c>
      <c r="AA6" s="121">
        <f t="shared" si="0"/>
        <v>7</v>
      </c>
      <c r="AB6" s="121">
        <f t="shared" si="0"/>
        <v>7</v>
      </c>
      <c r="AC6" s="121">
        <f t="shared" si="0"/>
        <v>8</v>
      </c>
      <c r="AD6" s="121">
        <f t="shared" si="0"/>
        <v>6</v>
      </c>
      <c r="AE6" s="121">
        <f t="shared" si="0"/>
        <v>3</v>
      </c>
      <c r="AF6" s="121">
        <f t="shared" si="0"/>
        <v>3</v>
      </c>
      <c r="AG6" s="121">
        <f t="shared" si="0"/>
        <v>17</v>
      </c>
      <c r="AH6" s="121">
        <f t="shared" si="0"/>
        <v>20</v>
      </c>
      <c r="AI6" s="121">
        <f t="shared" si="0"/>
        <v>17</v>
      </c>
      <c r="AJ6" s="121">
        <f t="shared" si="0"/>
        <v>17</v>
      </c>
      <c r="AK6" s="121">
        <f t="shared" si="0"/>
        <v>18</v>
      </c>
      <c r="AL6" s="122">
        <f t="shared" si="0"/>
        <v>19</v>
      </c>
      <c r="AM6" s="122">
        <f t="shared" si="0"/>
        <v>19</v>
      </c>
      <c r="AN6" s="122">
        <f t="shared" si="0"/>
        <v>0</v>
      </c>
      <c r="AO6" s="122">
        <f t="shared" si="0"/>
        <v>14</v>
      </c>
      <c r="AP6" s="122">
        <f t="shared" si="0"/>
        <v>0</v>
      </c>
      <c r="AQ6" s="122">
        <f t="shared" si="0"/>
        <v>14</v>
      </c>
      <c r="AR6" s="122">
        <f t="shared" si="0"/>
        <v>0</v>
      </c>
      <c r="AS6" s="122">
        <f t="shared" si="0"/>
        <v>0</v>
      </c>
      <c r="AT6" s="122">
        <f t="shared" si="0"/>
        <v>0</v>
      </c>
      <c r="AU6" s="122">
        <f t="shared" si="0"/>
        <v>0</v>
      </c>
      <c r="AV6" s="122">
        <f t="shared" si="0"/>
        <v>0</v>
      </c>
      <c r="AW6" s="122">
        <f t="shared" si="0"/>
        <v>0</v>
      </c>
      <c r="AX6" s="122">
        <f t="shared" si="0"/>
        <v>0</v>
      </c>
      <c r="AY6" s="122">
        <f t="shared" si="0"/>
        <v>0</v>
      </c>
      <c r="AZ6" s="122">
        <f t="shared" si="0"/>
        <v>0</v>
      </c>
    </row>
    <row r="7" spans="1:52" s="111" customFormat="1" ht="15" customHeight="1" outlineLevel="2" x14ac:dyDescent="0.45">
      <c r="A7" s="98">
        <v>4509529561</v>
      </c>
      <c r="B7" s="99">
        <v>20</v>
      </c>
      <c r="C7" s="99" t="s">
        <v>542</v>
      </c>
      <c r="D7" s="100"/>
      <c r="E7" s="100"/>
      <c r="F7" s="101" t="s">
        <v>255</v>
      </c>
      <c r="G7" s="101">
        <v>1015</v>
      </c>
      <c r="H7" s="101" t="s">
        <v>118</v>
      </c>
      <c r="I7" s="101" t="s">
        <v>152</v>
      </c>
      <c r="J7" s="100"/>
      <c r="K7" s="100">
        <v>45192</v>
      </c>
      <c r="L7" s="102" t="s">
        <v>543</v>
      </c>
      <c r="M7" s="100">
        <v>45091</v>
      </c>
      <c r="N7" s="103" t="str">
        <f>+LEFT(L7,5)</f>
        <v>T3WC9</v>
      </c>
      <c r="O7" s="104" t="s">
        <v>544</v>
      </c>
      <c r="P7" s="105" t="s">
        <v>258</v>
      </c>
      <c r="Q7" s="106" t="s">
        <v>102</v>
      </c>
      <c r="R7" s="107" t="s">
        <v>225</v>
      </c>
      <c r="S7" s="108">
        <f t="shared" ref="S7:S15" si="1">SUM(T7:AZ7)</f>
        <v>45</v>
      </c>
      <c r="T7" s="108"/>
      <c r="U7" s="108"/>
      <c r="V7" s="108"/>
      <c r="W7" s="109"/>
      <c r="X7" s="109"/>
      <c r="Y7" s="109">
        <v>2</v>
      </c>
      <c r="Z7" s="109">
        <v>2</v>
      </c>
      <c r="AA7" s="109">
        <v>2</v>
      </c>
      <c r="AB7" s="109">
        <v>2</v>
      </c>
      <c r="AC7" s="109">
        <v>5</v>
      </c>
      <c r="AD7" s="109">
        <v>3</v>
      </c>
      <c r="AE7" s="109">
        <v>4</v>
      </c>
      <c r="AF7" s="109">
        <v>4</v>
      </c>
      <c r="AG7" s="109">
        <v>3</v>
      </c>
      <c r="AH7" s="109">
        <v>5</v>
      </c>
      <c r="AI7" s="109">
        <v>3</v>
      </c>
      <c r="AJ7" s="109">
        <v>3</v>
      </c>
      <c r="AK7" s="109">
        <v>3</v>
      </c>
      <c r="AL7" s="110">
        <v>1</v>
      </c>
      <c r="AM7" s="110">
        <v>1</v>
      </c>
      <c r="AN7" s="110"/>
      <c r="AO7" s="110">
        <v>1</v>
      </c>
      <c r="AP7" s="110"/>
      <c r="AQ7" s="110">
        <v>1</v>
      </c>
      <c r="AR7" s="110"/>
      <c r="AS7" s="110"/>
      <c r="AT7" s="110"/>
      <c r="AU7" s="110"/>
      <c r="AV7" s="110"/>
      <c r="AW7" s="110"/>
      <c r="AX7" s="110"/>
      <c r="AY7" s="110"/>
      <c r="AZ7" s="110"/>
    </row>
    <row r="8" spans="1:52" s="123" customFormat="1" ht="15" customHeight="1" outlineLevel="1" x14ac:dyDescent="0.45">
      <c r="A8" s="112"/>
      <c r="B8" s="113"/>
      <c r="C8" s="113"/>
      <c r="D8" s="114"/>
      <c r="E8" s="114"/>
      <c r="F8" s="102"/>
      <c r="G8" s="102"/>
      <c r="H8" s="102"/>
      <c r="I8" s="102"/>
      <c r="J8" s="114"/>
      <c r="K8" s="114"/>
      <c r="L8" s="102"/>
      <c r="M8" s="114"/>
      <c r="N8" s="124" t="s">
        <v>545</v>
      </c>
      <c r="O8" s="116"/>
      <c r="P8" s="117"/>
      <c r="Q8" s="118"/>
      <c r="R8" s="119"/>
      <c r="S8" s="120">
        <f t="shared" ref="S8:AZ8" si="2">SUBTOTAL(9,S7:S7)</f>
        <v>45</v>
      </c>
      <c r="T8" s="120">
        <f t="shared" si="2"/>
        <v>0</v>
      </c>
      <c r="U8" s="120">
        <f t="shared" si="2"/>
        <v>0</v>
      </c>
      <c r="V8" s="120">
        <f t="shared" si="2"/>
        <v>0</v>
      </c>
      <c r="W8" s="121">
        <f t="shared" si="2"/>
        <v>0</v>
      </c>
      <c r="X8" s="121">
        <f t="shared" si="2"/>
        <v>0</v>
      </c>
      <c r="Y8" s="121">
        <f t="shared" si="2"/>
        <v>2</v>
      </c>
      <c r="Z8" s="121">
        <f t="shared" si="2"/>
        <v>2</v>
      </c>
      <c r="AA8" s="121">
        <f t="shared" si="2"/>
        <v>2</v>
      </c>
      <c r="AB8" s="121">
        <f t="shared" si="2"/>
        <v>2</v>
      </c>
      <c r="AC8" s="121">
        <f t="shared" si="2"/>
        <v>5</v>
      </c>
      <c r="AD8" s="121">
        <f t="shared" si="2"/>
        <v>3</v>
      </c>
      <c r="AE8" s="121">
        <f t="shared" si="2"/>
        <v>4</v>
      </c>
      <c r="AF8" s="121">
        <f t="shared" si="2"/>
        <v>4</v>
      </c>
      <c r="AG8" s="121">
        <f t="shared" si="2"/>
        <v>3</v>
      </c>
      <c r="AH8" s="121">
        <f t="shared" si="2"/>
        <v>5</v>
      </c>
      <c r="AI8" s="121">
        <f t="shared" si="2"/>
        <v>3</v>
      </c>
      <c r="AJ8" s="121">
        <f t="shared" si="2"/>
        <v>3</v>
      </c>
      <c r="AK8" s="121">
        <f t="shared" si="2"/>
        <v>3</v>
      </c>
      <c r="AL8" s="122">
        <f t="shared" si="2"/>
        <v>1</v>
      </c>
      <c r="AM8" s="122">
        <f t="shared" si="2"/>
        <v>1</v>
      </c>
      <c r="AN8" s="122">
        <f t="shared" si="2"/>
        <v>0</v>
      </c>
      <c r="AO8" s="122">
        <f t="shared" si="2"/>
        <v>1</v>
      </c>
      <c r="AP8" s="122">
        <f t="shared" si="2"/>
        <v>0</v>
      </c>
      <c r="AQ8" s="122">
        <f t="shared" si="2"/>
        <v>1</v>
      </c>
      <c r="AR8" s="122">
        <f t="shared" si="2"/>
        <v>0</v>
      </c>
      <c r="AS8" s="122">
        <f t="shared" si="2"/>
        <v>0</v>
      </c>
      <c r="AT8" s="122">
        <f t="shared" si="2"/>
        <v>0</v>
      </c>
      <c r="AU8" s="122">
        <f t="shared" si="2"/>
        <v>0</v>
      </c>
      <c r="AV8" s="122">
        <f t="shared" si="2"/>
        <v>0</v>
      </c>
      <c r="AW8" s="122">
        <f t="shared" si="2"/>
        <v>0</v>
      </c>
      <c r="AX8" s="122">
        <f t="shared" si="2"/>
        <v>0</v>
      </c>
      <c r="AY8" s="122">
        <f t="shared" si="2"/>
        <v>0</v>
      </c>
      <c r="AZ8" s="122">
        <f t="shared" si="2"/>
        <v>0</v>
      </c>
    </row>
    <row r="9" spans="1:52" s="111" customFormat="1" ht="15" customHeight="1" outlineLevel="2" x14ac:dyDescent="0.45">
      <c r="A9" s="98">
        <v>4509528574</v>
      </c>
      <c r="B9" s="99">
        <v>40</v>
      </c>
      <c r="C9" s="99" t="s">
        <v>546</v>
      </c>
      <c r="D9" s="100"/>
      <c r="E9" s="100"/>
      <c r="F9" s="101" t="s">
        <v>366</v>
      </c>
      <c r="G9" s="101">
        <v>1015</v>
      </c>
      <c r="H9" s="101" t="s">
        <v>118</v>
      </c>
      <c r="I9" s="101" t="s">
        <v>152</v>
      </c>
      <c r="J9" s="100"/>
      <c r="K9" s="100">
        <v>45192</v>
      </c>
      <c r="L9" s="102" t="s">
        <v>547</v>
      </c>
      <c r="M9" s="100">
        <v>45091</v>
      </c>
      <c r="N9" s="103" t="str">
        <f>+LEFT(L9,5)</f>
        <v>T3WCA</v>
      </c>
      <c r="O9" s="104" t="s">
        <v>368</v>
      </c>
      <c r="P9" s="105" t="s">
        <v>369</v>
      </c>
      <c r="Q9" s="106" t="s">
        <v>102</v>
      </c>
      <c r="R9" s="107" t="s">
        <v>225</v>
      </c>
      <c r="S9" s="108">
        <f t="shared" si="1"/>
        <v>41</v>
      </c>
      <c r="T9" s="108"/>
      <c r="U9" s="108"/>
      <c r="V9" s="108"/>
      <c r="W9" s="109"/>
      <c r="X9" s="109"/>
      <c r="Y9" s="109">
        <v>2</v>
      </c>
      <c r="Z9" s="109">
        <v>2</v>
      </c>
      <c r="AA9" s="109">
        <v>2</v>
      </c>
      <c r="AB9" s="109">
        <v>2</v>
      </c>
      <c r="AC9" s="109">
        <v>5</v>
      </c>
      <c r="AD9" s="109">
        <v>3</v>
      </c>
      <c r="AE9" s="109">
        <v>3</v>
      </c>
      <c r="AF9" s="109">
        <v>4</v>
      </c>
      <c r="AG9" s="109">
        <v>2</v>
      </c>
      <c r="AH9" s="109">
        <v>4</v>
      </c>
      <c r="AI9" s="109">
        <v>3</v>
      </c>
      <c r="AJ9" s="109">
        <v>3</v>
      </c>
      <c r="AK9" s="109">
        <v>3</v>
      </c>
      <c r="AL9" s="110">
        <v>1</v>
      </c>
      <c r="AM9" s="110">
        <v>1</v>
      </c>
      <c r="AN9" s="110"/>
      <c r="AO9" s="110">
        <v>1</v>
      </c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</row>
    <row r="10" spans="1:52" s="123" customFormat="1" ht="15" customHeight="1" outlineLevel="1" x14ac:dyDescent="0.45">
      <c r="A10" s="112"/>
      <c r="B10" s="113"/>
      <c r="C10" s="113"/>
      <c r="D10" s="114"/>
      <c r="E10" s="114"/>
      <c r="F10" s="102"/>
      <c r="G10" s="102"/>
      <c r="H10" s="102"/>
      <c r="I10" s="102"/>
      <c r="J10" s="114"/>
      <c r="K10" s="114"/>
      <c r="L10" s="102"/>
      <c r="M10" s="114"/>
      <c r="N10" s="124" t="s">
        <v>548</v>
      </c>
      <c r="O10" s="116"/>
      <c r="P10" s="117"/>
      <c r="Q10" s="118"/>
      <c r="R10" s="119"/>
      <c r="S10" s="120">
        <f t="shared" ref="S10:AZ10" si="3">SUBTOTAL(9,S9:S9)</f>
        <v>41</v>
      </c>
      <c r="T10" s="120">
        <f t="shared" si="3"/>
        <v>0</v>
      </c>
      <c r="U10" s="120">
        <f t="shared" si="3"/>
        <v>0</v>
      </c>
      <c r="V10" s="120">
        <f t="shared" si="3"/>
        <v>0</v>
      </c>
      <c r="W10" s="121">
        <f t="shared" si="3"/>
        <v>0</v>
      </c>
      <c r="X10" s="121">
        <f t="shared" si="3"/>
        <v>0</v>
      </c>
      <c r="Y10" s="121">
        <f t="shared" si="3"/>
        <v>2</v>
      </c>
      <c r="Z10" s="121">
        <f t="shared" si="3"/>
        <v>2</v>
      </c>
      <c r="AA10" s="121">
        <f t="shared" si="3"/>
        <v>2</v>
      </c>
      <c r="AB10" s="121">
        <f t="shared" si="3"/>
        <v>2</v>
      </c>
      <c r="AC10" s="121">
        <f t="shared" si="3"/>
        <v>5</v>
      </c>
      <c r="AD10" s="121">
        <f t="shared" si="3"/>
        <v>3</v>
      </c>
      <c r="AE10" s="121">
        <f t="shared" si="3"/>
        <v>3</v>
      </c>
      <c r="AF10" s="121">
        <f t="shared" si="3"/>
        <v>4</v>
      </c>
      <c r="AG10" s="121">
        <f t="shared" si="3"/>
        <v>2</v>
      </c>
      <c r="AH10" s="121">
        <f t="shared" si="3"/>
        <v>4</v>
      </c>
      <c r="AI10" s="121">
        <f t="shared" si="3"/>
        <v>3</v>
      </c>
      <c r="AJ10" s="121">
        <f t="shared" si="3"/>
        <v>3</v>
      </c>
      <c r="AK10" s="121">
        <f t="shared" si="3"/>
        <v>3</v>
      </c>
      <c r="AL10" s="122">
        <f t="shared" si="3"/>
        <v>1</v>
      </c>
      <c r="AM10" s="122">
        <f t="shared" si="3"/>
        <v>1</v>
      </c>
      <c r="AN10" s="122">
        <f t="shared" si="3"/>
        <v>0</v>
      </c>
      <c r="AO10" s="122">
        <f t="shared" si="3"/>
        <v>1</v>
      </c>
      <c r="AP10" s="122">
        <f t="shared" si="3"/>
        <v>0</v>
      </c>
      <c r="AQ10" s="122">
        <f t="shared" si="3"/>
        <v>0</v>
      </c>
      <c r="AR10" s="122">
        <f t="shared" si="3"/>
        <v>0</v>
      </c>
      <c r="AS10" s="122">
        <f t="shared" si="3"/>
        <v>0</v>
      </c>
      <c r="AT10" s="122">
        <f t="shared" si="3"/>
        <v>0</v>
      </c>
      <c r="AU10" s="122">
        <f t="shared" si="3"/>
        <v>0</v>
      </c>
      <c r="AV10" s="122">
        <f t="shared" si="3"/>
        <v>0</v>
      </c>
      <c r="AW10" s="122">
        <f t="shared" si="3"/>
        <v>0</v>
      </c>
      <c r="AX10" s="122">
        <f t="shared" si="3"/>
        <v>0</v>
      </c>
      <c r="AY10" s="122">
        <f t="shared" si="3"/>
        <v>0</v>
      </c>
      <c r="AZ10" s="122">
        <f t="shared" si="3"/>
        <v>0</v>
      </c>
    </row>
    <row r="11" spans="1:52" s="111" customFormat="1" ht="15" customHeight="1" outlineLevel="2" x14ac:dyDescent="0.45">
      <c r="A11" s="98">
        <v>4509528574</v>
      </c>
      <c r="B11" s="99">
        <v>20</v>
      </c>
      <c r="C11" s="99" t="s">
        <v>549</v>
      </c>
      <c r="D11" s="100"/>
      <c r="E11" s="100"/>
      <c r="F11" s="101" t="s">
        <v>366</v>
      </c>
      <c r="G11" s="101">
        <v>1015</v>
      </c>
      <c r="H11" s="101" t="s">
        <v>118</v>
      </c>
      <c r="I11" s="101" t="s">
        <v>152</v>
      </c>
      <c r="J11" s="100"/>
      <c r="K11" s="100">
        <v>45192</v>
      </c>
      <c r="L11" s="102" t="s">
        <v>550</v>
      </c>
      <c r="M11" s="100">
        <v>45091</v>
      </c>
      <c r="N11" s="103" t="str">
        <f>+LEFT(L11,5)</f>
        <v>T3WCB</v>
      </c>
      <c r="O11" s="104" t="s">
        <v>551</v>
      </c>
      <c r="P11" s="105" t="s">
        <v>369</v>
      </c>
      <c r="Q11" s="106" t="s">
        <v>102</v>
      </c>
      <c r="R11" s="107" t="s">
        <v>225</v>
      </c>
      <c r="S11" s="108">
        <f t="shared" si="1"/>
        <v>45</v>
      </c>
      <c r="T11" s="108"/>
      <c r="U11" s="108"/>
      <c r="V11" s="108"/>
      <c r="W11" s="109"/>
      <c r="X11" s="109"/>
      <c r="Y11" s="109">
        <v>2</v>
      </c>
      <c r="Z11" s="109">
        <v>2</v>
      </c>
      <c r="AA11" s="109">
        <v>2</v>
      </c>
      <c r="AB11" s="109">
        <v>2</v>
      </c>
      <c r="AC11" s="109">
        <v>5</v>
      </c>
      <c r="AD11" s="109">
        <v>3</v>
      </c>
      <c r="AE11" s="109">
        <v>4</v>
      </c>
      <c r="AF11" s="109">
        <v>4</v>
      </c>
      <c r="AG11" s="109">
        <v>3</v>
      </c>
      <c r="AH11" s="109">
        <v>5</v>
      </c>
      <c r="AI11" s="109">
        <v>3</v>
      </c>
      <c r="AJ11" s="109">
        <v>3</v>
      </c>
      <c r="AK11" s="109">
        <v>3</v>
      </c>
      <c r="AL11" s="110">
        <v>1</v>
      </c>
      <c r="AM11" s="110">
        <v>1</v>
      </c>
      <c r="AN11" s="110"/>
      <c r="AO11" s="110">
        <v>1</v>
      </c>
      <c r="AP11" s="110"/>
      <c r="AQ11" s="110">
        <v>1</v>
      </c>
      <c r="AR11" s="110"/>
      <c r="AS11" s="110"/>
      <c r="AT11" s="110"/>
      <c r="AU11" s="110"/>
      <c r="AV11" s="110"/>
      <c r="AW11" s="110"/>
      <c r="AX11" s="110"/>
      <c r="AY11" s="110"/>
      <c r="AZ11" s="110"/>
    </row>
    <row r="12" spans="1:52" s="123" customFormat="1" ht="15" customHeight="1" outlineLevel="1" x14ac:dyDescent="0.45">
      <c r="A12" s="112"/>
      <c r="B12" s="113"/>
      <c r="C12" s="113"/>
      <c r="D12" s="114"/>
      <c r="E12" s="114"/>
      <c r="F12" s="102"/>
      <c r="G12" s="102"/>
      <c r="H12" s="102"/>
      <c r="I12" s="102"/>
      <c r="J12" s="114"/>
      <c r="K12" s="114"/>
      <c r="L12" s="102"/>
      <c r="M12" s="114"/>
      <c r="N12" s="124" t="s">
        <v>552</v>
      </c>
      <c r="O12" s="116"/>
      <c r="P12" s="117"/>
      <c r="Q12" s="118"/>
      <c r="R12" s="119"/>
      <c r="S12" s="120">
        <f t="shared" ref="S12:AZ12" si="4">SUBTOTAL(9,S11:S11)</f>
        <v>45</v>
      </c>
      <c r="T12" s="120">
        <f t="shared" si="4"/>
        <v>0</v>
      </c>
      <c r="U12" s="120">
        <f t="shared" si="4"/>
        <v>0</v>
      </c>
      <c r="V12" s="120">
        <f t="shared" si="4"/>
        <v>0</v>
      </c>
      <c r="W12" s="121">
        <f t="shared" si="4"/>
        <v>0</v>
      </c>
      <c r="X12" s="121">
        <f t="shared" si="4"/>
        <v>0</v>
      </c>
      <c r="Y12" s="121">
        <f t="shared" si="4"/>
        <v>2</v>
      </c>
      <c r="Z12" s="121">
        <f t="shared" si="4"/>
        <v>2</v>
      </c>
      <c r="AA12" s="121">
        <f t="shared" si="4"/>
        <v>2</v>
      </c>
      <c r="AB12" s="121">
        <f t="shared" si="4"/>
        <v>2</v>
      </c>
      <c r="AC12" s="121">
        <f t="shared" si="4"/>
        <v>5</v>
      </c>
      <c r="AD12" s="121">
        <f t="shared" si="4"/>
        <v>3</v>
      </c>
      <c r="AE12" s="121">
        <f t="shared" si="4"/>
        <v>4</v>
      </c>
      <c r="AF12" s="121">
        <f t="shared" si="4"/>
        <v>4</v>
      </c>
      <c r="AG12" s="121">
        <f t="shared" si="4"/>
        <v>3</v>
      </c>
      <c r="AH12" s="121">
        <f t="shared" si="4"/>
        <v>5</v>
      </c>
      <c r="AI12" s="121">
        <f t="shared" si="4"/>
        <v>3</v>
      </c>
      <c r="AJ12" s="121">
        <f t="shared" si="4"/>
        <v>3</v>
      </c>
      <c r="AK12" s="121">
        <f t="shared" si="4"/>
        <v>3</v>
      </c>
      <c r="AL12" s="122">
        <f t="shared" si="4"/>
        <v>1</v>
      </c>
      <c r="AM12" s="122">
        <f t="shared" si="4"/>
        <v>1</v>
      </c>
      <c r="AN12" s="122">
        <f t="shared" si="4"/>
        <v>0</v>
      </c>
      <c r="AO12" s="122">
        <f t="shared" si="4"/>
        <v>1</v>
      </c>
      <c r="AP12" s="122">
        <f t="shared" si="4"/>
        <v>0</v>
      </c>
      <c r="AQ12" s="122">
        <f t="shared" si="4"/>
        <v>1</v>
      </c>
      <c r="AR12" s="122">
        <f t="shared" si="4"/>
        <v>0</v>
      </c>
      <c r="AS12" s="122">
        <f t="shared" si="4"/>
        <v>0</v>
      </c>
      <c r="AT12" s="122">
        <f t="shared" si="4"/>
        <v>0</v>
      </c>
      <c r="AU12" s="122">
        <f t="shared" si="4"/>
        <v>0</v>
      </c>
      <c r="AV12" s="122">
        <f t="shared" si="4"/>
        <v>0</v>
      </c>
      <c r="AW12" s="122">
        <f t="shared" si="4"/>
        <v>0</v>
      </c>
      <c r="AX12" s="122">
        <f t="shared" si="4"/>
        <v>0</v>
      </c>
      <c r="AY12" s="122">
        <f t="shared" si="4"/>
        <v>0</v>
      </c>
      <c r="AZ12" s="122">
        <f t="shared" si="4"/>
        <v>0</v>
      </c>
    </row>
    <row r="13" spans="1:52" s="111" customFormat="1" ht="15" customHeight="1" outlineLevel="2" x14ac:dyDescent="0.45">
      <c r="A13" s="98">
        <v>4509528574</v>
      </c>
      <c r="B13" s="99">
        <v>30</v>
      </c>
      <c r="C13" s="99" t="s">
        <v>553</v>
      </c>
      <c r="D13" s="100"/>
      <c r="E13" s="100"/>
      <c r="F13" s="101" t="s">
        <v>366</v>
      </c>
      <c r="G13" s="101">
        <v>1015</v>
      </c>
      <c r="H13" s="101" t="s">
        <v>118</v>
      </c>
      <c r="I13" s="101" t="s">
        <v>152</v>
      </c>
      <c r="J13" s="100"/>
      <c r="K13" s="100">
        <v>45192</v>
      </c>
      <c r="L13" s="102" t="s">
        <v>554</v>
      </c>
      <c r="M13" s="100">
        <v>45091</v>
      </c>
      <c r="N13" s="103" t="str">
        <f>+LEFT(L13,5)</f>
        <v>T3WCC</v>
      </c>
      <c r="O13" s="104" t="s">
        <v>455</v>
      </c>
      <c r="P13" s="105" t="s">
        <v>369</v>
      </c>
      <c r="Q13" s="106" t="s">
        <v>102</v>
      </c>
      <c r="R13" s="107" t="s">
        <v>225</v>
      </c>
      <c r="S13" s="108">
        <f t="shared" si="1"/>
        <v>45</v>
      </c>
      <c r="T13" s="108"/>
      <c r="U13" s="108"/>
      <c r="V13" s="108"/>
      <c r="W13" s="109"/>
      <c r="X13" s="109"/>
      <c r="Y13" s="109">
        <v>2</v>
      </c>
      <c r="Z13" s="109">
        <v>2</v>
      </c>
      <c r="AA13" s="109">
        <v>2</v>
      </c>
      <c r="AB13" s="109">
        <v>2</v>
      </c>
      <c r="AC13" s="109">
        <v>5</v>
      </c>
      <c r="AD13" s="109">
        <v>3</v>
      </c>
      <c r="AE13" s="109">
        <v>4</v>
      </c>
      <c r="AF13" s="109">
        <v>4</v>
      </c>
      <c r="AG13" s="109">
        <v>3</v>
      </c>
      <c r="AH13" s="109">
        <v>5</v>
      </c>
      <c r="AI13" s="109">
        <v>3</v>
      </c>
      <c r="AJ13" s="109">
        <v>3</v>
      </c>
      <c r="AK13" s="109">
        <v>3</v>
      </c>
      <c r="AL13" s="110">
        <v>1</v>
      </c>
      <c r="AM13" s="110">
        <v>1</v>
      </c>
      <c r="AN13" s="110"/>
      <c r="AO13" s="110">
        <v>1</v>
      </c>
      <c r="AP13" s="110"/>
      <c r="AQ13" s="110">
        <v>1</v>
      </c>
      <c r="AR13" s="110"/>
      <c r="AS13" s="110"/>
      <c r="AT13" s="110"/>
      <c r="AU13" s="110"/>
      <c r="AV13" s="110"/>
      <c r="AW13" s="110"/>
      <c r="AX13" s="110"/>
      <c r="AY13" s="110"/>
      <c r="AZ13" s="110"/>
    </row>
    <row r="14" spans="1:52" s="123" customFormat="1" ht="15" customHeight="1" outlineLevel="1" x14ac:dyDescent="0.45">
      <c r="A14" s="112"/>
      <c r="B14" s="113"/>
      <c r="C14" s="113"/>
      <c r="D14" s="114"/>
      <c r="E14" s="114"/>
      <c r="F14" s="102"/>
      <c r="G14" s="102"/>
      <c r="H14" s="102"/>
      <c r="I14" s="102"/>
      <c r="J14" s="114"/>
      <c r="K14" s="114"/>
      <c r="L14" s="102"/>
      <c r="M14" s="114"/>
      <c r="N14" s="124" t="s">
        <v>555</v>
      </c>
      <c r="O14" s="116"/>
      <c r="P14" s="117"/>
      <c r="Q14" s="118"/>
      <c r="R14" s="119"/>
      <c r="S14" s="120">
        <f t="shared" ref="S14:AZ14" si="5">SUBTOTAL(9,S13:S13)</f>
        <v>45</v>
      </c>
      <c r="T14" s="120">
        <f t="shared" si="5"/>
        <v>0</v>
      </c>
      <c r="U14" s="120">
        <f t="shared" si="5"/>
        <v>0</v>
      </c>
      <c r="V14" s="120">
        <f t="shared" si="5"/>
        <v>0</v>
      </c>
      <c r="W14" s="121">
        <f t="shared" si="5"/>
        <v>0</v>
      </c>
      <c r="X14" s="121">
        <f t="shared" si="5"/>
        <v>0</v>
      </c>
      <c r="Y14" s="121">
        <f t="shared" si="5"/>
        <v>2</v>
      </c>
      <c r="Z14" s="121">
        <f t="shared" si="5"/>
        <v>2</v>
      </c>
      <c r="AA14" s="121">
        <f t="shared" si="5"/>
        <v>2</v>
      </c>
      <c r="AB14" s="121">
        <f t="shared" si="5"/>
        <v>2</v>
      </c>
      <c r="AC14" s="121">
        <f t="shared" si="5"/>
        <v>5</v>
      </c>
      <c r="AD14" s="121">
        <f t="shared" si="5"/>
        <v>3</v>
      </c>
      <c r="AE14" s="121">
        <f t="shared" si="5"/>
        <v>4</v>
      </c>
      <c r="AF14" s="121">
        <f t="shared" si="5"/>
        <v>4</v>
      </c>
      <c r="AG14" s="121">
        <f t="shared" si="5"/>
        <v>3</v>
      </c>
      <c r="AH14" s="121">
        <f t="shared" si="5"/>
        <v>5</v>
      </c>
      <c r="AI14" s="121">
        <f t="shared" si="5"/>
        <v>3</v>
      </c>
      <c r="AJ14" s="121">
        <f t="shared" si="5"/>
        <v>3</v>
      </c>
      <c r="AK14" s="121">
        <f t="shared" si="5"/>
        <v>3</v>
      </c>
      <c r="AL14" s="122">
        <f t="shared" si="5"/>
        <v>1</v>
      </c>
      <c r="AM14" s="122">
        <f t="shared" si="5"/>
        <v>1</v>
      </c>
      <c r="AN14" s="122">
        <f t="shared" si="5"/>
        <v>0</v>
      </c>
      <c r="AO14" s="122">
        <f t="shared" si="5"/>
        <v>1</v>
      </c>
      <c r="AP14" s="122">
        <f t="shared" si="5"/>
        <v>0</v>
      </c>
      <c r="AQ14" s="122">
        <f t="shared" si="5"/>
        <v>1</v>
      </c>
      <c r="AR14" s="122">
        <f t="shared" si="5"/>
        <v>0</v>
      </c>
      <c r="AS14" s="122">
        <f t="shared" si="5"/>
        <v>0</v>
      </c>
      <c r="AT14" s="122">
        <f t="shared" si="5"/>
        <v>0</v>
      </c>
      <c r="AU14" s="122">
        <f t="shared" si="5"/>
        <v>0</v>
      </c>
      <c r="AV14" s="122">
        <f t="shared" si="5"/>
        <v>0</v>
      </c>
      <c r="AW14" s="122">
        <f t="shared" si="5"/>
        <v>0</v>
      </c>
      <c r="AX14" s="122">
        <f t="shared" si="5"/>
        <v>0</v>
      </c>
      <c r="AY14" s="122">
        <f t="shared" si="5"/>
        <v>0</v>
      </c>
      <c r="AZ14" s="122">
        <f t="shared" si="5"/>
        <v>0</v>
      </c>
    </row>
    <row r="15" spans="1:52" s="111" customFormat="1" ht="15" customHeight="1" outlineLevel="2" x14ac:dyDescent="0.45">
      <c r="A15" s="98">
        <v>4509528574</v>
      </c>
      <c r="B15" s="99">
        <v>10</v>
      </c>
      <c r="C15" s="99" t="s">
        <v>556</v>
      </c>
      <c r="D15" s="100"/>
      <c r="E15" s="100"/>
      <c r="F15" s="101" t="s">
        <v>366</v>
      </c>
      <c r="G15" s="101">
        <v>1015</v>
      </c>
      <c r="H15" s="101" t="s">
        <v>118</v>
      </c>
      <c r="I15" s="101" t="s">
        <v>152</v>
      </c>
      <c r="J15" s="100"/>
      <c r="K15" s="100">
        <v>45192</v>
      </c>
      <c r="L15" s="102" t="s">
        <v>557</v>
      </c>
      <c r="M15" s="100">
        <v>45091</v>
      </c>
      <c r="N15" s="103" t="str">
        <f>+LEFT(L15,5)</f>
        <v>T3WCD</v>
      </c>
      <c r="O15" s="104" t="s">
        <v>462</v>
      </c>
      <c r="P15" s="105" t="s">
        <v>369</v>
      </c>
      <c r="Q15" s="106" t="s">
        <v>102</v>
      </c>
      <c r="R15" s="107" t="s">
        <v>225</v>
      </c>
      <c r="S15" s="108">
        <f t="shared" si="1"/>
        <v>45</v>
      </c>
      <c r="T15" s="108"/>
      <c r="U15" s="108"/>
      <c r="V15" s="108"/>
      <c r="W15" s="109"/>
      <c r="X15" s="109"/>
      <c r="Y15" s="109">
        <v>2</v>
      </c>
      <c r="Z15" s="109">
        <v>2</v>
      </c>
      <c r="AA15" s="109">
        <v>2</v>
      </c>
      <c r="AB15" s="109">
        <v>2</v>
      </c>
      <c r="AC15" s="109">
        <v>5</v>
      </c>
      <c r="AD15" s="109">
        <v>3</v>
      </c>
      <c r="AE15" s="109">
        <v>4</v>
      </c>
      <c r="AF15" s="109">
        <v>4</v>
      </c>
      <c r="AG15" s="109">
        <v>3</v>
      </c>
      <c r="AH15" s="109">
        <v>5</v>
      </c>
      <c r="AI15" s="109">
        <v>3</v>
      </c>
      <c r="AJ15" s="109">
        <v>3</v>
      </c>
      <c r="AK15" s="109">
        <v>3</v>
      </c>
      <c r="AL15" s="110">
        <v>1</v>
      </c>
      <c r="AM15" s="110">
        <v>1</v>
      </c>
      <c r="AN15" s="110"/>
      <c r="AO15" s="110">
        <v>1</v>
      </c>
      <c r="AP15" s="110"/>
      <c r="AQ15" s="110">
        <v>1</v>
      </c>
      <c r="AR15" s="110"/>
      <c r="AS15" s="110"/>
      <c r="AT15" s="110"/>
      <c r="AU15" s="110"/>
      <c r="AV15" s="110"/>
      <c r="AW15" s="110"/>
      <c r="AX15" s="110"/>
      <c r="AY15" s="110"/>
      <c r="AZ15" s="110"/>
    </row>
    <row r="16" spans="1:52" s="123" customFormat="1" ht="15" customHeight="1" outlineLevel="1" x14ac:dyDescent="0.45">
      <c r="A16" s="112"/>
      <c r="B16" s="113"/>
      <c r="C16" s="113"/>
      <c r="D16" s="114"/>
      <c r="E16" s="114"/>
      <c r="F16" s="102"/>
      <c r="G16" s="102"/>
      <c r="H16" s="102"/>
      <c r="I16" s="102"/>
      <c r="J16" s="114"/>
      <c r="K16" s="114"/>
      <c r="L16" s="102"/>
      <c r="M16" s="114"/>
      <c r="N16" s="124" t="s">
        <v>558</v>
      </c>
      <c r="O16" s="116"/>
      <c r="P16" s="117"/>
      <c r="Q16" s="118"/>
      <c r="R16" s="119"/>
      <c r="S16" s="120">
        <f t="shared" ref="S16:AZ16" si="6">SUBTOTAL(9,S15:S15)</f>
        <v>45</v>
      </c>
      <c r="T16" s="120">
        <f t="shared" si="6"/>
        <v>0</v>
      </c>
      <c r="U16" s="120">
        <f t="shared" si="6"/>
        <v>0</v>
      </c>
      <c r="V16" s="120">
        <f t="shared" si="6"/>
        <v>0</v>
      </c>
      <c r="W16" s="121">
        <f t="shared" si="6"/>
        <v>0</v>
      </c>
      <c r="X16" s="121">
        <f t="shared" si="6"/>
        <v>0</v>
      </c>
      <c r="Y16" s="121">
        <f t="shared" si="6"/>
        <v>2</v>
      </c>
      <c r="Z16" s="121">
        <f t="shared" si="6"/>
        <v>2</v>
      </c>
      <c r="AA16" s="121">
        <f t="shared" si="6"/>
        <v>2</v>
      </c>
      <c r="AB16" s="121">
        <f t="shared" si="6"/>
        <v>2</v>
      </c>
      <c r="AC16" s="121">
        <f t="shared" si="6"/>
        <v>5</v>
      </c>
      <c r="AD16" s="121">
        <f t="shared" si="6"/>
        <v>3</v>
      </c>
      <c r="AE16" s="121">
        <f t="shared" si="6"/>
        <v>4</v>
      </c>
      <c r="AF16" s="121">
        <f t="shared" si="6"/>
        <v>4</v>
      </c>
      <c r="AG16" s="121">
        <f t="shared" si="6"/>
        <v>3</v>
      </c>
      <c r="AH16" s="121">
        <f t="shared" si="6"/>
        <v>5</v>
      </c>
      <c r="AI16" s="121">
        <f t="shared" si="6"/>
        <v>3</v>
      </c>
      <c r="AJ16" s="121">
        <f t="shared" si="6"/>
        <v>3</v>
      </c>
      <c r="AK16" s="121">
        <f t="shared" si="6"/>
        <v>3</v>
      </c>
      <c r="AL16" s="122">
        <f t="shared" si="6"/>
        <v>1</v>
      </c>
      <c r="AM16" s="122">
        <f t="shared" si="6"/>
        <v>1</v>
      </c>
      <c r="AN16" s="122">
        <f t="shared" si="6"/>
        <v>0</v>
      </c>
      <c r="AO16" s="122">
        <f t="shared" si="6"/>
        <v>1</v>
      </c>
      <c r="AP16" s="122">
        <f t="shared" si="6"/>
        <v>0</v>
      </c>
      <c r="AQ16" s="122">
        <f t="shared" si="6"/>
        <v>1</v>
      </c>
      <c r="AR16" s="122">
        <f t="shared" si="6"/>
        <v>0</v>
      </c>
      <c r="AS16" s="122">
        <f t="shared" si="6"/>
        <v>0</v>
      </c>
      <c r="AT16" s="122">
        <f t="shared" si="6"/>
        <v>0</v>
      </c>
      <c r="AU16" s="122">
        <f t="shared" si="6"/>
        <v>0</v>
      </c>
      <c r="AV16" s="122">
        <f t="shared" si="6"/>
        <v>0</v>
      </c>
      <c r="AW16" s="122">
        <f t="shared" si="6"/>
        <v>0</v>
      </c>
      <c r="AX16" s="122">
        <f t="shared" si="6"/>
        <v>0</v>
      </c>
      <c r="AY16" s="122">
        <f t="shared" si="6"/>
        <v>0</v>
      </c>
      <c r="AZ16" s="122">
        <f t="shared" si="6"/>
        <v>0</v>
      </c>
    </row>
    <row r="17" spans="1:52" s="25" customFormat="1" ht="15" customHeight="1" outlineLevel="2" x14ac:dyDescent="0.45">
      <c r="A17" s="12">
        <v>4509555305</v>
      </c>
      <c r="B17" s="13">
        <v>10</v>
      </c>
      <c r="C17" s="13" t="s">
        <v>970</v>
      </c>
      <c r="D17" s="14"/>
      <c r="E17" s="14"/>
      <c r="F17" s="15" t="s">
        <v>255</v>
      </c>
      <c r="G17" s="15">
        <v>1015</v>
      </c>
      <c r="H17" s="15" t="s">
        <v>118</v>
      </c>
      <c r="I17" s="15" t="s">
        <v>152</v>
      </c>
      <c r="J17" s="14"/>
      <c r="K17" s="14">
        <v>45192</v>
      </c>
      <c r="L17" s="16" t="s">
        <v>971</v>
      </c>
      <c r="M17" s="14">
        <v>45105</v>
      </c>
      <c r="N17" s="17" t="str">
        <f>+LEFT(L17,5)</f>
        <v>T3WCH</v>
      </c>
      <c r="O17" s="18" t="s">
        <v>972</v>
      </c>
      <c r="P17" s="19" t="s">
        <v>258</v>
      </c>
      <c r="Q17" s="20" t="s">
        <v>998</v>
      </c>
      <c r="R17" s="21" t="s">
        <v>225</v>
      </c>
      <c r="S17" s="22">
        <f>SUM(T17:AZ17)</f>
        <v>0</v>
      </c>
      <c r="T17" s="22"/>
      <c r="U17" s="22"/>
      <c r="V17" s="22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 s="123" customFormat="1" ht="15" customHeight="1" outlineLevel="1" x14ac:dyDescent="0.45">
      <c r="A18" s="112"/>
      <c r="B18" s="113"/>
      <c r="C18" s="113"/>
      <c r="D18" s="114"/>
      <c r="E18" s="114"/>
      <c r="F18" s="102"/>
      <c r="G18" s="102"/>
      <c r="H18" s="102"/>
      <c r="I18" s="102"/>
      <c r="J18" s="114"/>
      <c r="K18" s="114"/>
      <c r="L18" s="102"/>
      <c r="M18" s="114"/>
      <c r="N18" s="128" t="s">
        <v>973</v>
      </c>
      <c r="O18" s="116"/>
      <c r="P18" s="117"/>
      <c r="Q18" s="118"/>
      <c r="R18" s="119"/>
      <c r="S18" s="120">
        <f t="shared" ref="S18:AZ18" si="7">SUBTOTAL(9,S17:S17)</f>
        <v>0</v>
      </c>
      <c r="T18" s="120">
        <f t="shared" si="7"/>
        <v>0</v>
      </c>
      <c r="U18" s="120">
        <f t="shared" si="7"/>
        <v>0</v>
      </c>
      <c r="V18" s="120">
        <f t="shared" si="7"/>
        <v>0</v>
      </c>
      <c r="W18" s="121">
        <f t="shared" si="7"/>
        <v>0</v>
      </c>
      <c r="X18" s="121">
        <f t="shared" si="7"/>
        <v>0</v>
      </c>
      <c r="Y18" s="121">
        <f t="shared" si="7"/>
        <v>0</v>
      </c>
      <c r="Z18" s="121">
        <f t="shared" si="7"/>
        <v>0</v>
      </c>
      <c r="AA18" s="121">
        <f t="shared" si="7"/>
        <v>0</v>
      </c>
      <c r="AB18" s="121">
        <f t="shared" si="7"/>
        <v>0</v>
      </c>
      <c r="AC18" s="121">
        <f t="shared" si="7"/>
        <v>0</v>
      </c>
      <c r="AD18" s="121">
        <f t="shared" si="7"/>
        <v>0</v>
      </c>
      <c r="AE18" s="121">
        <f t="shared" si="7"/>
        <v>0</v>
      </c>
      <c r="AF18" s="121">
        <f t="shared" si="7"/>
        <v>0</v>
      </c>
      <c r="AG18" s="121">
        <f t="shared" si="7"/>
        <v>0</v>
      </c>
      <c r="AH18" s="121">
        <f t="shared" si="7"/>
        <v>0</v>
      </c>
      <c r="AI18" s="121">
        <f t="shared" si="7"/>
        <v>0</v>
      </c>
      <c r="AJ18" s="121">
        <f t="shared" si="7"/>
        <v>0</v>
      </c>
      <c r="AK18" s="121">
        <f t="shared" si="7"/>
        <v>0</v>
      </c>
      <c r="AL18" s="122">
        <f t="shared" si="7"/>
        <v>0</v>
      </c>
      <c r="AM18" s="122">
        <f t="shared" si="7"/>
        <v>0</v>
      </c>
      <c r="AN18" s="122">
        <f t="shared" si="7"/>
        <v>0</v>
      </c>
      <c r="AO18" s="122">
        <f t="shared" si="7"/>
        <v>0</v>
      </c>
      <c r="AP18" s="122">
        <f t="shared" si="7"/>
        <v>0</v>
      </c>
      <c r="AQ18" s="122">
        <f t="shared" si="7"/>
        <v>0</v>
      </c>
      <c r="AR18" s="122">
        <f t="shared" si="7"/>
        <v>0</v>
      </c>
      <c r="AS18" s="122">
        <f t="shared" si="7"/>
        <v>0</v>
      </c>
      <c r="AT18" s="122">
        <f t="shared" si="7"/>
        <v>0</v>
      </c>
      <c r="AU18" s="122">
        <f t="shared" si="7"/>
        <v>0</v>
      </c>
      <c r="AV18" s="122">
        <f t="shared" si="7"/>
        <v>0</v>
      </c>
      <c r="AW18" s="122">
        <f t="shared" si="7"/>
        <v>0</v>
      </c>
      <c r="AX18" s="122">
        <f t="shared" si="7"/>
        <v>0</v>
      </c>
      <c r="AY18" s="122">
        <f t="shared" si="7"/>
        <v>0</v>
      </c>
      <c r="AZ18" s="122">
        <f t="shared" si="7"/>
        <v>0</v>
      </c>
    </row>
    <row r="19" spans="1:52" s="111" customFormat="1" ht="15" customHeight="1" outlineLevel="2" x14ac:dyDescent="0.45">
      <c r="A19" s="98">
        <v>4509555306</v>
      </c>
      <c r="B19" s="99">
        <v>10</v>
      </c>
      <c r="C19" s="99" t="s">
        <v>974</v>
      </c>
      <c r="D19" s="100"/>
      <c r="E19" s="100"/>
      <c r="F19" s="101" t="s">
        <v>366</v>
      </c>
      <c r="G19" s="101">
        <v>1015</v>
      </c>
      <c r="H19" s="101" t="s">
        <v>118</v>
      </c>
      <c r="I19" s="101" t="s">
        <v>152</v>
      </c>
      <c r="J19" s="100"/>
      <c r="K19" s="100">
        <v>45199</v>
      </c>
      <c r="L19" s="102" t="s">
        <v>975</v>
      </c>
      <c r="M19" s="100">
        <v>45105</v>
      </c>
      <c r="N19" s="103" t="str">
        <f>+LEFT(L19,5)</f>
        <v>T3WCJ</v>
      </c>
      <c r="O19" s="104" t="s">
        <v>368</v>
      </c>
      <c r="P19" s="105" t="s">
        <v>369</v>
      </c>
      <c r="Q19" s="106" t="s">
        <v>677</v>
      </c>
      <c r="R19" s="107" t="s">
        <v>225</v>
      </c>
      <c r="S19" s="108">
        <f t="shared" ref="S19:S31" si="8">SUM(T19:AZ19)</f>
        <v>3</v>
      </c>
      <c r="T19" s="108"/>
      <c r="U19" s="108"/>
      <c r="V19" s="108"/>
      <c r="W19" s="109"/>
      <c r="X19" s="109"/>
      <c r="Y19" s="109"/>
      <c r="Z19" s="109"/>
      <c r="AA19" s="109"/>
      <c r="AB19" s="109"/>
      <c r="AC19" s="109"/>
      <c r="AD19" s="109"/>
      <c r="AE19" s="109">
        <v>1</v>
      </c>
      <c r="AF19" s="109"/>
      <c r="AG19" s="109">
        <v>1</v>
      </c>
      <c r="AH19" s="109">
        <v>1</v>
      </c>
      <c r="AI19" s="109"/>
      <c r="AJ19" s="109"/>
      <c r="AK19" s="109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</row>
    <row r="20" spans="1:52" s="123" customFormat="1" ht="15" customHeight="1" outlineLevel="1" x14ac:dyDescent="0.45">
      <c r="A20" s="112"/>
      <c r="B20" s="113"/>
      <c r="C20" s="113"/>
      <c r="D20" s="114"/>
      <c r="E20" s="114"/>
      <c r="F20" s="102"/>
      <c r="G20" s="102"/>
      <c r="H20" s="102"/>
      <c r="I20" s="102"/>
      <c r="J20" s="114"/>
      <c r="K20" s="114"/>
      <c r="L20" s="102"/>
      <c r="M20" s="114"/>
      <c r="N20" s="124" t="s">
        <v>976</v>
      </c>
      <c r="O20" s="116"/>
      <c r="P20" s="117"/>
      <c r="Q20" s="118"/>
      <c r="R20" s="119"/>
      <c r="S20" s="120">
        <f t="shared" ref="S20:AZ20" si="9">SUBTOTAL(9,S19:S19)</f>
        <v>3</v>
      </c>
      <c r="T20" s="120">
        <f t="shared" si="9"/>
        <v>0</v>
      </c>
      <c r="U20" s="120">
        <f t="shared" si="9"/>
        <v>0</v>
      </c>
      <c r="V20" s="120">
        <f t="shared" si="9"/>
        <v>0</v>
      </c>
      <c r="W20" s="121">
        <f t="shared" si="9"/>
        <v>0</v>
      </c>
      <c r="X20" s="121">
        <f t="shared" si="9"/>
        <v>0</v>
      </c>
      <c r="Y20" s="121">
        <f t="shared" si="9"/>
        <v>0</v>
      </c>
      <c r="Z20" s="121">
        <f t="shared" si="9"/>
        <v>0</v>
      </c>
      <c r="AA20" s="121">
        <f t="shared" si="9"/>
        <v>0</v>
      </c>
      <c r="AB20" s="121">
        <f t="shared" si="9"/>
        <v>0</v>
      </c>
      <c r="AC20" s="121">
        <f t="shared" si="9"/>
        <v>0</v>
      </c>
      <c r="AD20" s="121">
        <f t="shared" si="9"/>
        <v>0</v>
      </c>
      <c r="AE20" s="121">
        <f t="shared" si="9"/>
        <v>1</v>
      </c>
      <c r="AF20" s="121">
        <f t="shared" si="9"/>
        <v>0</v>
      </c>
      <c r="AG20" s="121">
        <f t="shared" si="9"/>
        <v>1</v>
      </c>
      <c r="AH20" s="121">
        <f t="shared" si="9"/>
        <v>1</v>
      </c>
      <c r="AI20" s="121">
        <f t="shared" si="9"/>
        <v>0</v>
      </c>
      <c r="AJ20" s="121">
        <f t="shared" si="9"/>
        <v>0</v>
      </c>
      <c r="AK20" s="121">
        <f t="shared" si="9"/>
        <v>0</v>
      </c>
      <c r="AL20" s="122">
        <f t="shared" si="9"/>
        <v>0</v>
      </c>
      <c r="AM20" s="122">
        <f t="shared" si="9"/>
        <v>0</v>
      </c>
      <c r="AN20" s="122">
        <f t="shared" si="9"/>
        <v>0</v>
      </c>
      <c r="AO20" s="122">
        <f t="shared" si="9"/>
        <v>0</v>
      </c>
      <c r="AP20" s="122">
        <f t="shared" si="9"/>
        <v>0</v>
      </c>
      <c r="AQ20" s="122">
        <f t="shared" si="9"/>
        <v>0</v>
      </c>
      <c r="AR20" s="122">
        <f t="shared" si="9"/>
        <v>0</v>
      </c>
      <c r="AS20" s="122">
        <f t="shared" si="9"/>
        <v>0</v>
      </c>
      <c r="AT20" s="122">
        <f t="shared" si="9"/>
        <v>0</v>
      </c>
      <c r="AU20" s="122">
        <f t="shared" si="9"/>
        <v>0</v>
      </c>
      <c r="AV20" s="122">
        <f t="shared" si="9"/>
        <v>0</v>
      </c>
      <c r="AW20" s="122">
        <f t="shared" si="9"/>
        <v>0</v>
      </c>
      <c r="AX20" s="122">
        <f t="shared" si="9"/>
        <v>0</v>
      </c>
      <c r="AY20" s="122">
        <f t="shared" si="9"/>
        <v>0</v>
      </c>
      <c r="AZ20" s="122">
        <f t="shared" si="9"/>
        <v>0</v>
      </c>
    </row>
    <row r="21" spans="1:52" s="111" customFormat="1" ht="15" customHeight="1" outlineLevel="2" x14ac:dyDescent="0.45">
      <c r="A21" s="98">
        <v>4509555309</v>
      </c>
      <c r="B21" s="99">
        <v>40</v>
      </c>
      <c r="C21" s="99" t="s">
        <v>977</v>
      </c>
      <c r="D21" s="100"/>
      <c r="E21" s="100"/>
      <c r="F21" s="101" t="s">
        <v>833</v>
      </c>
      <c r="G21" s="101">
        <v>1015</v>
      </c>
      <c r="H21" s="101" t="s">
        <v>118</v>
      </c>
      <c r="I21" s="101" t="s">
        <v>152</v>
      </c>
      <c r="J21" s="100"/>
      <c r="K21" s="100">
        <v>45199</v>
      </c>
      <c r="L21" s="102" t="s">
        <v>978</v>
      </c>
      <c r="M21" s="100">
        <v>45105</v>
      </c>
      <c r="N21" s="103" t="str">
        <f>+LEFT(L21,5)</f>
        <v>T3WCM</v>
      </c>
      <c r="O21" s="104" t="s">
        <v>836</v>
      </c>
      <c r="P21" s="105" t="s">
        <v>837</v>
      </c>
      <c r="Q21" s="106" t="s">
        <v>677</v>
      </c>
      <c r="R21" s="107" t="s">
        <v>225</v>
      </c>
      <c r="S21" s="108">
        <f t="shared" si="8"/>
        <v>38</v>
      </c>
      <c r="T21" s="108"/>
      <c r="U21" s="108"/>
      <c r="V21" s="108"/>
      <c r="W21" s="109"/>
      <c r="X21" s="109"/>
      <c r="Y21" s="109"/>
      <c r="Z21" s="109"/>
      <c r="AA21" s="109">
        <v>3</v>
      </c>
      <c r="AB21" s="109">
        <v>3</v>
      </c>
      <c r="AC21" s="109">
        <v>5</v>
      </c>
      <c r="AD21" s="109"/>
      <c r="AE21" s="109">
        <v>2</v>
      </c>
      <c r="AF21" s="109"/>
      <c r="AG21" s="109">
        <v>3</v>
      </c>
      <c r="AH21" s="109">
        <v>2</v>
      </c>
      <c r="AI21" s="109">
        <v>5</v>
      </c>
      <c r="AJ21" s="109">
        <v>3</v>
      </c>
      <c r="AK21" s="109">
        <v>2</v>
      </c>
      <c r="AL21" s="110"/>
      <c r="AM21" s="110">
        <v>5</v>
      </c>
      <c r="AN21" s="110"/>
      <c r="AO21" s="110">
        <v>3</v>
      </c>
      <c r="AP21" s="110"/>
      <c r="AQ21" s="110">
        <v>2</v>
      </c>
      <c r="AR21" s="110"/>
      <c r="AS21" s="110"/>
      <c r="AT21" s="110"/>
      <c r="AU21" s="110"/>
      <c r="AV21" s="110"/>
      <c r="AW21" s="110"/>
      <c r="AX21" s="110"/>
      <c r="AY21" s="110"/>
      <c r="AZ21" s="110"/>
    </row>
    <row r="22" spans="1:52" s="123" customFormat="1" ht="15" customHeight="1" outlineLevel="1" x14ac:dyDescent="0.45">
      <c r="A22" s="112"/>
      <c r="B22" s="113"/>
      <c r="C22" s="113"/>
      <c r="D22" s="114"/>
      <c r="E22" s="114"/>
      <c r="F22" s="102"/>
      <c r="G22" s="102"/>
      <c r="H22" s="102"/>
      <c r="I22" s="102"/>
      <c r="J22" s="114"/>
      <c r="K22" s="114"/>
      <c r="L22" s="102"/>
      <c r="M22" s="114"/>
      <c r="N22" s="124" t="s">
        <v>979</v>
      </c>
      <c r="O22" s="116"/>
      <c r="P22" s="117"/>
      <c r="Q22" s="118"/>
      <c r="R22" s="119"/>
      <c r="S22" s="120">
        <f t="shared" ref="S22:AZ22" si="10">SUBTOTAL(9,S21:S21)</f>
        <v>38</v>
      </c>
      <c r="T22" s="120">
        <f t="shared" si="10"/>
        <v>0</v>
      </c>
      <c r="U22" s="120">
        <f t="shared" si="10"/>
        <v>0</v>
      </c>
      <c r="V22" s="120">
        <f t="shared" si="10"/>
        <v>0</v>
      </c>
      <c r="W22" s="121">
        <f t="shared" si="10"/>
        <v>0</v>
      </c>
      <c r="X22" s="121">
        <f t="shared" si="10"/>
        <v>0</v>
      </c>
      <c r="Y22" s="121">
        <f t="shared" si="10"/>
        <v>0</v>
      </c>
      <c r="Z22" s="121">
        <f t="shared" si="10"/>
        <v>0</v>
      </c>
      <c r="AA22" s="121">
        <f t="shared" si="10"/>
        <v>3</v>
      </c>
      <c r="AB22" s="121">
        <f t="shared" si="10"/>
        <v>3</v>
      </c>
      <c r="AC22" s="121">
        <f t="shared" si="10"/>
        <v>5</v>
      </c>
      <c r="AD22" s="121">
        <f t="shared" si="10"/>
        <v>0</v>
      </c>
      <c r="AE22" s="121">
        <f t="shared" si="10"/>
        <v>2</v>
      </c>
      <c r="AF22" s="121">
        <f t="shared" si="10"/>
        <v>0</v>
      </c>
      <c r="AG22" s="121">
        <f t="shared" si="10"/>
        <v>3</v>
      </c>
      <c r="AH22" s="121">
        <f t="shared" si="10"/>
        <v>2</v>
      </c>
      <c r="AI22" s="121">
        <f t="shared" si="10"/>
        <v>5</v>
      </c>
      <c r="AJ22" s="121">
        <f t="shared" si="10"/>
        <v>3</v>
      </c>
      <c r="AK22" s="121">
        <f t="shared" si="10"/>
        <v>2</v>
      </c>
      <c r="AL22" s="122">
        <f t="shared" si="10"/>
        <v>0</v>
      </c>
      <c r="AM22" s="122">
        <f t="shared" si="10"/>
        <v>5</v>
      </c>
      <c r="AN22" s="122">
        <f t="shared" si="10"/>
        <v>0</v>
      </c>
      <c r="AO22" s="122">
        <f t="shared" si="10"/>
        <v>3</v>
      </c>
      <c r="AP22" s="122">
        <f t="shared" si="10"/>
        <v>0</v>
      </c>
      <c r="AQ22" s="122">
        <f t="shared" si="10"/>
        <v>2</v>
      </c>
      <c r="AR22" s="122">
        <f t="shared" si="10"/>
        <v>0</v>
      </c>
      <c r="AS22" s="122">
        <f t="shared" si="10"/>
        <v>0</v>
      </c>
      <c r="AT22" s="122">
        <f t="shared" si="10"/>
        <v>0</v>
      </c>
      <c r="AU22" s="122">
        <f t="shared" si="10"/>
        <v>0</v>
      </c>
      <c r="AV22" s="122">
        <f t="shared" si="10"/>
        <v>0</v>
      </c>
      <c r="AW22" s="122">
        <f t="shared" si="10"/>
        <v>0</v>
      </c>
      <c r="AX22" s="122">
        <f t="shared" si="10"/>
        <v>0</v>
      </c>
      <c r="AY22" s="122">
        <f t="shared" si="10"/>
        <v>0</v>
      </c>
      <c r="AZ22" s="122">
        <f t="shared" si="10"/>
        <v>0</v>
      </c>
    </row>
    <row r="23" spans="1:52" s="111" customFormat="1" ht="15" customHeight="1" outlineLevel="2" x14ac:dyDescent="0.45">
      <c r="A23" s="98">
        <v>4509555309</v>
      </c>
      <c r="B23" s="99">
        <v>20</v>
      </c>
      <c r="C23" s="99" t="s">
        <v>980</v>
      </c>
      <c r="D23" s="100"/>
      <c r="E23" s="100"/>
      <c r="F23" s="101" t="s">
        <v>833</v>
      </c>
      <c r="G23" s="101">
        <v>1015</v>
      </c>
      <c r="H23" s="101" t="s">
        <v>118</v>
      </c>
      <c r="I23" s="101" t="s">
        <v>152</v>
      </c>
      <c r="J23" s="100"/>
      <c r="K23" s="100">
        <v>45192</v>
      </c>
      <c r="L23" s="102" t="s">
        <v>981</v>
      </c>
      <c r="M23" s="100">
        <v>45105</v>
      </c>
      <c r="N23" s="103" t="str">
        <f>+LEFT(L23,5)</f>
        <v>T3WCN</v>
      </c>
      <c r="O23" s="104" t="s">
        <v>982</v>
      </c>
      <c r="P23" s="105" t="s">
        <v>837</v>
      </c>
      <c r="Q23" s="106" t="s">
        <v>677</v>
      </c>
      <c r="R23" s="107" t="s">
        <v>225</v>
      </c>
      <c r="S23" s="108">
        <f t="shared" si="8"/>
        <v>10</v>
      </c>
      <c r="T23" s="108"/>
      <c r="U23" s="108"/>
      <c r="V23" s="108"/>
      <c r="W23" s="109"/>
      <c r="X23" s="109"/>
      <c r="Y23" s="109"/>
      <c r="Z23" s="109"/>
      <c r="AA23" s="109"/>
      <c r="AB23" s="109"/>
      <c r="AC23" s="109"/>
      <c r="AD23" s="109"/>
      <c r="AE23" s="109"/>
      <c r="AF23" s="109">
        <v>1</v>
      </c>
      <c r="AG23" s="109">
        <v>3</v>
      </c>
      <c r="AH23" s="109">
        <v>1</v>
      </c>
      <c r="AI23" s="109">
        <v>1</v>
      </c>
      <c r="AJ23" s="109">
        <v>4</v>
      </c>
      <c r="AK23" s="109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</row>
    <row r="24" spans="1:52" s="123" customFormat="1" ht="15" customHeight="1" outlineLevel="1" x14ac:dyDescent="0.45">
      <c r="A24" s="112"/>
      <c r="B24" s="113"/>
      <c r="C24" s="113"/>
      <c r="D24" s="114"/>
      <c r="E24" s="114"/>
      <c r="F24" s="102"/>
      <c r="G24" s="102"/>
      <c r="H24" s="102"/>
      <c r="I24" s="102"/>
      <c r="J24" s="114"/>
      <c r="K24" s="114"/>
      <c r="L24" s="102"/>
      <c r="M24" s="114"/>
      <c r="N24" s="124" t="s">
        <v>983</v>
      </c>
      <c r="O24" s="116"/>
      <c r="P24" s="117"/>
      <c r="Q24" s="118"/>
      <c r="R24" s="119"/>
      <c r="S24" s="120">
        <f t="shared" ref="S24:AZ24" si="11">SUBTOTAL(9,S23:S23)</f>
        <v>10</v>
      </c>
      <c r="T24" s="120">
        <f t="shared" si="11"/>
        <v>0</v>
      </c>
      <c r="U24" s="120">
        <f t="shared" si="11"/>
        <v>0</v>
      </c>
      <c r="V24" s="120">
        <f t="shared" si="11"/>
        <v>0</v>
      </c>
      <c r="W24" s="121">
        <f t="shared" si="11"/>
        <v>0</v>
      </c>
      <c r="X24" s="121">
        <f t="shared" si="11"/>
        <v>0</v>
      </c>
      <c r="Y24" s="121">
        <f t="shared" si="11"/>
        <v>0</v>
      </c>
      <c r="Z24" s="121">
        <f t="shared" si="11"/>
        <v>0</v>
      </c>
      <c r="AA24" s="121">
        <f t="shared" si="11"/>
        <v>0</v>
      </c>
      <c r="AB24" s="121">
        <f t="shared" si="11"/>
        <v>0</v>
      </c>
      <c r="AC24" s="121">
        <f t="shared" si="11"/>
        <v>0</v>
      </c>
      <c r="AD24" s="121">
        <f t="shared" si="11"/>
        <v>0</v>
      </c>
      <c r="AE24" s="121">
        <f t="shared" si="11"/>
        <v>0</v>
      </c>
      <c r="AF24" s="121">
        <f t="shared" si="11"/>
        <v>1</v>
      </c>
      <c r="AG24" s="121">
        <f t="shared" si="11"/>
        <v>3</v>
      </c>
      <c r="AH24" s="121">
        <f t="shared" si="11"/>
        <v>1</v>
      </c>
      <c r="AI24" s="121">
        <f t="shared" si="11"/>
        <v>1</v>
      </c>
      <c r="AJ24" s="121">
        <f t="shared" si="11"/>
        <v>4</v>
      </c>
      <c r="AK24" s="121">
        <f t="shared" si="11"/>
        <v>0</v>
      </c>
      <c r="AL24" s="122">
        <f t="shared" si="11"/>
        <v>0</v>
      </c>
      <c r="AM24" s="122">
        <f t="shared" si="11"/>
        <v>0</v>
      </c>
      <c r="AN24" s="122">
        <f t="shared" si="11"/>
        <v>0</v>
      </c>
      <c r="AO24" s="122">
        <f t="shared" si="11"/>
        <v>0</v>
      </c>
      <c r="AP24" s="122">
        <f t="shared" si="11"/>
        <v>0</v>
      </c>
      <c r="AQ24" s="122">
        <f t="shared" si="11"/>
        <v>0</v>
      </c>
      <c r="AR24" s="122">
        <f t="shared" si="11"/>
        <v>0</v>
      </c>
      <c r="AS24" s="122">
        <f t="shared" si="11"/>
        <v>0</v>
      </c>
      <c r="AT24" s="122">
        <f t="shared" si="11"/>
        <v>0</v>
      </c>
      <c r="AU24" s="122">
        <f t="shared" si="11"/>
        <v>0</v>
      </c>
      <c r="AV24" s="122">
        <f t="shared" si="11"/>
        <v>0</v>
      </c>
      <c r="AW24" s="122">
        <f t="shared" si="11"/>
        <v>0</v>
      </c>
      <c r="AX24" s="122">
        <f t="shared" si="11"/>
        <v>0</v>
      </c>
      <c r="AY24" s="122">
        <f t="shared" si="11"/>
        <v>0</v>
      </c>
      <c r="AZ24" s="122">
        <f t="shared" si="11"/>
        <v>0</v>
      </c>
    </row>
    <row r="25" spans="1:52" s="111" customFormat="1" ht="15" customHeight="1" outlineLevel="2" x14ac:dyDescent="0.45">
      <c r="A25" s="98">
        <v>4509555309</v>
      </c>
      <c r="B25" s="99">
        <v>30</v>
      </c>
      <c r="C25" s="99" t="s">
        <v>984</v>
      </c>
      <c r="D25" s="100"/>
      <c r="E25" s="100"/>
      <c r="F25" s="101" t="s">
        <v>833</v>
      </c>
      <c r="G25" s="101">
        <v>1015</v>
      </c>
      <c r="H25" s="101" t="s">
        <v>118</v>
      </c>
      <c r="I25" s="101" t="s">
        <v>152</v>
      </c>
      <c r="J25" s="100"/>
      <c r="K25" s="100">
        <v>45199</v>
      </c>
      <c r="L25" s="102" t="s">
        <v>985</v>
      </c>
      <c r="M25" s="100">
        <v>45105</v>
      </c>
      <c r="N25" s="103" t="str">
        <f>+LEFT(L25,5)</f>
        <v>T3WCP</v>
      </c>
      <c r="O25" s="104" t="s">
        <v>862</v>
      </c>
      <c r="P25" s="105" t="s">
        <v>837</v>
      </c>
      <c r="Q25" s="106" t="s">
        <v>677</v>
      </c>
      <c r="R25" s="107" t="s">
        <v>225</v>
      </c>
      <c r="S25" s="108">
        <f t="shared" si="8"/>
        <v>83</v>
      </c>
      <c r="T25" s="108"/>
      <c r="U25" s="108"/>
      <c r="V25" s="108"/>
      <c r="W25" s="109"/>
      <c r="X25" s="109"/>
      <c r="Y25" s="109"/>
      <c r="Z25" s="109"/>
      <c r="AA25" s="109">
        <v>6</v>
      </c>
      <c r="AB25" s="109">
        <v>6</v>
      </c>
      <c r="AC25" s="109">
        <v>8</v>
      </c>
      <c r="AD25" s="109">
        <v>3</v>
      </c>
      <c r="AE25" s="109">
        <v>5</v>
      </c>
      <c r="AF25" s="109">
        <v>3</v>
      </c>
      <c r="AG25" s="109">
        <v>6</v>
      </c>
      <c r="AH25" s="109">
        <v>5</v>
      </c>
      <c r="AI25" s="109">
        <v>8</v>
      </c>
      <c r="AJ25" s="109">
        <v>6</v>
      </c>
      <c r="AK25" s="109">
        <v>5</v>
      </c>
      <c r="AL25" s="110">
        <v>3</v>
      </c>
      <c r="AM25" s="110">
        <v>8</v>
      </c>
      <c r="AN25" s="110"/>
      <c r="AO25" s="110">
        <v>6</v>
      </c>
      <c r="AP25" s="110"/>
      <c r="AQ25" s="110">
        <v>5</v>
      </c>
      <c r="AR25" s="110"/>
      <c r="AS25" s="110"/>
      <c r="AT25" s="110"/>
      <c r="AU25" s="110"/>
      <c r="AV25" s="110"/>
      <c r="AW25" s="110"/>
      <c r="AX25" s="110"/>
      <c r="AY25" s="110"/>
      <c r="AZ25" s="110"/>
    </row>
    <row r="26" spans="1:52" s="123" customFormat="1" ht="15" customHeight="1" outlineLevel="1" x14ac:dyDescent="0.45">
      <c r="A26" s="112"/>
      <c r="B26" s="113"/>
      <c r="C26" s="113"/>
      <c r="D26" s="114"/>
      <c r="E26" s="114"/>
      <c r="F26" s="102"/>
      <c r="G26" s="102"/>
      <c r="H26" s="102"/>
      <c r="I26" s="102"/>
      <c r="J26" s="114"/>
      <c r="K26" s="114"/>
      <c r="L26" s="102"/>
      <c r="M26" s="114"/>
      <c r="N26" s="124" t="s">
        <v>986</v>
      </c>
      <c r="O26" s="116"/>
      <c r="P26" s="117"/>
      <c r="Q26" s="118"/>
      <c r="R26" s="119"/>
      <c r="S26" s="120">
        <f t="shared" ref="S26:AZ26" si="12">SUBTOTAL(9,S25:S25)</f>
        <v>83</v>
      </c>
      <c r="T26" s="120">
        <f t="shared" si="12"/>
        <v>0</v>
      </c>
      <c r="U26" s="120">
        <f t="shared" si="12"/>
        <v>0</v>
      </c>
      <c r="V26" s="120">
        <f t="shared" si="12"/>
        <v>0</v>
      </c>
      <c r="W26" s="121">
        <f t="shared" si="12"/>
        <v>0</v>
      </c>
      <c r="X26" s="121">
        <f t="shared" si="12"/>
        <v>0</v>
      </c>
      <c r="Y26" s="121">
        <f t="shared" si="12"/>
        <v>0</v>
      </c>
      <c r="Z26" s="121">
        <f t="shared" si="12"/>
        <v>0</v>
      </c>
      <c r="AA26" s="121">
        <f t="shared" si="12"/>
        <v>6</v>
      </c>
      <c r="AB26" s="121">
        <f t="shared" si="12"/>
        <v>6</v>
      </c>
      <c r="AC26" s="121">
        <f t="shared" si="12"/>
        <v>8</v>
      </c>
      <c r="AD26" s="121">
        <f t="shared" si="12"/>
        <v>3</v>
      </c>
      <c r="AE26" s="121">
        <f t="shared" si="12"/>
        <v>5</v>
      </c>
      <c r="AF26" s="121">
        <f t="shared" si="12"/>
        <v>3</v>
      </c>
      <c r="AG26" s="121">
        <f t="shared" si="12"/>
        <v>6</v>
      </c>
      <c r="AH26" s="121">
        <f t="shared" si="12"/>
        <v>5</v>
      </c>
      <c r="AI26" s="121">
        <f t="shared" si="12"/>
        <v>8</v>
      </c>
      <c r="AJ26" s="121">
        <f t="shared" si="12"/>
        <v>6</v>
      </c>
      <c r="AK26" s="121">
        <f t="shared" si="12"/>
        <v>5</v>
      </c>
      <c r="AL26" s="122">
        <f t="shared" si="12"/>
        <v>3</v>
      </c>
      <c r="AM26" s="122">
        <f t="shared" si="12"/>
        <v>8</v>
      </c>
      <c r="AN26" s="122">
        <f t="shared" si="12"/>
        <v>0</v>
      </c>
      <c r="AO26" s="122">
        <f t="shared" si="12"/>
        <v>6</v>
      </c>
      <c r="AP26" s="122">
        <f t="shared" si="12"/>
        <v>0</v>
      </c>
      <c r="AQ26" s="122">
        <f t="shared" si="12"/>
        <v>5</v>
      </c>
      <c r="AR26" s="122">
        <f t="shared" si="12"/>
        <v>0</v>
      </c>
      <c r="AS26" s="122">
        <f t="shared" si="12"/>
        <v>0</v>
      </c>
      <c r="AT26" s="122">
        <f t="shared" si="12"/>
        <v>0</v>
      </c>
      <c r="AU26" s="122">
        <f t="shared" si="12"/>
        <v>0</v>
      </c>
      <c r="AV26" s="122">
        <f t="shared" si="12"/>
        <v>0</v>
      </c>
      <c r="AW26" s="122">
        <f t="shared" si="12"/>
        <v>0</v>
      </c>
      <c r="AX26" s="122">
        <f t="shared" si="12"/>
        <v>0</v>
      </c>
      <c r="AY26" s="122">
        <f t="shared" si="12"/>
        <v>0</v>
      </c>
      <c r="AZ26" s="122">
        <f t="shared" si="12"/>
        <v>0</v>
      </c>
    </row>
    <row r="27" spans="1:52" s="111" customFormat="1" ht="15" customHeight="1" outlineLevel="2" x14ac:dyDescent="0.45">
      <c r="A27" s="98">
        <v>4509555309</v>
      </c>
      <c r="B27" s="99">
        <v>10</v>
      </c>
      <c r="C27" s="99" t="s">
        <v>987</v>
      </c>
      <c r="D27" s="100"/>
      <c r="E27" s="100" t="s">
        <v>165</v>
      </c>
      <c r="F27" s="101" t="s">
        <v>833</v>
      </c>
      <c r="G27" s="101">
        <v>1015</v>
      </c>
      <c r="H27" s="101" t="s">
        <v>118</v>
      </c>
      <c r="I27" s="101" t="s">
        <v>152</v>
      </c>
      <c r="J27" s="100"/>
      <c r="K27" s="100">
        <v>45199</v>
      </c>
      <c r="L27" s="102" t="s">
        <v>988</v>
      </c>
      <c r="M27" s="100">
        <v>45105</v>
      </c>
      <c r="N27" s="103" t="str">
        <f>+LEFT(L27,5)</f>
        <v>T3WCQ</v>
      </c>
      <c r="O27" s="104" t="s">
        <v>989</v>
      </c>
      <c r="P27" s="105" t="s">
        <v>837</v>
      </c>
      <c r="Q27" s="106" t="s">
        <v>677</v>
      </c>
      <c r="R27" s="107" t="s">
        <v>225</v>
      </c>
      <c r="S27" s="108">
        <f t="shared" si="8"/>
        <v>38</v>
      </c>
      <c r="T27" s="108"/>
      <c r="U27" s="108"/>
      <c r="V27" s="108"/>
      <c r="W27" s="109"/>
      <c r="X27" s="109"/>
      <c r="Y27" s="109"/>
      <c r="Z27" s="109"/>
      <c r="AA27" s="109">
        <v>3</v>
      </c>
      <c r="AB27" s="109">
        <v>3</v>
      </c>
      <c r="AC27" s="109">
        <v>5</v>
      </c>
      <c r="AD27" s="109"/>
      <c r="AE27" s="109">
        <v>2</v>
      </c>
      <c r="AF27" s="109"/>
      <c r="AG27" s="109">
        <v>3</v>
      </c>
      <c r="AH27" s="109">
        <v>2</v>
      </c>
      <c r="AI27" s="109">
        <v>5</v>
      </c>
      <c r="AJ27" s="109">
        <v>3</v>
      </c>
      <c r="AK27" s="109">
        <v>2</v>
      </c>
      <c r="AL27" s="110"/>
      <c r="AM27" s="110">
        <v>5</v>
      </c>
      <c r="AN27" s="110"/>
      <c r="AO27" s="110">
        <v>3</v>
      </c>
      <c r="AP27" s="110"/>
      <c r="AQ27" s="110">
        <v>2</v>
      </c>
      <c r="AR27" s="110"/>
      <c r="AS27" s="110"/>
      <c r="AT27" s="110"/>
      <c r="AU27" s="110"/>
      <c r="AV27" s="110"/>
      <c r="AW27" s="110"/>
      <c r="AX27" s="110"/>
      <c r="AY27" s="110"/>
      <c r="AZ27" s="110"/>
    </row>
    <row r="28" spans="1:52" s="123" customFormat="1" ht="15" customHeight="1" outlineLevel="1" x14ac:dyDescent="0.45">
      <c r="A28" s="112"/>
      <c r="B28" s="113"/>
      <c r="C28" s="113"/>
      <c r="D28" s="114"/>
      <c r="E28" s="114"/>
      <c r="F28" s="102"/>
      <c r="G28" s="102"/>
      <c r="H28" s="102"/>
      <c r="I28" s="102"/>
      <c r="J28" s="114"/>
      <c r="K28" s="114"/>
      <c r="L28" s="102"/>
      <c r="M28" s="114"/>
      <c r="N28" s="124" t="s">
        <v>990</v>
      </c>
      <c r="O28" s="116"/>
      <c r="P28" s="117"/>
      <c r="Q28" s="118"/>
      <c r="R28" s="119"/>
      <c r="S28" s="120">
        <f t="shared" ref="S28:AZ28" si="13">SUBTOTAL(9,S27:S27)</f>
        <v>38</v>
      </c>
      <c r="T28" s="120">
        <f t="shared" si="13"/>
        <v>0</v>
      </c>
      <c r="U28" s="120">
        <f t="shared" si="13"/>
        <v>0</v>
      </c>
      <c r="V28" s="120">
        <f t="shared" si="13"/>
        <v>0</v>
      </c>
      <c r="W28" s="121">
        <f t="shared" si="13"/>
        <v>0</v>
      </c>
      <c r="X28" s="121">
        <f t="shared" si="13"/>
        <v>0</v>
      </c>
      <c r="Y28" s="121">
        <f t="shared" si="13"/>
        <v>0</v>
      </c>
      <c r="Z28" s="121">
        <f t="shared" si="13"/>
        <v>0</v>
      </c>
      <c r="AA28" s="121">
        <f t="shared" si="13"/>
        <v>3</v>
      </c>
      <c r="AB28" s="121">
        <f t="shared" si="13"/>
        <v>3</v>
      </c>
      <c r="AC28" s="121">
        <f t="shared" si="13"/>
        <v>5</v>
      </c>
      <c r="AD28" s="121">
        <f t="shared" si="13"/>
        <v>0</v>
      </c>
      <c r="AE28" s="121">
        <f t="shared" si="13"/>
        <v>2</v>
      </c>
      <c r="AF28" s="121">
        <f t="shared" si="13"/>
        <v>0</v>
      </c>
      <c r="AG28" s="121">
        <f t="shared" si="13"/>
        <v>3</v>
      </c>
      <c r="AH28" s="121">
        <f t="shared" si="13"/>
        <v>2</v>
      </c>
      <c r="AI28" s="121">
        <f t="shared" si="13"/>
        <v>5</v>
      </c>
      <c r="AJ28" s="121">
        <f t="shared" si="13"/>
        <v>3</v>
      </c>
      <c r="AK28" s="121">
        <f t="shared" si="13"/>
        <v>2</v>
      </c>
      <c r="AL28" s="122">
        <f t="shared" si="13"/>
        <v>0</v>
      </c>
      <c r="AM28" s="122">
        <f t="shared" si="13"/>
        <v>5</v>
      </c>
      <c r="AN28" s="122">
        <f t="shared" si="13"/>
        <v>0</v>
      </c>
      <c r="AO28" s="122">
        <f t="shared" si="13"/>
        <v>3</v>
      </c>
      <c r="AP28" s="122">
        <f t="shared" si="13"/>
        <v>0</v>
      </c>
      <c r="AQ28" s="122">
        <f t="shared" si="13"/>
        <v>2</v>
      </c>
      <c r="AR28" s="122">
        <f t="shared" si="13"/>
        <v>0</v>
      </c>
      <c r="AS28" s="122">
        <f t="shared" si="13"/>
        <v>0</v>
      </c>
      <c r="AT28" s="122">
        <f t="shared" si="13"/>
        <v>0</v>
      </c>
      <c r="AU28" s="122">
        <f t="shared" si="13"/>
        <v>0</v>
      </c>
      <c r="AV28" s="122">
        <f t="shared" si="13"/>
        <v>0</v>
      </c>
      <c r="AW28" s="122">
        <f t="shared" si="13"/>
        <v>0</v>
      </c>
      <c r="AX28" s="122">
        <f t="shared" si="13"/>
        <v>0</v>
      </c>
      <c r="AY28" s="122">
        <f t="shared" si="13"/>
        <v>0</v>
      </c>
      <c r="AZ28" s="122">
        <f t="shared" si="13"/>
        <v>0</v>
      </c>
    </row>
    <row r="29" spans="1:52" s="111" customFormat="1" ht="15" customHeight="1" outlineLevel="2" x14ac:dyDescent="0.45">
      <c r="A29" s="98">
        <v>3503410667</v>
      </c>
      <c r="B29" s="99">
        <v>20</v>
      </c>
      <c r="C29" s="99" t="s">
        <v>991</v>
      </c>
      <c r="D29" s="100"/>
      <c r="E29" s="100"/>
      <c r="F29" s="101" t="s">
        <v>366</v>
      </c>
      <c r="G29" s="101">
        <v>1087</v>
      </c>
      <c r="H29" s="101" t="s">
        <v>992</v>
      </c>
      <c r="I29" s="101" t="s">
        <v>152</v>
      </c>
      <c r="J29" s="100"/>
      <c r="K29" s="100">
        <v>45213</v>
      </c>
      <c r="L29" s="102" t="s">
        <v>993</v>
      </c>
      <c r="M29" s="100">
        <v>45105</v>
      </c>
      <c r="N29" s="103" t="str">
        <f>+LEFT(L29,5)</f>
        <v>T3WCK</v>
      </c>
      <c r="O29" s="104" t="s">
        <v>485</v>
      </c>
      <c r="P29" s="105" t="s">
        <v>393</v>
      </c>
      <c r="Q29" s="106" t="s">
        <v>677</v>
      </c>
      <c r="R29" s="107" t="s">
        <v>6</v>
      </c>
      <c r="S29" s="108">
        <f t="shared" si="8"/>
        <v>23</v>
      </c>
      <c r="T29" s="108"/>
      <c r="U29" s="108"/>
      <c r="V29" s="108"/>
      <c r="W29" s="109"/>
      <c r="X29" s="109"/>
      <c r="Y29" s="109">
        <v>2</v>
      </c>
      <c r="Z29" s="109"/>
      <c r="AA29" s="109">
        <v>3</v>
      </c>
      <c r="AB29" s="109">
        <v>3</v>
      </c>
      <c r="AC29" s="109">
        <v>3</v>
      </c>
      <c r="AD29" s="109">
        <v>3</v>
      </c>
      <c r="AE29" s="109">
        <v>4</v>
      </c>
      <c r="AF29" s="109">
        <v>2</v>
      </c>
      <c r="AG29" s="109">
        <v>1</v>
      </c>
      <c r="AH29" s="109">
        <v>1</v>
      </c>
      <c r="AI29" s="109">
        <v>1</v>
      </c>
      <c r="AJ29" s="109"/>
      <c r="AK29" s="109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</row>
    <row r="30" spans="1:52" s="123" customFormat="1" ht="15" customHeight="1" outlineLevel="1" x14ac:dyDescent="0.45">
      <c r="A30" s="112"/>
      <c r="B30" s="113"/>
      <c r="C30" s="113"/>
      <c r="D30" s="114"/>
      <c r="E30" s="114"/>
      <c r="F30" s="102"/>
      <c r="G30" s="102"/>
      <c r="H30" s="102"/>
      <c r="I30" s="102"/>
      <c r="J30" s="114"/>
      <c r="K30" s="114"/>
      <c r="L30" s="102"/>
      <c r="M30" s="114"/>
      <c r="N30" s="124" t="s">
        <v>994</v>
      </c>
      <c r="O30" s="116"/>
      <c r="P30" s="117"/>
      <c r="Q30" s="118"/>
      <c r="R30" s="119"/>
      <c r="S30" s="120">
        <f t="shared" ref="S30:AZ30" si="14">SUBTOTAL(9,S29:S29)</f>
        <v>23</v>
      </c>
      <c r="T30" s="120">
        <f t="shared" si="14"/>
        <v>0</v>
      </c>
      <c r="U30" s="120">
        <f t="shared" si="14"/>
        <v>0</v>
      </c>
      <c r="V30" s="120">
        <f t="shared" si="14"/>
        <v>0</v>
      </c>
      <c r="W30" s="121">
        <f t="shared" si="14"/>
        <v>0</v>
      </c>
      <c r="X30" s="121">
        <f t="shared" si="14"/>
        <v>0</v>
      </c>
      <c r="Y30" s="121">
        <f t="shared" si="14"/>
        <v>2</v>
      </c>
      <c r="Z30" s="121">
        <f t="shared" si="14"/>
        <v>0</v>
      </c>
      <c r="AA30" s="121">
        <f t="shared" si="14"/>
        <v>3</v>
      </c>
      <c r="AB30" s="121">
        <f t="shared" si="14"/>
        <v>3</v>
      </c>
      <c r="AC30" s="121">
        <f t="shared" si="14"/>
        <v>3</v>
      </c>
      <c r="AD30" s="121">
        <f t="shared" si="14"/>
        <v>3</v>
      </c>
      <c r="AE30" s="121">
        <f t="shared" si="14"/>
        <v>4</v>
      </c>
      <c r="AF30" s="121">
        <f t="shared" si="14"/>
        <v>2</v>
      </c>
      <c r="AG30" s="121">
        <f t="shared" si="14"/>
        <v>1</v>
      </c>
      <c r="AH30" s="121">
        <f t="shared" si="14"/>
        <v>1</v>
      </c>
      <c r="AI30" s="121">
        <f t="shared" si="14"/>
        <v>1</v>
      </c>
      <c r="AJ30" s="121">
        <f t="shared" si="14"/>
        <v>0</v>
      </c>
      <c r="AK30" s="121">
        <f t="shared" si="14"/>
        <v>0</v>
      </c>
      <c r="AL30" s="122">
        <f t="shared" si="14"/>
        <v>0</v>
      </c>
      <c r="AM30" s="122">
        <f t="shared" si="14"/>
        <v>0</v>
      </c>
      <c r="AN30" s="122">
        <f t="shared" si="14"/>
        <v>0</v>
      </c>
      <c r="AO30" s="122">
        <f t="shared" si="14"/>
        <v>0</v>
      </c>
      <c r="AP30" s="122">
        <f t="shared" si="14"/>
        <v>0</v>
      </c>
      <c r="AQ30" s="122">
        <f t="shared" si="14"/>
        <v>0</v>
      </c>
      <c r="AR30" s="122">
        <f t="shared" si="14"/>
        <v>0</v>
      </c>
      <c r="AS30" s="122">
        <f t="shared" si="14"/>
        <v>0</v>
      </c>
      <c r="AT30" s="122">
        <f t="shared" si="14"/>
        <v>0</v>
      </c>
      <c r="AU30" s="122">
        <f t="shared" si="14"/>
        <v>0</v>
      </c>
      <c r="AV30" s="122">
        <f t="shared" si="14"/>
        <v>0</v>
      </c>
      <c r="AW30" s="122">
        <f t="shared" si="14"/>
        <v>0</v>
      </c>
      <c r="AX30" s="122">
        <f t="shared" si="14"/>
        <v>0</v>
      </c>
      <c r="AY30" s="122">
        <f t="shared" si="14"/>
        <v>0</v>
      </c>
      <c r="AZ30" s="122">
        <f t="shared" si="14"/>
        <v>0</v>
      </c>
    </row>
    <row r="31" spans="1:52" s="111" customFormat="1" ht="15" customHeight="1" outlineLevel="2" x14ac:dyDescent="0.45">
      <c r="A31" s="98">
        <v>3503410667</v>
      </c>
      <c r="B31" s="99">
        <v>10</v>
      </c>
      <c r="C31" s="99" t="s">
        <v>995</v>
      </c>
      <c r="D31" s="100"/>
      <c r="E31" s="100"/>
      <c r="F31" s="101" t="s">
        <v>366</v>
      </c>
      <c r="G31" s="101">
        <v>1087</v>
      </c>
      <c r="H31" s="101" t="s">
        <v>992</v>
      </c>
      <c r="I31" s="101" t="s">
        <v>152</v>
      </c>
      <c r="J31" s="100"/>
      <c r="K31" s="100">
        <v>45213</v>
      </c>
      <c r="L31" s="102" t="s">
        <v>996</v>
      </c>
      <c r="M31" s="100">
        <v>45105</v>
      </c>
      <c r="N31" s="103" t="str">
        <f>+LEFT(L31,5)</f>
        <v>T3WCL</v>
      </c>
      <c r="O31" s="104" t="s">
        <v>827</v>
      </c>
      <c r="P31" s="105" t="s">
        <v>393</v>
      </c>
      <c r="Q31" s="106" t="s">
        <v>677</v>
      </c>
      <c r="R31" s="107" t="s">
        <v>6</v>
      </c>
      <c r="S31" s="108">
        <f t="shared" si="8"/>
        <v>23</v>
      </c>
      <c r="T31" s="108"/>
      <c r="U31" s="108"/>
      <c r="V31" s="108"/>
      <c r="W31" s="109"/>
      <c r="X31" s="109"/>
      <c r="Y31" s="109">
        <v>2</v>
      </c>
      <c r="Z31" s="109">
        <v>1</v>
      </c>
      <c r="AA31" s="109">
        <v>3</v>
      </c>
      <c r="AB31" s="109">
        <v>3</v>
      </c>
      <c r="AC31" s="109">
        <v>3</v>
      </c>
      <c r="AD31" s="109">
        <v>3</v>
      </c>
      <c r="AE31" s="109">
        <v>4</v>
      </c>
      <c r="AF31" s="109">
        <v>2</v>
      </c>
      <c r="AG31" s="109">
        <v>1</v>
      </c>
      <c r="AH31" s="109">
        <v>1</v>
      </c>
      <c r="AI31" s="109"/>
      <c r="AJ31" s="109"/>
      <c r="AK31" s="109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</row>
    <row r="32" spans="1:52" s="123" customFormat="1" ht="15" customHeight="1" outlineLevel="1" x14ac:dyDescent="0.45">
      <c r="A32" s="112"/>
      <c r="B32" s="113"/>
      <c r="C32" s="113"/>
      <c r="D32" s="114"/>
      <c r="E32" s="114"/>
      <c r="F32" s="102"/>
      <c r="G32" s="102"/>
      <c r="H32" s="102"/>
      <c r="I32" s="102"/>
      <c r="J32" s="114"/>
      <c r="K32" s="114"/>
      <c r="L32" s="102"/>
      <c r="M32" s="114"/>
      <c r="N32" s="124" t="s">
        <v>997</v>
      </c>
      <c r="O32" s="116"/>
      <c r="P32" s="117"/>
      <c r="Q32" s="118"/>
      <c r="R32" s="119"/>
      <c r="S32" s="120">
        <f t="shared" ref="S32:AZ32" si="15">SUBTOTAL(9,S31:S31)</f>
        <v>23</v>
      </c>
      <c r="T32" s="120">
        <f t="shared" si="15"/>
        <v>0</v>
      </c>
      <c r="U32" s="120">
        <f t="shared" si="15"/>
        <v>0</v>
      </c>
      <c r="V32" s="120">
        <f t="shared" si="15"/>
        <v>0</v>
      </c>
      <c r="W32" s="121">
        <f t="shared" si="15"/>
        <v>0</v>
      </c>
      <c r="X32" s="121">
        <f t="shared" si="15"/>
        <v>0</v>
      </c>
      <c r="Y32" s="121">
        <f t="shared" si="15"/>
        <v>2</v>
      </c>
      <c r="Z32" s="121">
        <f t="shared" si="15"/>
        <v>1</v>
      </c>
      <c r="AA32" s="121">
        <f t="shared" si="15"/>
        <v>3</v>
      </c>
      <c r="AB32" s="121">
        <f t="shared" si="15"/>
        <v>3</v>
      </c>
      <c r="AC32" s="121">
        <f t="shared" si="15"/>
        <v>3</v>
      </c>
      <c r="AD32" s="121">
        <f t="shared" si="15"/>
        <v>3</v>
      </c>
      <c r="AE32" s="121">
        <f t="shared" si="15"/>
        <v>4</v>
      </c>
      <c r="AF32" s="121">
        <f t="shared" si="15"/>
        <v>2</v>
      </c>
      <c r="AG32" s="121">
        <f t="shared" si="15"/>
        <v>1</v>
      </c>
      <c r="AH32" s="121">
        <f t="shared" si="15"/>
        <v>1</v>
      </c>
      <c r="AI32" s="121">
        <f t="shared" si="15"/>
        <v>0</v>
      </c>
      <c r="AJ32" s="121">
        <f t="shared" si="15"/>
        <v>0</v>
      </c>
      <c r="AK32" s="121">
        <f t="shared" si="15"/>
        <v>0</v>
      </c>
      <c r="AL32" s="122">
        <f t="shared" si="15"/>
        <v>0</v>
      </c>
      <c r="AM32" s="122">
        <f t="shared" si="15"/>
        <v>0</v>
      </c>
      <c r="AN32" s="122">
        <f t="shared" si="15"/>
        <v>0</v>
      </c>
      <c r="AO32" s="122">
        <f t="shared" si="15"/>
        <v>0</v>
      </c>
      <c r="AP32" s="122">
        <f t="shared" si="15"/>
        <v>0</v>
      </c>
      <c r="AQ32" s="122">
        <f t="shared" si="15"/>
        <v>0</v>
      </c>
      <c r="AR32" s="122">
        <f t="shared" si="15"/>
        <v>0</v>
      </c>
      <c r="AS32" s="122">
        <f t="shared" si="15"/>
        <v>0</v>
      </c>
      <c r="AT32" s="122">
        <f t="shared" si="15"/>
        <v>0</v>
      </c>
      <c r="AU32" s="122">
        <f t="shared" si="15"/>
        <v>0</v>
      </c>
      <c r="AV32" s="122">
        <f t="shared" si="15"/>
        <v>0</v>
      </c>
      <c r="AW32" s="122">
        <f t="shared" si="15"/>
        <v>0</v>
      </c>
      <c r="AX32" s="122">
        <f t="shared" si="15"/>
        <v>0</v>
      </c>
      <c r="AY32" s="122">
        <f t="shared" si="15"/>
        <v>0</v>
      </c>
      <c r="AZ32" s="122">
        <f t="shared" si="15"/>
        <v>0</v>
      </c>
    </row>
    <row r="33" spans="1:52" s="36" customFormat="1" ht="15" customHeight="1" x14ac:dyDescent="0.45">
      <c r="A33" s="27"/>
      <c r="B33" s="27"/>
      <c r="C33" s="27"/>
      <c r="D33" s="28"/>
      <c r="E33" s="28"/>
      <c r="F33" s="29"/>
      <c r="G33" s="29"/>
      <c r="H33" s="29"/>
      <c r="I33" s="29"/>
      <c r="J33" s="28"/>
      <c r="K33" s="28"/>
      <c r="L33" s="29"/>
      <c r="M33" s="28"/>
      <c r="N33" s="87" t="s">
        <v>54</v>
      </c>
      <c r="O33" s="31"/>
      <c r="P33" s="32"/>
      <c r="Q33" s="33"/>
      <c r="R33" s="34"/>
      <c r="S33" s="35">
        <f>SUBTOTAL(9,S5:S32)</f>
        <v>642</v>
      </c>
      <c r="T33" s="35">
        <f t="shared" ref="T33:AZ33" si="16">SUBTOTAL(9,T5:T32)</f>
        <v>0</v>
      </c>
      <c r="U33" s="35">
        <f t="shared" si="16"/>
        <v>0</v>
      </c>
      <c r="V33" s="35">
        <f t="shared" si="16"/>
        <v>0</v>
      </c>
      <c r="W33" s="35">
        <f t="shared" si="16"/>
        <v>0</v>
      </c>
      <c r="X33" s="35">
        <f t="shared" si="16"/>
        <v>0</v>
      </c>
      <c r="Y33" s="35">
        <f t="shared" si="16"/>
        <v>21</v>
      </c>
      <c r="Z33" s="35">
        <f t="shared" si="16"/>
        <v>18</v>
      </c>
      <c r="AA33" s="35">
        <f t="shared" si="16"/>
        <v>35</v>
      </c>
      <c r="AB33" s="35">
        <f t="shared" si="16"/>
        <v>35</v>
      </c>
      <c r="AC33" s="35">
        <f t="shared" si="16"/>
        <v>57</v>
      </c>
      <c r="AD33" s="35">
        <f t="shared" si="16"/>
        <v>30</v>
      </c>
      <c r="AE33" s="35">
        <f t="shared" si="16"/>
        <v>40</v>
      </c>
      <c r="AF33" s="35">
        <f t="shared" si="16"/>
        <v>31</v>
      </c>
      <c r="AG33" s="35">
        <f t="shared" si="16"/>
        <v>49</v>
      </c>
      <c r="AH33" s="35">
        <f t="shared" si="16"/>
        <v>57</v>
      </c>
      <c r="AI33" s="35">
        <f t="shared" si="16"/>
        <v>52</v>
      </c>
      <c r="AJ33" s="35">
        <f t="shared" si="16"/>
        <v>48</v>
      </c>
      <c r="AK33" s="35">
        <f t="shared" si="16"/>
        <v>42</v>
      </c>
      <c r="AL33" s="35">
        <f t="shared" si="16"/>
        <v>27</v>
      </c>
      <c r="AM33" s="35">
        <f t="shared" si="16"/>
        <v>42</v>
      </c>
      <c r="AN33" s="35">
        <f t="shared" si="16"/>
        <v>0</v>
      </c>
      <c r="AO33" s="35">
        <f t="shared" si="16"/>
        <v>31</v>
      </c>
      <c r="AP33" s="35">
        <f t="shared" si="16"/>
        <v>0</v>
      </c>
      <c r="AQ33" s="35">
        <f t="shared" si="16"/>
        <v>27</v>
      </c>
      <c r="AR33" s="35">
        <f t="shared" si="16"/>
        <v>0</v>
      </c>
      <c r="AS33" s="35">
        <f t="shared" si="16"/>
        <v>0</v>
      </c>
      <c r="AT33" s="35">
        <f t="shared" si="16"/>
        <v>0</v>
      </c>
      <c r="AU33" s="35">
        <f t="shared" si="16"/>
        <v>0</v>
      </c>
      <c r="AV33" s="35">
        <f t="shared" si="16"/>
        <v>0</v>
      </c>
      <c r="AW33" s="35">
        <f t="shared" si="16"/>
        <v>0</v>
      </c>
      <c r="AX33" s="35">
        <f t="shared" si="16"/>
        <v>0</v>
      </c>
      <c r="AY33" s="35">
        <f t="shared" si="16"/>
        <v>0</v>
      </c>
      <c r="AZ33" s="35">
        <f t="shared" si="16"/>
        <v>0</v>
      </c>
    </row>
  </sheetData>
  <autoFilter ref="A4:AZ4"/>
  <mergeCells count="1">
    <mergeCell ref="A2:AZ2"/>
  </mergeCells>
  <conditionalFormatting sqref="L4">
    <cfRule type="duplicateValues" dxfId="256" priority="88"/>
  </conditionalFormatting>
  <conditionalFormatting sqref="M4">
    <cfRule type="duplicateValues" dxfId="255" priority="87"/>
  </conditionalFormatting>
  <conditionalFormatting sqref="L4">
    <cfRule type="duplicateValues" dxfId="254" priority="86"/>
  </conditionalFormatting>
  <conditionalFormatting sqref="L4">
    <cfRule type="duplicateValues" dxfId="253" priority="85"/>
  </conditionalFormatting>
  <conditionalFormatting sqref="L4">
    <cfRule type="duplicateValues" dxfId="252" priority="84"/>
  </conditionalFormatting>
  <conditionalFormatting sqref="C4">
    <cfRule type="duplicateValues" dxfId="251" priority="89"/>
    <cfRule type="duplicateValues" dxfId="250" priority="90"/>
  </conditionalFormatting>
  <conditionalFormatting sqref="C4">
    <cfRule type="duplicateValues" dxfId="249" priority="91"/>
  </conditionalFormatting>
  <conditionalFormatting sqref="W4:AK4">
    <cfRule type="duplicateValues" dxfId="248" priority="92"/>
  </conditionalFormatting>
  <conditionalFormatting sqref="C4">
    <cfRule type="duplicateValues" dxfId="247" priority="83"/>
  </conditionalFormatting>
  <conditionalFormatting sqref="L4">
    <cfRule type="duplicateValues" dxfId="246" priority="82"/>
  </conditionalFormatting>
  <conditionalFormatting sqref="C4">
    <cfRule type="duplicateValues" dxfId="245" priority="81"/>
  </conditionalFormatting>
  <conditionalFormatting sqref="L4">
    <cfRule type="duplicateValues" dxfId="244" priority="80"/>
  </conditionalFormatting>
  <conditionalFormatting sqref="C4">
    <cfRule type="duplicateValues" dxfId="243" priority="79"/>
  </conditionalFormatting>
  <conditionalFormatting sqref="L4">
    <cfRule type="duplicateValues" dxfId="242" priority="78"/>
  </conditionalFormatting>
  <conditionalFormatting sqref="C4">
    <cfRule type="duplicateValues" dxfId="241" priority="77"/>
  </conditionalFormatting>
  <conditionalFormatting sqref="L4">
    <cfRule type="duplicateValues" dxfId="240" priority="76"/>
  </conditionalFormatting>
  <conditionalFormatting sqref="C4">
    <cfRule type="duplicateValues" dxfId="239" priority="75"/>
  </conditionalFormatting>
  <conditionalFormatting sqref="L4">
    <cfRule type="duplicateValues" dxfId="238" priority="74"/>
  </conditionalFormatting>
  <conditionalFormatting sqref="C4">
    <cfRule type="duplicateValues" dxfId="237" priority="73"/>
  </conditionalFormatting>
  <conditionalFormatting sqref="L4">
    <cfRule type="duplicateValues" dxfId="236" priority="72"/>
  </conditionalFormatting>
  <conditionalFormatting sqref="C4">
    <cfRule type="duplicateValues" dxfId="235" priority="71"/>
  </conditionalFormatting>
  <conditionalFormatting sqref="C4">
    <cfRule type="duplicateValues" dxfId="234" priority="70"/>
  </conditionalFormatting>
  <conditionalFormatting sqref="C4">
    <cfRule type="duplicateValues" dxfId="233" priority="69"/>
  </conditionalFormatting>
  <conditionalFormatting sqref="C4">
    <cfRule type="duplicateValues" dxfId="232" priority="68"/>
  </conditionalFormatting>
  <conditionalFormatting sqref="C4">
    <cfRule type="duplicateValues" dxfId="231" priority="67"/>
  </conditionalFormatting>
  <conditionalFormatting sqref="C4">
    <cfRule type="duplicateValues" dxfId="230" priority="66"/>
  </conditionalFormatting>
  <conditionalFormatting sqref="C4">
    <cfRule type="duplicateValues" dxfId="229" priority="65"/>
  </conditionalFormatting>
  <conditionalFormatting sqref="C4">
    <cfRule type="duplicateValues" dxfId="228" priority="64"/>
  </conditionalFormatting>
  <conditionalFormatting sqref="C4">
    <cfRule type="duplicateValues" dxfId="227" priority="63"/>
  </conditionalFormatting>
  <conditionalFormatting sqref="C4">
    <cfRule type="duplicateValues" dxfId="226" priority="62"/>
  </conditionalFormatting>
  <conditionalFormatting sqref="A4:XFD4">
    <cfRule type="duplicateValues" dxfId="225" priority="93"/>
  </conditionalFormatting>
  <conditionalFormatting sqref="K5:K15 K33">
    <cfRule type="expression" dxfId="224" priority="50" stopIfTrue="1">
      <formula>AND(COUNTIF($K$22782:$K$22782, K5)&gt;1,NOT(ISBLANK(K5)))</formula>
    </cfRule>
  </conditionalFormatting>
  <conditionalFormatting sqref="K5:K15 K33">
    <cfRule type="expression" dxfId="223" priority="51" stopIfTrue="1">
      <formula>AND(COUNTIF(#REF!, K5)+COUNTIF($K$26177:$K$26183, K5)+COUNTIF($K$26256:$K$26256, K5)+COUNTIF($K$26280:$K$26280, K5)+COUNTIF($K$26221:$K$26225, K5)+COUNTIF($K$26276:$K$26276, K5)+COUNTIF($K$26241:$K$26241, K5)+COUNTIF($K$26250:$K$26250, K5)+COUNTIF($K$26262:$K$26264, K5)+COUNTIF($K$26135:$K$26140, K5)+COUNTIF($K$26270:$K$26270, K5)+COUNTIF($K$26268:$K$26268, K5)+COUNTIF($K$26274:$K$26274, K5)+COUNTIF($K$26238:$K$26239, K5)+COUNTIF($K$26248:$K$26248, K5)+COUNTIF($K$26253:$K$26253, K5)+COUNTIF($K$25991:$K$25994, K5)+COUNTIF($K$26032:$K$26039, K5)+COUNTIF($K$26045:$K$26048, K5)+COUNTIF($K$26050:$K$26057, K5)+COUNTIF($K$25936:$K$25945, K5)+COUNTIF($K$25971:$K$25975, K5)+COUNTIF($K$25669:$K$25682, K5)+COUNTIF($K$25525:$K$25543, K5)+COUNTIF($K$25642:$K$25648, K5)+COUNTIF($K$25591:$K$25602, K5)+COUNTIF($K$25611:$K$25613, K5)+COUNTIF($K$25631:$K$25634, K5)+COUNTIF($K$25545:$K$25571, K5)+COUNTIF($K$22747:$K$25481, K5)+COUNTIF($K$25499:$K$25507, K5)+COUNTIF($K$25651:$K$25654, K5)+COUNTIF($K$25997:$K$25998, K5)+COUNTIF($K$26143:$K$26144, K5)+COUNTIF($K$26186:$K$26193, K5)+COUNTIF($K$26072:$K$26078, K5)+COUNTIF($K$26060:$K$26067, K5)&gt;1,NOT(ISBLANK(K5)))</formula>
    </cfRule>
  </conditionalFormatting>
  <conditionalFormatting sqref="K5:K15 K33">
    <cfRule type="expression" dxfId="222" priority="52" stopIfTrue="1">
      <formula>AND(COUNTIF(#REF!, K5)+COUNTIF($K$25820:$K$25826, K5)+COUNTIF($K$25899:$K$25899, K5)+COUNTIF($K$25923:$K$25923, K5)+COUNTIF($K$25864:$K$25868, K5)+COUNTIF($K$25919:$K$25919, K5)+COUNTIF($K$25884:$K$25884, K5)+COUNTIF($K$25893:$K$25893, K5)+COUNTIF($K$25905:$K$25907, K5)+COUNTIF($K$25778:$K$25783, K5)+COUNTIF($K$25913:$K$25913, K5)+COUNTIF($K$25911:$K$25911, K5)+COUNTIF($K$25917:$K$25917, K5)+COUNTIF($K$25881:$K$25882, K5)+COUNTIF($K$25891:$K$25891, K5)+COUNTIF($K$25896:$K$25896, K5)+COUNTIF($K$25634:$K$25637, K5)+COUNTIF($K$25675:$K$25682, K5)+COUNTIF($K$25688:$K$25691, K5)+COUNTIF($K$25693:$K$25700, K5)+COUNTIF($K$25579:$K$25588, K5)+COUNTIF($K$25614:$K$25618, K5)+COUNTIF($K$25312:$K$25325, K5)+COUNTIF($K$25168:$K$25186, K5)+COUNTIF($K$25285:$K$25291, K5)+COUNTIF($K$25234:$K$25245, K5)+COUNTIF($K$25254:$K$25256, K5)+COUNTIF($K$25274:$K$25277, K5)+COUNTIF($K$25188:$K$25214, K5)+COUNTIF($K$22747:$K$25124, K5)+COUNTIF($K$25142:$K$25150, K5)+COUNTIF($K$25294:$K$25297, K5)+COUNTIF($K$25640:$K$25641, K5)+COUNTIF($K$25786:$K$25787, K5)+COUNTIF($K$25829:$K$25836, K5)+COUNTIF($K$25715:$K$25721, K5)+COUNTIF($K$25703:$K$25710, K5)&gt;1,NOT(ISBLANK(K5)))</formula>
    </cfRule>
  </conditionalFormatting>
  <conditionalFormatting sqref="L5:L15 L33">
    <cfRule type="expression" dxfId="221" priority="53" stopIfTrue="1">
      <formula>AND(COUNTIF($K$22007:$K$22007, L5)&gt;1,NOT(ISBLANK(L5)))</formula>
    </cfRule>
  </conditionalFormatting>
  <conditionalFormatting sqref="L5:L15 L33">
    <cfRule type="expression" dxfId="220" priority="54" stopIfTrue="1">
      <formula>AND(COUNTIF(#REF!, L5)+COUNTIF($K$25402:$K$25408, L5)+COUNTIF($K$25481:$K$25481, L5)+COUNTIF($K$25505:$K$25505, L5)+COUNTIF($K$25446:$K$25450, L5)+COUNTIF($K$25501:$K$25501, L5)+COUNTIF($K$25466:$K$25466, L5)+COUNTIF($K$25475:$K$25475, L5)+COUNTIF($K$25487:$K$25489, L5)+COUNTIF($K$25360:$K$25365, L5)+COUNTIF($K$25495:$K$25495, L5)+COUNTIF($K$25493:$K$25493, L5)+COUNTIF($K$25499:$K$25499, L5)+COUNTIF($K$25463:$K$25464, L5)+COUNTIF($K$25473:$K$25473, L5)+COUNTIF($K$25478:$K$25478, L5)+COUNTIF($K$25216:$K$25219, L5)+COUNTIF($K$25257:$K$25264, L5)+COUNTIF($K$25270:$K$25273, L5)+COUNTIF($K$25275:$K$25282, L5)+COUNTIF($K$25161:$K$25170, L5)+COUNTIF($K$25196:$K$25200, L5)+COUNTIF($K$24894:$K$24907, L5)+COUNTIF($K$24750:$K$24768, L5)+COUNTIF($K$24867:$K$24873, L5)+COUNTIF($K$24816:$K$24827, L5)+COUNTIF($K$24836:$K$24838, L5)+COUNTIF($K$24856:$K$24859, L5)+COUNTIF($K$24770:$K$24796, L5)+COUNTIF($K$21972:$K$24706, L5)+COUNTIF($K$24724:$K$24732, L5)+COUNTIF($K$24876:$K$24879, L5)+COUNTIF($K$25222:$K$25223, L5)+COUNTIF($K$25368:$K$25369, L5)+COUNTIF($K$25411:$K$25418, L5)+COUNTIF($K$25297:$K$25303, L5)+COUNTIF($K$25285:$K$25292, L5)&gt;1,NOT(ISBLANK(L5)))</formula>
    </cfRule>
  </conditionalFormatting>
  <conditionalFormatting sqref="L5:L15 L33">
    <cfRule type="expression" dxfId="219" priority="55" stopIfTrue="1">
      <formula>AND(COUNTIF(#REF!, L5)+COUNTIF($K$25045:$K$25051, L5)+COUNTIF($K$25124:$K$25124, L5)+COUNTIF($K$25148:$K$25148, L5)+COUNTIF($K$25089:$K$25093, L5)+COUNTIF($K$25144:$K$25144, L5)+COUNTIF($K$25109:$K$25109, L5)+COUNTIF($K$25118:$K$25118, L5)+COUNTIF($K$25130:$K$25132, L5)+COUNTIF($K$25003:$K$25008, L5)+COUNTIF($K$25138:$K$25138, L5)+COUNTIF($K$25136:$K$25136, L5)+COUNTIF($K$25142:$K$25142, L5)+COUNTIF($K$25106:$K$25107, L5)+COUNTIF($K$25116:$K$25116, L5)+COUNTIF($K$25121:$K$25121, L5)+COUNTIF($K$24859:$K$24862, L5)+COUNTIF($K$24900:$K$24907, L5)+COUNTIF($K$24913:$K$24916, L5)+COUNTIF($K$24918:$K$24925, L5)+COUNTIF($K$24804:$K$24813, L5)+COUNTIF($K$24839:$K$24843, L5)+COUNTIF($K$24537:$K$24550, L5)+COUNTIF($K$24393:$K$24411, L5)+COUNTIF($K$24510:$K$24516, L5)+COUNTIF($K$24459:$K$24470, L5)+COUNTIF($K$24479:$K$24481, L5)+COUNTIF($K$24499:$K$24502, L5)+COUNTIF($K$24413:$K$24439, L5)+COUNTIF($K$21972:$K$24349, L5)+COUNTIF($K$24367:$K$24375, L5)+COUNTIF($K$24519:$K$24522, L5)+COUNTIF($K$24865:$K$24866, L5)+COUNTIF($K$25011:$K$25012, L5)+COUNTIF($K$25054:$K$25061, L5)+COUNTIF($K$24940:$K$24946, L5)+COUNTIF($K$24928:$K$24935, L5)&gt;1,NOT(ISBLANK(L5)))</formula>
    </cfRule>
  </conditionalFormatting>
  <conditionalFormatting sqref="C5:C15 C33">
    <cfRule type="duplicateValues" dxfId="218" priority="56"/>
  </conditionalFormatting>
  <conditionalFormatting sqref="L5:L15 L33">
    <cfRule type="duplicateValues" dxfId="217" priority="57"/>
  </conditionalFormatting>
  <conditionalFormatting sqref="C5:C15 C33">
    <cfRule type="duplicateValues" dxfId="216" priority="58"/>
    <cfRule type="duplicateValues" dxfId="215" priority="59"/>
  </conditionalFormatting>
  <conditionalFormatting sqref="C5:C15">
    <cfRule type="duplicateValues" dxfId="214" priority="60"/>
  </conditionalFormatting>
  <conditionalFormatting sqref="L5:L15">
    <cfRule type="duplicateValues" dxfId="213" priority="61"/>
  </conditionalFormatting>
  <conditionalFormatting sqref="K16">
    <cfRule type="expression" dxfId="212" priority="38" stopIfTrue="1">
      <formula>AND(COUNTIF($K$22782:$K$22782, K16)&gt;1,NOT(ISBLANK(K16)))</formula>
    </cfRule>
  </conditionalFormatting>
  <conditionalFormatting sqref="K16">
    <cfRule type="expression" dxfId="211" priority="39" stopIfTrue="1">
      <formula>AND(COUNTIF(#REF!, K16)+COUNTIF($K$26177:$K$26183, K16)+COUNTIF($K$26256:$K$26256, K16)+COUNTIF($K$26280:$K$26280, K16)+COUNTIF($K$26221:$K$26225, K16)+COUNTIF($K$26276:$K$26276, K16)+COUNTIF($K$26241:$K$26241, K16)+COUNTIF($K$26250:$K$26250, K16)+COUNTIF($K$26262:$K$26264, K16)+COUNTIF($K$26135:$K$26140, K16)+COUNTIF($K$26270:$K$26270, K16)+COUNTIF($K$26268:$K$26268, K16)+COUNTIF($K$26274:$K$26274, K16)+COUNTIF($K$26238:$K$26239, K16)+COUNTIF($K$26248:$K$26248, K16)+COUNTIF($K$26253:$K$26253, K16)+COUNTIF($K$25991:$K$25994, K16)+COUNTIF($K$26032:$K$26039, K16)+COUNTIF($K$26045:$K$26048, K16)+COUNTIF($K$26050:$K$26057, K16)+COUNTIF($K$25936:$K$25945, K16)+COUNTIF($K$25971:$K$25975, K16)+COUNTIF($K$25669:$K$25682, K16)+COUNTIF($K$25525:$K$25543, K16)+COUNTIF($K$25642:$K$25648, K16)+COUNTIF($K$25591:$K$25602, K16)+COUNTIF($K$25611:$K$25613, K16)+COUNTIF($K$25631:$K$25634, K16)+COUNTIF($K$25545:$K$25571, K16)+COUNTIF($K$22747:$K$25481, K16)+COUNTIF($K$25499:$K$25507, K16)+COUNTIF($K$25651:$K$25654, K16)+COUNTIF($K$25997:$K$25998, K16)+COUNTIF($K$26143:$K$26144, K16)+COUNTIF($K$26186:$K$26193, K16)+COUNTIF($K$26072:$K$26078, K16)+COUNTIF($K$26060:$K$26067, K16)&gt;1,NOT(ISBLANK(K16)))</formula>
    </cfRule>
  </conditionalFormatting>
  <conditionalFormatting sqref="K16">
    <cfRule type="expression" dxfId="210" priority="40" stopIfTrue="1">
      <formula>AND(COUNTIF(#REF!, K16)+COUNTIF($K$25820:$K$25826, K16)+COUNTIF($K$25899:$K$25899, K16)+COUNTIF($K$25923:$K$25923, K16)+COUNTIF($K$25864:$K$25868, K16)+COUNTIF($K$25919:$K$25919, K16)+COUNTIF($K$25884:$K$25884, K16)+COUNTIF($K$25893:$K$25893, K16)+COUNTIF($K$25905:$K$25907, K16)+COUNTIF($K$25778:$K$25783, K16)+COUNTIF($K$25913:$K$25913, K16)+COUNTIF($K$25911:$K$25911, K16)+COUNTIF($K$25917:$K$25917, K16)+COUNTIF($K$25881:$K$25882, K16)+COUNTIF($K$25891:$K$25891, K16)+COUNTIF($K$25896:$K$25896, K16)+COUNTIF($K$25634:$K$25637, K16)+COUNTIF($K$25675:$K$25682, K16)+COUNTIF($K$25688:$K$25691, K16)+COUNTIF($K$25693:$K$25700, K16)+COUNTIF($K$25579:$K$25588, K16)+COUNTIF($K$25614:$K$25618, K16)+COUNTIF($K$25312:$K$25325, K16)+COUNTIF($K$25168:$K$25186, K16)+COUNTIF($K$25285:$K$25291, K16)+COUNTIF($K$25234:$K$25245, K16)+COUNTIF($K$25254:$K$25256, K16)+COUNTIF($K$25274:$K$25277, K16)+COUNTIF($K$25188:$K$25214, K16)+COUNTIF($K$22747:$K$25124, K16)+COUNTIF($K$25142:$K$25150, K16)+COUNTIF($K$25294:$K$25297, K16)+COUNTIF($K$25640:$K$25641, K16)+COUNTIF($K$25786:$K$25787, K16)+COUNTIF($K$25829:$K$25836, K16)+COUNTIF($K$25715:$K$25721, K16)+COUNTIF($K$25703:$K$25710, K16)&gt;1,NOT(ISBLANK(K16)))</formula>
    </cfRule>
  </conditionalFormatting>
  <conditionalFormatting sqref="L16">
    <cfRule type="expression" dxfId="209" priority="41" stopIfTrue="1">
      <formula>AND(COUNTIF($K$22007:$K$22007, L16)&gt;1,NOT(ISBLANK(L16)))</formula>
    </cfRule>
  </conditionalFormatting>
  <conditionalFormatting sqref="L16">
    <cfRule type="expression" dxfId="208" priority="42" stopIfTrue="1">
      <formula>AND(COUNTIF(#REF!, L16)+COUNTIF($K$25402:$K$25408, L16)+COUNTIF($K$25481:$K$25481, L16)+COUNTIF($K$25505:$K$25505, L16)+COUNTIF($K$25446:$K$25450, L16)+COUNTIF($K$25501:$K$25501, L16)+COUNTIF($K$25466:$K$25466, L16)+COUNTIF($K$25475:$K$25475, L16)+COUNTIF($K$25487:$K$25489, L16)+COUNTIF($K$25360:$K$25365, L16)+COUNTIF($K$25495:$K$25495, L16)+COUNTIF($K$25493:$K$25493, L16)+COUNTIF($K$25499:$K$25499, L16)+COUNTIF($K$25463:$K$25464, L16)+COUNTIF($K$25473:$K$25473, L16)+COUNTIF($K$25478:$K$25478, L16)+COUNTIF($K$25216:$K$25219, L16)+COUNTIF($K$25257:$K$25264, L16)+COUNTIF($K$25270:$K$25273, L16)+COUNTIF($K$25275:$K$25282, L16)+COUNTIF($K$25161:$K$25170, L16)+COUNTIF($K$25196:$K$25200, L16)+COUNTIF($K$24894:$K$24907, L16)+COUNTIF($K$24750:$K$24768, L16)+COUNTIF($K$24867:$K$24873, L16)+COUNTIF($K$24816:$K$24827, L16)+COUNTIF($K$24836:$K$24838, L16)+COUNTIF($K$24856:$K$24859, L16)+COUNTIF($K$24770:$K$24796, L16)+COUNTIF($K$21972:$K$24706, L16)+COUNTIF($K$24724:$K$24732, L16)+COUNTIF($K$24876:$K$24879, L16)+COUNTIF($K$25222:$K$25223, L16)+COUNTIF($K$25368:$K$25369, L16)+COUNTIF($K$25411:$K$25418, L16)+COUNTIF($K$25297:$K$25303, L16)+COUNTIF($K$25285:$K$25292, L16)&gt;1,NOT(ISBLANK(L16)))</formula>
    </cfRule>
  </conditionalFormatting>
  <conditionalFormatting sqref="L16">
    <cfRule type="expression" dxfId="207" priority="43" stopIfTrue="1">
      <formula>AND(COUNTIF(#REF!, L16)+COUNTIF($K$25045:$K$25051, L16)+COUNTIF($K$25124:$K$25124, L16)+COUNTIF($K$25148:$K$25148, L16)+COUNTIF($K$25089:$K$25093, L16)+COUNTIF($K$25144:$K$25144, L16)+COUNTIF($K$25109:$K$25109, L16)+COUNTIF($K$25118:$K$25118, L16)+COUNTIF($K$25130:$K$25132, L16)+COUNTIF($K$25003:$K$25008, L16)+COUNTIF($K$25138:$K$25138, L16)+COUNTIF($K$25136:$K$25136, L16)+COUNTIF($K$25142:$K$25142, L16)+COUNTIF($K$25106:$K$25107, L16)+COUNTIF($K$25116:$K$25116, L16)+COUNTIF($K$25121:$K$25121, L16)+COUNTIF($K$24859:$K$24862, L16)+COUNTIF($K$24900:$K$24907, L16)+COUNTIF($K$24913:$K$24916, L16)+COUNTIF($K$24918:$K$24925, L16)+COUNTIF($K$24804:$K$24813, L16)+COUNTIF($K$24839:$K$24843, L16)+COUNTIF($K$24537:$K$24550, L16)+COUNTIF($K$24393:$K$24411, L16)+COUNTIF($K$24510:$K$24516, L16)+COUNTIF($K$24459:$K$24470, L16)+COUNTIF($K$24479:$K$24481, L16)+COUNTIF($K$24499:$K$24502, L16)+COUNTIF($K$24413:$K$24439, L16)+COUNTIF($K$21972:$K$24349, L16)+COUNTIF($K$24367:$K$24375, L16)+COUNTIF($K$24519:$K$24522, L16)+COUNTIF($K$24865:$K$24866, L16)+COUNTIF($K$25011:$K$25012, L16)+COUNTIF($K$25054:$K$25061, L16)+COUNTIF($K$24940:$K$24946, L16)+COUNTIF($K$24928:$K$24935, L16)&gt;1,NOT(ISBLANK(L16)))</formula>
    </cfRule>
  </conditionalFormatting>
  <conditionalFormatting sqref="C16">
    <cfRule type="duplicateValues" dxfId="206" priority="44"/>
  </conditionalFormatting>
  <conditionalFormatting sqref="L16">
    <cfRule type="duplicateValues" dxfId="205" priority="45"/>
  </conditionalFormatting>
  <conditionalFormatting sqref="C16">
    <cfRule type="duplicateValues" dxfId="204" priority="46"/>
    <cfRule type="duplicateValues" dxfId="203" priority="47"/>
  </conditionalFormatting>
  <conditionalFormatting sqref="C16">
    <cfRule type="duplicateValues" dxfId="202" priority="48"/>
  </conditionalFormatting>
  <conditionalFormatting sqref="L16">
    <cfRule type="duplicateValues" dxfId="201" priority="49"/>
  </conditionalFormatting>
  <conditionalFormatting sqref="C1 C3">
    <cfRule type="duplicateValues" dxfId="200" priority="37"/>
  </conditionalFormatting>
  <conditionalFormatting sqref="L1 L3">
    <cfRule type="duplicateValues" dxfId="199" priority="36"/>
  </conditionalFormatting>
  <conditionalFormatting sqref="C1 C3">
    <cfRule type="duplicateValues" dxfId="198" priority="35"/>
  </conditionalFormatting>
  <conditionalFormatting sqref="L1 L3">
    <cfRule type="duplicateValues" dxfId="197" priority="34"/>
  </conditionalFormatting>
  <conditionalFormatting sqref="C1 C3">
    <cfRule type="duplicateValues" dxfId="196" priority="33"/>
  </conditionalFormatting>
  <conditionalFormatting sqref="L1 L3">
    <cfRule type="duplicateValues" dxfId="195" priority="32"/>
  </conditionalFormatting>
  <conditionalFormatting sqref="C1 C3">
    <cfRule type="duplicateValues" dxfId="194" priority="31"/>
  </conditionalFormatting>
  <conditionalFormatting sqref="L1 L3">
    <cfRule type="duplicateValues" dxfId="193" priority="30"/>
  </conditionalFormatting>
  <conditionalFormatting sqref="C1 C3">
    <cfRule type="duplicateValues" dxfId="192" priority="29"/>
  </conditionalFormatting>
  <conditionalFormatting sqref="L1 L3">
    <cfRule type="duplicateValues" dxfId="191" priority="28"/>
  </conditionalFormatting>
  <conditionalFormatting sqref="C1 C3">
    <cfRule type="duplicateValues" dxfId="190" priority="27"/>
  </conditionalFormatting>
  <conditionalFormatting sqref="L1 L3">
    <cfRule type="duplicateValues" dxfId="189" priority="26"/>
  </conditionalFormatting>
  <conditionalFormatting sqref="C1 C3">
    <cfRule type="duplicateValues" dxfId="188" priority="25"/>
  </conditionalFormatting>
  <conditionalFormatting sqref="K17:K31">
    <cfRule type="expression" dxfId="187" priority="13" stopIfTrue="1">
      <formula>AND(COUNTIF($K$22765:$K$22765, K17)&gt;1,NOT(ISBLANK(K17)))</formula>
    </cfRule>
  </conditionalFormatting>
  <conditionalFormatting sqref="K17:K31">
    <cfRule type="expression" dxfId="186" priority="14" stopIfTrue="1">
      <formula>AND(COUNTIF(#REF!, K17)+COUNTIF($K$26160:$K$26166, K17)+COUNTIF($K$26239:$K$26239, K17)+COUNTIF($K$26263:$K$26263, K17)+COUNTIF($K$26204:$K$26208, K17)+COUNTIF($K$26259:$K$26259, K17)+COUNTIF($K$26224:$K$26224, K17)+COUNTIF($K$26233:$K$26233, K17)+COUNTIF($K$26245:$K$26247, K17)+COUNTIF($K$26118:$K$26123, K17)+COUNTIF($K$26253:$K$26253, K17)+COUNTIF($K$26251:$K$26251, K17)+COUNTIF($K$26257:$K$26257, K17)+COUNTIF($K$26221:$K$26222, K17)+COUNTIF($K$26231:$K$26231, K17)+COUNTIF($K$26236:$K$26236, K17)+COUNTIF($K$25974:$K$25977, K17)+COUNTIF($K$26015:$K$26022, K17)+COUNTIF($K$26028:$K$26031, K17)+COUNTIF($K$26033:$K$26040, K17)+COUNTIF($K$25919:$K$25928, K17)+COUNTIF($K$25954:$K$25958, K17)+COUNTIF($K$25652:$K$25665, K17)+COUNTIF($K$25508:$K$25526, K17)+COUNTIF($K$25625:$K$25631, K17)+COUNTIF($K$25574:$K$25585, K17)+COUNTIF($K$25594:$K$25596, K17)+COUNTIF($K$25614:$K$25617, K17)+COUNTIF($K$25528:$K$25554, K17)+COUNTIF($K$22730:$K$25464, K17)+COUNTIF($K$25482:$K$25490, K17)+COUNTIF($K$25634:$K$25637, K17)+COUNTIF($K$25980:$K$25981, K17)+COUNTIF($K$26126:$K$26127, K17)+COUNTIF($K$26169:$K$26176, K17)+COUNTIF($K$26055:$K$26061, K17)+COUNTIF($K$26043:$K$26050, K17)&gt;1,NOT(ISBLANK(K17)))</formula>
    </cfRule>
  </conditionalFormatting>
  <conditionalFormatting sqref="K17:K31">
    <cfRule type="expression" dxfId="185" priority="15" stopIfTrue="1">
      <formula>AND(COUNTIF(#REF!, K17)+COUNTIF($K$25803:$K$25809, K17)+COUNTIF($K$25882:$K$25882, K17)+COUNTIF($K$25906:$K$25906, K17)+COUNTIF($K$25847:$K$25851, K17)+COUNTIF($K$25902:$K$25902, K17)+COUNTIF($K$25867:$K$25867, K17)+COUNTIF($K$25876:$K$25876, K17)+COUNTIF($K$25888:$K$25890, K17)+COUNTIF($K$25761:$K$25766, K17)+COUNTIF($K$25896:$K$25896, K17)+COUNTIF($K$25894:$K$25894, K17)+COUNTIF($K$25900:$K$25900, K17)+COUNTIF($K$25864:$K$25865, K17)+COUNTIF($K$25874:$K$25874, K17)+COUNTIF($K$25879:$K$25879, K17)+COUNTIF($K$25617:$K$25620, K17)+COUNTIF($K$25658:$K$25665, K17)+COUNTIF($K$25671:$K$25674, K17)+COUNTIF($K$25676:$K$25683, K17)+COUNTIF($K$25562:$K$25571, K17)+COUNTIF($K$25597:$K$25601, K17)+COUNTIF($K$25295:$K$25308, K17)+COUNTIF($K$25151:$K$25169, K17)+COUNTIF($K$25268:$K$25274, K17)+COUNTIF($K$25217:$K$25228, K17)+COUNTIF($K$25237:$K$25239, K17)+COUNTIF($K$25257:$K$25260, K17)+COUNTIF($K$25171:$K$25197, K17)+COUNTIF($K$22730:$K$25107, K17)+COUNTIF($K$25125:$K$25133, K17)+COUNTIF($K$25277:$K$25280, K17)+COUNTIF($K$25623:$K$25624, K17)+COUNTIF($K$25769:$K$25770, K17)+COUNTIF($K$25812:$K$25819, K17)+COUNTIF($K$25698:$K$25704, K17)+COUNTIF($K$25686:$K$25693, K17)&gt;1,NOT(ISBLANK(K17)))</formula>
    </cfRule>
  </conditionalFormatting>
  <conditionalFormatting sqref="L17:L31">
    <cfRule type="expression" dxfId="184" priority="16" stopIfTrue="1">
      <formula>AND(COUNTIF($K$21990:$K$21990, L17)&gt;1,NOT(ISBLANK(L17)))</formula>
    </cfRule>
  </conditionalFormatting>
  <conditionalFormatting sqref="L17:L31">
    <cfRule type="expression" dxfId="183" priority="17" stopIfTrue="1">
      <formula>AND(COUNTIF(#REF!, L17)+COUNTIF($K$25385:$K$25391, L17)+COUNTIF($K$25464:$K$25464, L17)+COUNTIF($K$25488:$K$25488, L17)+COUNTIF($K$25429:$K$25433, L17)+COUNTIF($K$25484:$K$25484, L17)+COUNTIF($K$25449:$K$25449, L17)+COUNTIF($K$25458:$K$25458, L17)+COUNTIF($K$25470:$K$25472, L17)+COUNTIF($K$25343:$K$25348, L17)+COUNTIF($K$25478:$K$25478, L17)+COUNTIF($K$25476:$K$25476, L17)+COUNTIF($K$25482:$K$25482, L17)+COUNTIF($K$25446:$K$25447, L17)+COUNTIF($K$25456:$K$25456, L17)+COUNTIF($K$25461:$K$25461, L17)+COUNTIF($K$25199:$K$25202, L17)+COUNTIF($K$25240:$K$25247, L17)+COUNTIF($K$25253:$K$25256, L17)+COUNTIF($K$25258:$K$25265, L17)+COUNTIF($K$25144:$K$25153, L17)+COUNTIF($K$25179:$K$25183, L17)+COUNTIF($K$24877:$K$24890, L17)+COUNTIF($K$24733:$K$24751, L17)+COUNTIF($K$24850:$K$24856, L17)+COUNTIF($K$24799:$K$24810, L17)+COUNTIF($K$24819:$K$24821, L17)+COUNTIF($K$24839:$K$24842, L17)+COUNTIF($K$24753:$K$24779, L17)+COUNTIF($K$21955:$K$24689, L17)+COUNTIF($K$24707:$K$24715, L17)+COUNTIF($K$24859:$K$24862, L17)+COUNTIF($K$25205:$K$25206, L17)+COUNTIF($K$25351:$K$25352, L17)+COUNTIF($K$25394:$K$25401, L17)+COUNTIF($K$25280:$K$25286, L17)+COUNTIF($K$25268:$K$25275, L17)&gt;1,NOT(ISBLANK(L17)))</formula>
    </cfRule>
  </conditionalFormatting>
  <conditionalFormatting sqref="L17:L31">
    <cfRule type="expression" dxfId="182" priority="18" stopIfTrue="1">
      <formula>AND(COUNTIF(#REF!, L17)+COUNTIF($K$25028:$K$25034, L17)+COUNTIF($K$25107:$K$25107, L17)+COUNTIF($K$25131:$K$25131, L17)+COUNTIF($K$25072:$K$25076, L17)+COUNTIF($K$25127:$K$25127, L17)+COUNTIF($K$25092:$K$25092, L17)+COUNTIF($K$25101:$K$25101, L17)+COUNTIF($K$25113:$K$25115, L17)+COUNTIF($K$24986:$K$24991, L17)+COUNTIF($K$25121:$K$25121, L17)+COUNTIF($K$25119:$K$25119, L17)+COUNTIF($K$25125:$K$25125, L17)+COUNTIF($K$25089:$K$25090, L17)+COUNTIF($K$25099:$K$25099, L17)+COUNTIF($K$25104:$K$25104, L17)+COUNTIF($K$24842:$K$24845, L17)+COUNTIF($K$24883:$K$24890, L17)+COUNTIF($K$24896:$K$24899, L17)+COUNTIF($K$24901:$K$24908, L17)+COUNTIF($K$24787:$K$24796, L17)+COUNTIF($K$24822:$K$24826, L17)+COUNTIF($K$24520:$K$24533, L17)+COUNTIF($K$24376:$K$24394, L17)+COUNTIF($K$24493:$K$24499, L17)+COUNTIF($K$24442:$K$24453, L17)+COUNTIF($K$24462:$K$24464, L17)+COUNTIF($K$24482:$K$24485, L17)+COUNTIF($K$24396:$K$24422, L17)+COUNTIF($K$21955:$K$24332, L17)+COUNTIF($K$24350:$K$24358, L17)+COUNTIF($K$24502:$K$24505, L17)+COUNTIF($K$24848:$K$24849, L17)+COUNTIF($K$24994:$K$24995, L17)+COUNTIF($K$25037:$K$25044, L17)+COUNTIF($K$24923:$K$24929, L17)+COUNTIF($K$24911:$K$24918, L17)&gt;1,NOT(ISBLANK(L17)))</formula>
    </cfRule>
  </conditionalFormatting>
  <conditionalFormatting sqref="C17:C31">
    <cfRule type="duplicateValues" dxfId="181" priority="19"/>
  </conditionalFormatting>
  <conditionalFormatting sqref="L17:L31">
    <cfRule type="duplicateValues" dxfId="180" priority="20"/>
  </conditionalFormatting>
  <conditionalFormatting sqref="C17:C31">
    <cfRule type="duplicateValues" dxfId="179" priority="21"/>
    <cfRule type="duplicateValues" dxfId="178" priority="22"/>
  </conditionalFormatting>
  <conditionalFormatting sqref="C17:C31">
    <cfRule type="duplicateValues" dxfId="177" priority="23"/>
  </conditionalFormatting>
  <conditionalFormatting sqref="L17:L31">
    <cfRule type="duplicateValues" dxfId="176" priority="24"/>
  </conditionalFormatting>
  <conditionalFormatting sqref="K32">
    <cfRule type="expression" dxfId="175" priority="1" stopIfTrue="1">
      <formula>AND(COUNTIF($K$22765:$K$22765, K32)&gt;1,NOT(ISBLANK(K32)))</formula>
    </cfRule>
  </conditionalFormatting>
  <conditionalFormatting sqref="K32">
    <cfRule type="expression" dxfId="174" priority="2" stopIfTrue="1">
      <formula>AND(COUNTIF(#REF!, K32)+COUNTIF($K$26160:$K$26166, K32)+COUNTIF($K$26239:$K$26239, K32)+COUNTIF($K$26263:$K$26263, K32)+COUNTIF($K$26204:$K$26208, K32)+COUNTIF($K$26259:$K$26259, K32)+COUNTIF($K$26224:$K$26224, K32)+COUNTIF($K$26233:$K$26233, K32)+COUNTIF($K$26245:$K$26247, K32)+COUNTIF($K$26118:$K$26123, K32)+COUNTIF($K$26253:$K$26253, K32)+COUNTIF($K$26251:$K$26251, K32)+COUNTIF($K$26257:$K$26257, K32)+COUNTIF($K$26221:$K$26222, K32)+COUNTIF($K$26231:$K$26231, K32)+COUNTIF($K$26236:$K$26236, K32)+COUNTIF($K$25974:$K$25977, K32)+COUNTIF($K$26015:$K$26022, K32)+COUNTIF($K$26028:$K$26031, K32)+COUNTIF($K$26033:$K$26040, K32)+COUNTIF($K$25919:$K$25928, K32)+COUNTIF($K$25954:$K$25958, K32)+COUNTIF($K$25652:$K$25665, K32)+COUNTIF($K$25508:$K$25526, K32)+COUNTIF($K$25625:$K$25631, K32)+COUNTIF($K$25574:$K$25585, K32)+COUNTIF($K$25594:$K$25596, K32)+COUNTIF($K$25614:$K$25617, K32)+COUNTIF($K$25528:$K$25554, K32)+COUNTIF($K$22730:$K$25464, K32)+COUNTIF($K$25482:$K$25490, K32)+COUNTIF($K$25634:$K$25637, K32)+COUNTIF($K$25980:$K$25981, K32)+COUNTIF($K$26126:$K$26127, K32)+COUNTIF($K$26169:$K$26176, K32)+COUNTIF($K$26055:$K$26061, K32)+COUNTIF($K$26043:$K$26050, K32)&gt;1,NOT(ISBLANK(K32)))</formula>
    </cfRule>
  </conditionalFormatting>
  <conditionalFormatting sqref="K32">
    <cfRule type="expression" dxfId="173" priority="3" stopIfTrue="1">
      <formula>AND(COUNTIF(#REF!, K32)+COUNTIF($K$25803:$K$25809, K32)+COUNTIF($K$25882:$K$25882, K32)+COUNTIF($K$25906:$K$25906, K32)+COUNTIF($K$25847:$K$25851, K32)+COUNTIF($K$25902:$K$25902, K32)+COUNTIF($K$25867:$K$25867, K32)+COUNTIF($K$25876:$K$25876, K32)+COUNTIF($K$25888:$K$25890, K32)+COUNTIF($K$25761:$K$25766, K32)+COUNTIF($K$25896:$K$25896, K32)+COUNTIF($K$25894:$K$25894, K32)+COUNTIF($K$25900:$K$25900, K32)+COUNTIF($K$25864:$K$25865, K32)+COUNTIF($K$25874:$K$25874, K32)+COUNTIF($K$25879:$K$25879, K32)+COUNTIF($K$25617:$K$25620, K32)+COUNTIF($K$25658:$K$25665, K32)+COUNTIF($K$25671:$K$25674, K32)+COUNTIF($K$25676:$K$25683, K32)+COUNTIF($K$25562:$K$25571, K32)+COUNTIF($K$25597:$K$25601, K32)+COUNTIF($K$25295:$K$25308, K32)+COUNTIF($K$25151:$K$25169, K32)+COUNTIF($K$25268:$K$25274, K32)+COUNTIF($K$25217:$K$25228, K32)+COUNTIF($K$25237:$K$25239, K32)+COUNTIF($K$25257:$K$25260, K32)+COUNTIF($K$25171:$K$25197, K32)+COUNTIF($K$22730:$K$25107, K32)+COUNTIF($K$25125:$K$25133, K32)+COUNTIF($K$25277:$K$25280, K32)+COUNTIF($K$25623:$K$25624, K32)+COUNTIF($K$25769:$K$25770, K32)+COUNTIF($K$25812:$K$25819, K32)+COUNTIF($K$25698:$K$25704, K32)+COUNTIF($K$25686:$K$25693, K32)&gt;1,NOT(ISBLANK(K32)))</formula>
    </cfRule>
  </conditionalFormatting>
  <conditionalFormatting sqref="L32">
    <cfRule type="expression" dxfId="172" priority="4" stopIfTrue="1">
      <formula>AND(COUNTIF($K$21990:$K$21990, L32)&gt;1,NOT(ISBLANK(L32)))</formula>
    </cfRule>
  </conditionalFormatting>
  <conditionalFormatting sqref="L32">
    <cfRule type="expression" dxfId="171" priority="5" stopIfTrue="1">
      <formula>AND(COUNTIF(#REF!, L32)+COUNTIF($K$25385:$K$25391, L32)+COUNTIF($K$25464:$K$25464, L32)+COUNTIF($K$25488:$K$25488, L32)+COUNTIF($K$25429:$K$25433, L32)+COUNTIF($K$25484:$K$25484, L32)+COUNTIF($K$25449:$K$25449, L32)+COUNTIF($K$25458:$K$25458, L32)+COUNTIF($K$25470:$K$25472, L32)+COUNTIF($K$25343:$K$25348, L32)+COUNTIF($K$25478:$K$25478, L32)+COUNTIF($K$25476:$K$25476, L32)+COUNTIF($K$25482:$K$25482, L32)+COUNTIF($K$25446:$K$25447, L32)+COUNTIF($K$25456:$K$25456, L32)+COUNTIF($K$25461:$K$25461, L32)+COUNTIF($K$25199:$K$25202, L32)+COUNTIF($K$25240:$K$25247, L32)+COUNTIF($K$25253:$K$25256, L32)+COUNTIF($K$25258:$K$25265, L32)+COUNTIF($K$25144:$K$25153, L32)+COUNTIF($K$25179:$K$25183, L32)+COUNTIF($K$24877:$K$24890, L32)+COUNTIF($K$24733:$K$24751, L32)+COUNTIF($K$24850:$K$24856, L32)+COUNTIF($K$24799:$K$24810, L32)+COUNTIF($K$24819:$K$24821, L32)+COUNTIF($K$24839:$K$24842, L32)+COUNTIF($K$24753:$K$24779, L32)+COUNTIF($K$21955:$K$24689, L32)+COUNTIF($K$24707:$K$24715, L32)+COUNTIF($K$24859:$K$24862, L32)+COUNTIF($K$25205:$K$25206, L32)+COUNTIF($K$25351:$K$25352, L32)+COUNTIF($K$25394:$K$25401, L32)+COUNTIF($K$25280:$K$25286, L32)+COUNTIF($K$25268:$K$25275, L32)&gt;1,NOT(ISBLANK(L32)))</formula>
    </cfRule>
  </conditionalFormatting>
  <conditionalFormatting sqref="L32">
    <cfRule type="expression" dxfId="170" priority="6" stopIfTrue="1">
      <formula>AND(COUNTIF(#REF!, L32)+COUNTIF($K$25028:$K$25034, L32)+COUNTIF($K$25107:$K$25107, L32)+COUNTIF($K$25131:$K$25131, L32)+COUNTIF($K$25072:$K$25076, L32)+COUNTIF($K$25127:$K$25127, L32)+COUNTIF($K$25092:$K$25092, L32)+COUNTIF($K$25101:$K$25101, L32)+COUNTIF($K$25113:$K$25115, L32)+COUNTIF($K$24986:$K$24991, L32)+COUNTIF($K$25121:$K$25121, L32)+COUNTIF($K$25119:$K$25119, L32)+COUNTIF($K$25125:$K$25125, L32)+COUNTIF($K$25089:$K$25090, L32)+COUNTIF($K$25099:$K$25099, L32)+COUNTIF($K$25104:$K$25104, L32)+COUNTIF($K$24842:$K$24845, L32)+COUNTIF($K$24883:$K$24890, L32)+COUNTIF($K$24896:$K$24899, L32)+COUNTIF($K$24901:$K$24908, L32)+COUNTIF($K$24787:$K$24796, L32)+COUNTIF($K$24822:$K$24826, L32)+COUNTIF($K$24520:$K$24533, L32)+COUNTIF($K$24376:$K$24394, L32)+COUNTIF($K$24493:$K$24499, L32)+COUNTIF($K$24442:$K$24453, L32)+COUNTIF($K$24462:$K$24464, L32)+COUNTIF($K$24482:$K$24485, L32)+COUNTIF($K$24396:$K$24422, L32)+COUNTIF($K$21955:$K$24332, L32)+COUNTIF($K$24350:$K$24358, L32)+COUNTIF($K$24502:$K$24505, L32)+COUNTIF($K$24848:$K$24849, L32)+COUNTIF($K$24994:$K$24995, L32)+COUNTIF($K$25037:$K$25044, L32)+COUNTIF($K$24923:$K$24929, L32)+COUNTIF($K$24911:$K$24918, L32)&gt;1,NOT(ISBLANK(L32)))</formula>
    </cfRule>
  </conditionalFormatting>
  <conditionalFormatting sqref="C32">
    <cfRule type="duplicateValues" dxfId="169" priority="7"/>
  </conditionalFormatting>
  <conditionalFormatting sqref="L32">
    <cfRule type="duplicateValues" dxfId="168" priority="8"/>
  </conditionalFormatting>
  <conditionalFormatting sqref="C32">
    <cfRule type="duplicateValues" dxfId="167" priority="9"/>
    <cfRule type="duplicateValues" dxfId="166" priority="10"/>
  </conditionalFormatting>
  <conditionalFormatting sqref="C32">
    <cfRule type="duplicateValues" dxfId="165" priority="11"/>
  </conditionalFormatting>
  <conditionalFormatting sqref="L32">
    <cfRule type="duplicateValues" dxfId="164" priority="12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"/>
  <sheetViews>
    <sheetView workbookViewId="0">
      <pane ySplit="4" topLeftCell="A5" activePane="bottomLeft" state="frozen"/>
      <selection activeCell="N1" sqref="N1"/>
      <selection pane="bottomLeft" activeCell="L19" sqref="L19"/>
    </sheetView>
  </sheetViews>
  <sheetFormatPr defaultRowHeight="14.25" outlineLevelRow="2" x14ac:dyDescent="0.45"/>
  <cols>
    <col min="1" max="1" width="11.265625" customWidth="1"/>
    <col min="3" max="3" width="13.86328125" bestFit="1" customWidth="1"/>
    <col min="4" max="4" width="10.86328125" bestFit="1" customWidth="1"/>
    <col min="5" max="6" width="11.1328125" bestFit="1" customWidth="1"/>
    <col min="11" max="11" width="10.265625" style="1" bestFit="1" customWidth="1"/>
    <col min="13" max="13" width="12.3984375" style="1" bestFit="1" customWidth="1"/>
    <col min="14" max="14" width="10.3984375" bestFit="1" customWidth="1"/>
    <col min="15" max="15" width="12.86328125" bestFit="1" customWidth="1"/>
    <col min="16" max="16" width="25.59765625" bestFit="1" customWidth="1"/>
    <col min="17" max="17" width="9.3984375" bestFit="1" customWidth="1"/>
    <col min="18" max="18" width="10.265625" bestFit="1" customWidth="1"/>
    <col min="20" max="52" width="6" customWidth="1"/>
  </cols>
  <sheetData>
    <row r="1" spans="1:52" s="37" customFormat="1" x14ac:dyDescent="0.45"/>
    <row r="2" spans="1:52" s="37" customFormat="1" ht="21" customHeight="1" x14ac:dyDescent="0.45">
      <c r="A2" s="141" t="s">
        <v>55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</row>
    <row r="3" spans="1:52" s="37" customFormat="1" x14ac:dyDescent="0.45"/>
    <row r="4" spans="1:52" x14ac:dyDescent="0.45">
      <c r="A4" s="2" t="s">
        <v>12</v>
      </c>
      <c r="B4" s="2" t="s">
        <v>13</v>
      </c>
      <c r="C4" s="2" t="s">
        <v>14</v>
      </c>
      <c r="D4" s="3" t="s">
        <v>1</v>
      </c>
      <c r="E4" s="3" t="s">
        <v>0</v>
      </c>
      <c r="F4" s="3" t="s">
        <v>15</v>
      </c>
      <c r="G4" s="4" t="s">
        <v>16</v>
      </c>
      <c r="H4" s="5" t="s">
        <v>17</v>
      </c>
      <c r="I4" s="5" t="s">
        <v>9</v>
      </c>
      <c r="J4" s="5" t="s">
        <v>18</v>
      </c>
      <c r="K4" s="5" t="s">
        <v>19</v>
      </c>
      <c r="L4" s="6" t="s">
        <v>7</v>
      </c>
      <c r="M4" s="5" t="s">
        <v>20</v>
      </c>
      <c r="N4" s="7" t="s">
        <v>8</v>
      </c>
      <c r="O4" s="8" t="s">
        <v>21</v>
      </c>
      <c r="P4" s="9" t="s">
        <v>22</v>
      </c>
      <c r="Q4" s="4" t="s">
        <v>23</v>
      </c>
      <c r="R4" s="10" t="s">
        <v>24</v>
      </c>
      <c r="S4" s="9" t="s">
        <v>25</v>
      </c>
      <c r="T4" s="9" t="s">
        <v>26</v>
      </c>
      <c r="U4" s="9" t="s">
        <v>27</v>
      </c>
      <c r="V4" s="9" t="s">
        <v>28</v>
      </c>
      <c r="W4" s="9" t="s">
        <v>29</v>
      </c>
      <c r="X4" s="9" t="s">
        <v>30</v>
      </c>
      <c r="Y4" s="9" t="s">
        <v>31</v>
      </c>
      <c r="Z4" s="9" t="s">
        <v>32</v>
      </c>
      <c r="AA4" s="9" t="s">
        <v>33</v>
      </c>
      <c r="AB4" s="9" t="s">
        <v>34</v>
      </c>
      <c r="AC4" s="9" t="s">
        <v>35</v>
      </c>
      <c r="AD4" s="9" t="s">
        <v>36</v>
      </c>
      <c r="AE4" s="9" t="s">
        <v>37</v>
      </c>
      <c r="AF4" s="9" t="s">
        <v>38</v>
      </c>
      <c r="AG4" s="9" t="s">
        <v>39</v>
      </c>
      <c r="AH4" s="9" t="s">
        <v>40</v>
      </c>
      <c r="AI4" s="9" t="s">
        <v>41</v>
      </c>
      <c r="AJ4" s="9" t="s">
        <v>42</v>
      </c>
      <c r="AK4" s="9" t="s">
        <v>43</v>
      </c>
      <c r="AL4" s="9" t="s">
        <v>44</v>
      </c>
      <c r="AM4" s="9" t="s">
        <v>45</v>
      </c>
      <c r="AN4" s="9">
        <v>13.5</v>
      </c>
      <c r="AO4" s="9" t="s">
        <v>46</v>
      </c>
      <c r="AP4" s="9">
        <v>14.5</v>
      </c>
      <c r="AQ4" s="9" t="s">
        <v>47</v>
      </c>
      <c r="AR4" s="9">
        <v>15.5</v>
      </c>
      <c r="AS4" s="9" t="s">
        <v>48</v>
      </c>
      <c r="AT4" s="9">
        <v>16.5</v>
      </c>
      <c r="AU4" s="9" t="s">
        <v>49</v>
      </c>
      <c r="AV4" s="9">
        <v>17.5</v>
      </c>
      <c r="AW4" s="9" t="s">
        <v>50</v>
      </c>
      <c r="AX4" s="9">
        <v>18.5</v>
      </c>
      <c r="AY4" s="9" t="s">
        <v>51</v>
      </c>
      <c r="AZ4" s="11">
        <v>19.5</v>
      </c>
    </row>
    <row r="5" spans="1:52" s="25" customFormat="1" ht="15" customHeight="1" outlineLevel="2" x14ac:dyDescent="0.45">
      <c r="A5" s="12">
        <v>4509521124</v>
      </c>
      <c r="B5" s="13">
        <v>10</v>
      </c>
      <c r="C5" s="13" t="str">
        <f>+A5&amp;-B5</f>
        <v>4509521124-10</v>
      </c>
      <c r="D5" s="14"/>
      <c r="E5" s="14"/>
      <c r="F5" s="15" t="s">
        <v>4</v>
      </c>
      <c r="G5" s="15">
        <v>1064</v>
      </c>
      <c r="H5" s="15" t="s">
        <v>5</v>
      </c>
      <c r="I5" s="15" t="s">
        <v>10</v>
      </c>
      <c r="J5" s="14"/>
      <c r="K5" s="14">
        <v>45108</v>
      </c>
      <c r="L5" s="16" t="s">
        <v>11</v>
      </c>
      <c r="M5" s="14">
        <v>45080</v>
      </c>
      <c r="N5" s="17" t="str">
        <f>+LEFT(L5,5)</f>
        <v>T3FAV</v>
      </c>
      <c r="O5" s="18" t="s">
        <v>2</v>
      </c>
      <c r="P5" s="19" t="s">
        <v>3</v>
      </c>
      <c r="Q5" s="20" t="s">
        <v>52</v>
      </c>
      <c r="R5" s="21" t="s">
        <v>6</v>
      </c>
      <c r="S5" s="22">
        <f>SUM(T5:AZ5)</f>
        <v>498</v>
      </c>
      <c r="T5" s="22"/>
      <c r="U5" s="22"/>
      <c r="V5" s="22"/>
      <c r="W5" s="23"/>
      <c r="X5" s="23"/>
      <c r="Y5" s="23"/>
      <c r="Z5" s="23"/>
      <c r="AA5" s="23"/>
      <c r="AB5" s="23"/>
      <c r="AC5" s="23"/>
      <c r="AD5" s="23"/>
      <c r="AE5" s="23"/>
      <c r="AF5" s="23">
        <v>498</v>
      </c>
      <c r="AG5" s="23"/>
      <c r="AH5" s="23"/>
      <c r="AI5" s="23"/>
      <c r="AJ5" s="23"/>
      <c r="AK5" s="23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s="26" customFormat="1" ht="15" customHeight="1" outlineLevel="1" x14ac:dyDescent="0.45">
      <c r="A6" s="38"/>
      <c r="B6" s="39"/>
      <c r="C6" s="39"/>
      <c r="D6" s="40"/>
      <c r="E6" s="40"/>
      <c r="F6" s="16"/>
      <c r="G6" s="16"/>
      <c r="H6" s="16"/>
      <c r="I6" s="16"/>
      <c r="J6" s="40"/>
      <c r="K6" s="40"/>
      <c r="L6" s="16"/>
      <c r="M6" s="40"/>
      <c r="N6" s="41" t="s">
        <v>53</v>
      </c>
      <c r="O6" s="42"/>
      <c r="P6" s="43"/>
      <c r="Q6" s="44"/>
      <c r="R6" s="45"/>
      <c r="S6" s="46">
        <f t="shared" ref="S6:AZ6" si="0">SUBTOTAL(9,S5:S5)</f>
        <v>498</v>
      </c>
      <c r="T6" s="46">
        <f t="shared" si="0"/>
        <v>0</v>
      </c>
      <c r="U6" s="46">
        <f t="shared" si="0"/>
        <v>0</v>
      </c>
      <c r="V6" s="46">
        <f t="shared" si="0"/>
        <v>0</v>
      </c>
      <c r="W6" s="46">
        <f t="shared" si="0"/>
        <v>0</v>
      </c>
      <c r="X6" s="46">
        <f t="shared" si="0"/>
        <v>0</v>
      </c>
      <c r="Y6" s="46">
        <f t="shared" si="0"/>
        <v>0</v>
      </c>
      <c r="Z6" s="46">
        <f t="shared" si="0"/>
        <v>0</v>
      </c>
      <c r="AA6" s="46">
        <f t="shared" si="0"/>
        <v>0</v>
      </c>
      <c r="AB6" s="46">
        <f t="shared" si="0"/>
        <v>0</v>
      </c>
      <c r="AC6" s="46">
        <f t="shared" si="0"/>
        <v>0</v>
      </c>
      <c r="AD6" s="46">
        <f t="shared" si="0"/>
        <v>0</v>
      </c>
      <c r="AE6" s="46">
        <f t="shared" si="0"/>
        <v>0</v>
      </c>
      <c r="AF6" s="46">
        <f t="shared" si="0"/>
        <v>498</v>
      </c>
      <c r="AG6" s="46">
        <f t="shared" si="0"/>
        <v>0</v>
      </c>
      <c r="AH6" s="46">
        <f t="shared" si="0"/>
        <v>0</v>
      </c>
      <c r="AI6" s="46">
        <f t="shared" si="0"/>
        <v>0</v>
      </c>
      <c r="AJ6" s="46">
        <f t="shared" si="0"/>
        <v>0</v>
      </c>
      <c r="AK6" s="46">
        <f t="shared" si="0"/>
        <v>0</v>
      </c>
      <c r="AL6" s="46">
        <f t="shared" si="0"/>
        <v>0</v>
      </c>
      <c r="AM6" s="46">
        <f t="shared" si="0"/>
        <v>0</v>
      </c>
      <c r="AN6" s="46">
        <f t="shared" si="0"/>
        <v>0</v>
      </c>
      <c r="AO6" s="46">
        <f t="shared" si="0"/>
        <v>0</v>
      </c>
      <c r="AP6" s="46">
        <f t="shared" si="0"/>
        <v>0</v>
      </c>
      <c r="AQ6" s="46">
        <f t="shared" si="0"/>
        <v>0</v>
      </c>
      <c r="AR6" s="46">
        <f t="shared" si="0"/>
        <v>0</v>
      </c>
      <c r="AS6" s="46">
        <f t="shared" si="0"/>
        <v>0</v>
      </c>
      <c r="AT6" s="46">
        <f t="shared" si="0"/>
        <v>0</v>
      </c>
      <c r="AU6" s="46">
        <f t="shared" si="0"/>
        <v>0</v>
      </c>
      <c r="AV6" s="46">
        <f t="shared" si="0"/>
        <v>0</v>
      </c>
      <c r="AW6" s="46">
        <f t="shared" si="0"/>
        <v>0</v>
      </c>
      <c r="AX6" s="46">
        <f t="shared" si="0"/>
        <v>0</v>
      </c>
      <c r="AY6" s="46">
        <f t="shared" si="0"/>
        <v>0</v>
      </c>
      <c r="AZ6" s="46">
        <f t="shared" si="0"/>
        <v>0</v>
      </c>
    </row>
    <row r="7" spans="1:52" s="25" customFormat="1" ht="15" customHeight="1" outlineLevel="2" x14ac:dyDescent="0.45">
      <c r="A7" s="12">
        <v>4509525847</v>
      </c>
      <c r="B7" s="13">
        <v>10</v>
      </c>
      <c r="C7" s="13" t="s">
        <v>56</v>
      </c>
      <c r="D7" s="14"/>
      <c r="E7" s="14"/>
      <c r="F7" s="15" t="s">
        <v>4</v>
      </c>
      <c r="G7" s="15">
        <v>1064</v>
      </c>
      <c r="H7" s="15" t="s">
        <v>5</v>
      </c>
      <c r="I7" s="15" t="s">
        <v>10</v>
      </c>
      <c r="J7" s="14"/>
      <c r="K7" s="14">
        <v>45115</v>
      </c>
      <c r="L7" s="16" t="s">
        <v>57</v>
      </c>
      <c r="M7" s="14">
        <v>45088</v>
      </c>
      <c r="N7" s="17" t="s">
        <v>58</v>
      </c>
      <c r="O7" s="18" t="s">
        <v>2</v>
      </c>
      <c r="P7" s="19" t="s">
        <v>3</v>
      </c>
      <c r="Q7" s="20" t="s">
        <v>60</v>
      </c>
      <c r="R7" s="21" t="s">
        <v>6</v>
      </c>
      <c r="S7" s="22">
        <f>SUM(T7:AZ7)</f>
        <v>1494</v>
      </c>
      <c r="T7" s="22"/>
      <c r="U7" s="22"/>
      <c r="V7" s="22"/>
      <c r="W7" s="23"/>
      <c r="X7" s="23">
        <v>498</v>
      </c>
      <c r="Y7" s="23"/>
      <c r="Z7" s="23"/>
      <c r="AA7" s="23"/>
      <c r="AB7" s="23"/>
      <c r="AC7" s="23"/>
      <c r="AD7" s="23"/>
      <c r="AE7" s="23">
        <v>498</v>
      </c>
      <c r="AF7" s="23"/>
      <c r="AG7" s="23"/>
      <c r="AH7" s="23"/>
      <c r="AI7" s="23"/>
      <c r="AJ7" s="23">
        <v>498</v>
      </c>
      <c r="AK7" s="23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 s="26" customFormat="1" ht="15" customHeight="1" outlineLevel="1" x14ac:dyDescent="0.45">
      <c r="A8" s="38"/>
      <c r="B8" s="39"/>
      <c r="C8" s="39"/>
      <c r="D8" s="40"/>
      <c r="E8" s="40"/>
      <c r="F8" s="16"/>
      <c r="G8" s="16"/>
      <c r="H8" s="16"/>
      <c r="I8" s="16"/>
      <c r="J8" s="40"/>
      <c r="K8" s="40"/>
      <c r="L8" s="16"/>
      <c r="M8" s="40"/>
      <c r="N8" s="41" t="s">
        <v>59</v>
      </c>
      <c r="O8" s="42"/>
      <c r="P8" s="43"/>
      <c r="Q8" s="44"/>
      <c r="R8" s="45"/>
      <c r="S8" s="46">
        <f t="shared" ref="S8:AZ8" si="1">SUBTOTAL(9,S7:S7)</f>
        <v>1494</v>
      </c>
      <c r="T8" s="46">
        <f t="shared" si="1"/>
        <v>0</v>
      </c>
      <c r="U8" s="46">
        <f t="shared" si="1"/>
        <v>0</v>
      </c>
      <c r="V8" s="46">
        <f t="shared" si="1"/>
        <v>0</v>
      </c>
      <c r="W8" s="46">
        <f t="shared" si="1"/>
        <v>0</v>
      </c>
      <c r="X8" s="46">
        <f t="shared" si="1"/>
        <v>498</v>
      </c>
      <c r="Y8" s="46">
        <f t="shared" si="1"/>
        <v>0</v>
      </c>
      <c r="Z8" s="46">
        <f t="shared" si="1"/>
        <v>0</v>
      </c>
      <c r="AA8" s="46">
        <f t="shared" si="1"/>
        <v>0</v>
      </c>
      <c r="AB8" s="46">
        <f t="shared" si="1"/>
        <v>0</v>
      </c>
      <c r="AC8" s="46">
        <f t="shared" si="1"/>
        <v>0</v>
      </c>
      <c r="AD8" s="46">
        <f t="shared" si="1"/>
        <v>0</v>
      </c>
      <c r="AE8" s="46">
        <f t="shared" si="1"/>
        <v>498</v>
      </c>
      <c r="AF8" s="46">
        <f t="shared" si="1"/>
        <v>0</v>
      </c>
      <c r="AG8" s="46">
        <f t="shared" si="1"/>
        <v>0</v>
      </c>
      <c r="AH8" s="46">
        <f t="shared" si="1"/>
        <v>0</v>
      </c>
      <c r="AI8" s="46">
        <f t="shared" si="1"/>
        <v>0</v>
      </c>
      <c r="AJ8" s="46">
        <f t="shared" si="1"/>
        <v>498</v>
      </c>
      <c r="AK8" s="46">
        <f t="shared" si="1"/>
        <v>0</v>
      </c>
      <c r="AL8" s="46">
        <f t="shared" si="1"/>
        <v>0</v>
      </c>
      <c r="AM8" s="46">
        <f t="shared" si="1"/>
        <v>0</v>
      </c>
      <c r="AN8" s="46">
        <f t="shared" si="1"/>
        <v>0</v>
      </c>
      <c r="AO8" s="46">
        <f t="shared" si="1"/>
        <v>0</v>
      </c>
      <c r="AP8" s="46">
        <f t="shared" si="1"/>
        <v>0</v>
      </c>
      <c r="AQ8" s="46">
        <f t="shared" si="1"/>
        <v>0</v>
      </c>
      <c r="AR8" s="46">
        <f t="shared" si="1"/>
        <v>0</v>
      </c>
      <c r="AS8" s="46">
        <f t="shared" si="1"/>
        <v>0</v>
      </c>
      <c r="AT8" s="46">
        <f t="shared" si="1"/>
        <v>0</v>
      </c>
      <c r="AU8" s="46">
        <f t="shared" si="1"/>
        <v>0</v>
      </c>
      <c r="AV8" s="46">
        <f t="shared" si="1"/>
        <v>0</v>
      </c>
      <c r="AW8" s="46">
        <f t="shared" si="1"/>
        <v>0</v>
      </c>
      <c r="AX8" s="46">
        <f t="shared" si="1"/>
        <v>0</v>
      </c>
      <c r="AY8" s="46">
        <f t="shared" si="1"/>
        <v>0</v>
      </c>
      <c r="AZ8" s="46">
        <f t="shared" si="1"/>
        <v>0</v>
      </c>
    </row>
    <row r="9" spans="1:52" s="25" customFormat="1" ht="15" customHeight="1" outlineLevel="2" x14ac:dyDescent="0.45">
      <c r="A9" s="12">
        <v>4509541339</v>
      </c>
      <c r="B9" s="13">
        <v>10</v>
      </c>
      <c r="C9" s="13" t="s">
        <v>606</v>
      </c>
      <c r="D9" s="14"/>
      <c r="E9" s="14"/>
      <c r="F9" s="15" t="s">
        <v>4</v>
      </c>
      <c r="G9" s="15">
        <v>1064</v>
      </c>
      <c r="H9" s="15" t="s">
        <v>5</v>
      </c>
      <c r="I9" s="15" t="s">
        <v>10</v>
      </c>
      <c r="J9" s="14"/>
      <c r="K9" s="14">
        <v>45122</v>
      </c>
      <c r="L9" s="16" t="s">
        <v>607</v>
      </c>
      <c r="M9" s="14">
        <v>45094</v>
      </c>
      <c r="N9" s="17" t="str">
        <f>+LEFT(L9,5)</f>
        <v>T3GDV</v>
      </c>
      <c r="O9" s="18" t="s">
        <v>2</v>
      </c>
      <c r="P9" s="19" t="s">
        <v>3</v>
      </c>
      <c r="Q9" s="20" t="s">
        <v>608</v>
      </c>
      <c r="R9" s="21" t="s">
        <v>6</v>
      </c>
      <c r="S9" s="22">
        <f>SUM(T9:AZ9)</f>
        <v>996</v>
      </c>
      <c r="T9" s="22"/>
      <c r="U9" s="22"/>
      <c r="V9" s="22"/>
      <c r="W9" s="23"/>
      <c r="X9" s="23">
        <v>498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>
        <v>498</v>
      </c>
      <c r="AK9" s="23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 s="26" customFormat="1" ht="15" customHeight="1" outlineLevel="1" x14ac:dyDescent="0.45">
      <c r="A10" s="38"/>
      <c r="B10" s="39"/>
      <c r="C10" s="39"/>
      <c r="D10" s="40"/>
      <c r="E10" s="40"/>
      <c r="F10" s="16"/>
      <c r="G10" s="16"/>
      <c r="H10" s="16"/>
      <c r="I10" s="16"/>
      <c r="J10" s="40"/>
      <c r="K10" s="40"/>
      <c r="L10" s="16"/>
      <c r="M10" s="40"/>
      <c r="N10" s="41" t="s">
        <v>609</v>
      </c>
      <c r="O10" s="42"/>
      <c r="P10" s="43"/>
      <c r="Q10" s="44"/>
      <c r="R10" s="45"/>
      <c r="S10" s="46">
        <f t="shared" ref="S10:AZ10" si="2">SUBTOTAL(9,S9:S9)</f>
        <v>996</v>
      </c>
      <c r="T10" s="46">
        <f t="shared" si="2"/>
        <v>0</v>
      </c>
      <c r="U10" s="46">
        <f t="shared" si="2"/>
        <v>0</v>
      </c>
      <c r="V10" s="46">
        <f t="shared" si="2"/>
        <v>0</v>
      </c>
      <c r="W10" s="46">
        <f t="shared" si="2"/>
        <v>0</v>
      </c>
      <c r="X10" s="46">
        <f t="shared" si="2"/>
        <v>498</v>
      </c>
      <c r="Y10" s="46">
        <f t="shared" si="2"/>
        <v>0</v>
      </c>
      <c r="Z10" s="46">
        <f t="shared" si="2"/>
        <v>0</v>
      </c>
      <c r="AA10" s="46">
        <f t="shared" si="2"/>
        <v>0</v>
      </c>
      <c r="AB10" s="46">
        <f t="shared" si="2"/>
        <v>0</v>
      </c>
      <c r="AC10" s="46">
        <f t="shared" si="2"/>
        <v>0</v>
      </c>
      <c r="AD10" s="46">
        <f t="shared" si="2"/>
        <v>0</v>
      </c>
      <c r="AE10" s="46">
        <f t="shared" si="2"/>
        <v>0</v>
      </c>
      <c r="AF10" s="46">
        <f t="shared" si="2"/>
        <v>0</v>
      </c>
      <c r="AG10" s="46">
        <f t="shared" si="2"/>
        <v>0</v>
      </c>
      <c r="AH10" s="46">
        <f t="shared" si="2"/>
        <v>0</v>
      </c>
      <c r="AI10" s="46">
        <f t="shared" si="2"/>
        <v>0</v>
      </c>
      <c r="AJ10" s="46">
        <f t="shared" si="2"/>
        <v>498</v>
      </c>
      <c r="AK10" s="46">
        <f t="shared" si="2"/>
        <v>0</v>
      </c>
      <c r="AL10" s="46">
        <f t="shared" si="2"/>
        <v>0</v>
      </c>
      <c r="AM10" s="46">
        <f t="shared" si="2"/>
        <v>0</v>
      </c>
      <c r="AN10" s="46">
        <f t="shared" si="2"/>
        <v>0</v>
      </c>
      <c r="AO10" s="46">
        <f t="shared" si="2"/>
        <v>0</v>
      </c>
      <c r="AP10" s="46">
        <f t="shared" si="2"/>
        <v>0</v>
      </c>
      <c r="AQ10" s="46">
        <f t="shared" si="2"/>
        <v>0</v>
      </c>
      <c r="AR10" s="46">
        <f t="shared" si="2"/>
        <v>0</v>
      </c>
      <c r="AS10" s="46">
        <f t="shared" si="2"/>
        <v>0</v>
      </c>
      <c r="AT10" s="46">
        <f t="shared" si="2"/>
        <v>0</v>
      </c>
      <c r="AU10" s="46">
        <f t="shared" si="2"/>
        <v>0</v>
      </c>
      <c r="AV10" s="46">
        <f t="shared" si="2"/>
        <v>0</v>
      </c>
      <c r="AW10" s="46">
        <f t="shared" si="2"/>
        <v>0</v>
      </c>
      <c r="AX10" s="46">
        <f t="shared" si="2"/>
        <v>0</v>
      </c>
      <c r="AY10" s="46">
        <f t="shared" si="2"/>
        <v>0</v>
      </c>
      <c r="AZ10" s="46">
        <f t="shared" si="2"/>
        <v>0</v>
      </c>
    </row>
    <row r="11" spans="1:52" s="25" customFormat="1" ht="15" customHeight="1" outlineLevel="2" x14ac:dyDescent="0.45">
      <c r="A11" s="12">
        <v>4509544240</v>
      </c>
      <c r="B11" s="13">
        <v>10</v>
      </c>
      <c r="C11" s="13" t="s">
        <v>668</v>
      </c>
      <c r="D11" s="14"/>
      <c r="E11" s="14"/>
      <c r="F11" s="15" t="s">
        <v>4</v>
      </c>
      <c r="G11" s="15">
        <v>1064</v>
      </c>
      <c r="H11" s="15" t="s">
        <v>5</v>
      </c>
      <c r="I11" s="15" t="s">
        <v>10</v>
      </c>
      <c r="J11" s="14"/>
      <c r="K11" s="14">
        <v>45129</v>
      </c>
      <c r="L11" s="16" t="s">
        <v>669</v>
      </c>
      <c r="M11" s="14">
        <v>45101</v>
      </c>
      <c r="N11" s="17" t="s">
        <v>670</v>
      </c>
      <c r="O11" s="18" t="s">
        <v>2</v>
      </c>
      <c r="P11" s="19" t="s">
        <v>3</v>
      </c>
      <c r="Q11" s="20" t="s">
        <v>672</v>
      </c>
      <c r="R11" s="21" t="s">
        <v>6</v>
      </c>
      <c r="S11" s="22">
        <f>SUM(T11:AZ11)</f>
        <v>996</v>
      </c>
      <c r="T11" s="22"/>
      <c r="U11" s="22"/>
      <c r="V11" s="22"/>
      <c r="W11" s="23"/>
      <c r="X11" s="23">
        <v>498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>
        <v>498</v>
      </c>
      <c r="AK11" s="23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s="26" customFormat="1" ht="15" customHeight="1" outlineLevel="1" x14ac:dyDescent="0.45">
      <c r="A12" s="38"/>
      <c r="B12" s="39"/>
      <c r="C12" s="39"/>
      <c r="D12" s="40"/>
      <c r="E12" s="40"/>
      <c r="F12" s="16"/>
      <c r="G12" s="16"/>
      <c r="H12" s="16"/>
      <c r="I12" s="16"/>
      <c r="J12" s="40"/>
      <c r="K12" s="40"/>
      <c r="L12" s="16"/>
      <c r="M12" s="40"/>
      <c r="N12" s="41" t="s">
        <v>671</v>
      </c>
      <c r="O12" s="42"/>
      <c r="P12" s="43"/>
      <c r="Q12" s="44"/>
      <c r="R12" s="45"/>
      <c r="S12" s="46">
        <f>SUBTOTAL(9,S11:S11)</f>
        <v>996</v>
      </c>
      <c r="T12" s="46">
        <f t="shared" ref="T12:AZ12" si="3">SUBTOTAL(9,T11:T11)</f>
        <v>0</v>
      </c>
      <c r="U12" s="46">
        <f t="shared" si="3"/>
        <v>0</v>
      </c>
      <c r="V12" s="46">
        <f t="shared" si="3"/>
        <v>0</v>
      </c>
      <c r="W12" s="46">
        <f t="shared" si="3"/>
        <v>0</v>
      </c>
      <c r="X12" s="46">
        <f>SUBTOTAL(9,X11:X11)</f>
        <v>498</v>
      </c>
      <c r="Y12" s="46">
        <f t="shared" si="3"/>
        <v>0</v>
      </c>
      <c r="Z12" s="46">
        <f t="shared" si="3"/>
        <v>0</v>
      </c>
      <c r="AA12" s="46">
        <f t="shared" si="3"/>
        <v>0</v>
      </c>
      <c r="AB12" s="46">
        <f t="shared" si="3"/>
        <v>0</v>
      </c>
      <c r="AC12" s="46">
        <f t="shared" si="3"/>
        <v>0</v>
      </c>
      <c r="AD12" s="46">
        <f t="shared" si="3"/>
        <v>0</v>
      </c>
      <c r="AE12" s="46">
        <f t="shared" si="3"/>
        <v>0</v>
      </c>
      <c r="AF12" s="46">
        <f t="shared" si="3"/>
        <v>0</v>
      </c>
      <c r="AG12" s="46">
        <f t="shared" si="3"/>
        <v>0</v>
      </c>
      <c r="AH12" s="46">
        <f t="shared" si="3"/>
        <v>0</v>
      </c>
      <c r="AI12" s="46">
        <f t="shared" si="3"/>
        <v>0</v>
      </c>
      <c r="AJ12" s="46">
        <f>SUBTOTAL(9,AJ11:AJ11)</f>
        <v>498</v>
      </c>
      <c r="AK12" s="46">
        <f t="shared" si="3"/>
        <v>0</v>
      </c>
      <c r="AL12" s="46">
        <f t="shared" si="3"/>
        <v>0</v>
      </c>
      <c r="AM12" s="46">
        <f t="shared" si="3"/>
        <v>0</v>
      </c>
      <c r="AN12" s="46">
        <f t="shared" si="3"/>
        <v>0</v>
      </c>
      <c r="AO12" s="46">
        <f t="shared" si="3"/>
        <v>0</v>
      </c>
      <c r="AP12" s="46">
        <f t="shared" si="3"/>
        <v>0</v>
      </c>
      <c r="AQ12" s="46">
        <f t="shared" si="3"/>
        <v>0</v>
      </c>
      <c r="AR12" s="46">
        <f t="shared" si="3"/>
        <v>0</v>
      </c>
      <c r="AS12" s="46">
        <f t="shared" si="3"/>
        <v>0</v>
      </c>
      <c r="AT12" s="46">
        <f t="shared" si="3"/>
        <v>0</v>
      </c>
      <c r="AU12" s="46">
        <f t="shared" si="3"/>
        <v>0</v>
      </c>
      <c r="AV12" s="46">
        <f t="shared" si="3"/>
        <v>0</v>
      </c>
      <c r="AW12" s="46">
        <f t="shared" si="3"/>
        <v>0</v>
      </c>
      <c r="AX12" s="46">
        <f t="shared" si="3"/>
        <v>0</v>
      </c>
      <c r="AY12" s="46">
        <f t="shared" si="3"/>
        <v>0</v>
      </c>
      <c r="AZ12" s="46">
        <f t="shared" si="3"/>
        <v>0</v>
      </c>
    </row>
    <row r="13" spans="1:52" s="36" customFormat="1" ht="15" customHeight="1" x14ac:dyDescent="0.45">
      <c r="A13" s="27"/>
      <c r="B13" s="27"/>
      <c r="C13" s="27"/>
      <c r="D13" s="28"/>
      <c r="E13" s="28"/>
      <c r="F13" s="29"/>
      <c r="G13" s="29"/>
      <c r="H13" s="29"/>
      <c r="I13" s="29"/>
      <c r="J13" s="28"/>
      <c r="K13" s="28"/>
      <c r="L13" s="29"/>
      <c r="M13" s="28"/>
      <c r="N13" s="30" t="s">
        <v>54</v>
      </c>
      <c r="O13" s="31"/>
      <c r="P13" s="32"/>
      <c r="Q13" s="33"/>
      <c r="R13" s="34"/>
      <c r="S13" s="35">
        <f>SUBTOTAL(9,S5:S12)</f>
        <v>3984</v>
      </c>
      <c r="T13" s="35">
        <f t="shared" ref="T13:AZ13" si="4">SUBTOTAL(9,T5:T12)</f>
        <v>0</v>
      </c>
      <c r="U13" s="35">
        <f t="shared" si="4"/>
        <v>0</v>
      </c>
      <c r="V13" s="35">
        <f t="shared" si="4"/>
        <v>0</v>
      </c>
      <c r="W13" s="35">
        <f t="shared" si="4"/>
        <v>0</v>
      </c>
      <c r="X13" s="35">
        <f t="shared" si="4"/>
        <v>1494</v>
      </c>
      <c r="Y13" s="35">
        <f t="shared" si="4"/>
        <v>0</v>
      </c>
      <c r="Z13" s="35">
        <f t="shared" si="4"/>
        <v>0</v>
      </c>
      <c r="AA13" s="35">
        <f t="shared" si="4"/>
        <v>0</v>
      </c>
      <c r="AB13" s="35">
        <f t="shared" si="4"/>
        <v>0</v>
      </c>
      <c r="AC13" s="35">
        <f t="shared" si="4"/>
        <v>0</v>
      </c>
      <c r="AD13" s="35">
        <f t="shared" si="4"/>
        <v>0</v>
      </c>
      <c r="AE13" s="35">
        <f t="shared" si="4"/>
        <v>498</v>
      </c>
      <c r="AF13" s="35">
        <f>SUBTOTAL(9,AF5:AF12)</f>
        <v>498</v>
      </c>
      <c r="AG13" s="35">
        <f t="shared" si="4"/>
        <v>0</v>
      </c>
      <c r="AH13" s="35">
        <f t="shared" si="4"/>
        <v>0</v>
      </c>
      <c r="AI13" s="35">
        <f t="shared" si="4"/>
        <v>0</v>
      </c>
      <c r="AJ13" s="35">
        <f>SUBTOTAL(9,AJ5:AJ12)</f>
        <v>1494</v>
      </c>
      <c r="AK13" s="35">
        <f t="shared" si="4"/>
        <v>0</v>
      </c>
      <c r="AL13" s="35">
        <f t="shared" si="4"/>
        <v>0</v>
      </c>
      <c r="AM13" s="35">
        <f t="shared" si="4"/>
        <v>0</v>
      </c>
      <c r="AN13" s="35">
        <f t="shared" si="4"/>
        <v>0</v>
      </c>
      <c r="AO13" s="35">
        <f t="shared" si="4"/>
        <v>0</v>
      </c>
      <c r="AP13" s="35">
        <f t="shared" si="4"/>
        <v>0</v>
      </c>
      <c r="AQ13" s="35">
        <f t="shared" si="4"/>
        <v>0</v>
      </c>
      <c r="AR13" s="35">
        <f t="shared" si="4"/>
        <v>0</v>
      </c>
      <c r="AS13" s="35">
        <f t="shared" si="4"/>
        <v>0</v>
      </c>
      <c r="AT13" s="35">
        <f t="shared" si="4"/>
        <v>0</v>
      </c>
      <c r="AU13" s="35">
        <f t="shared" si="4"/>
        <v>0</v>
      </c>
      <c r="AV13" s="35">
        <f t="shared" si="4"/>
        <v>0</v>
      </c>
      <c r="AW13" s="35">
        <f t="shared" si="4"/>
        <v>0</v>
      </c>
      <c r="AX13" s="35">
        <f t="shared" si="4"/>
        <v>0</v>
      </c>
      <c r="AY13" s="35">
        <f t="shared" si="4"/>
        <v>0</v>
      </c>
      <c r="AZ13" s="35">
        <f t="shared" si="4"/>
        <v>0</v>
      </c>
    </row>
  </sheetData>
  <mergeCells count="1">
    <mergeCell ref="A2:AZ2"/>
  </mergeCells>
  <conditionalFormatting sqref="L4">
    <cfRule type="duplicateValues" dxfId="163" priority="172"/>
  </conditionalFormatting>
  <conditionalFormatting sqref="M4">
    <cfRule type="duplicateValues" dxfId="162" priority="171"/>
  </conditionalFormatting>
  <conditionalFormatting sqref="L4">
    <cfRule type="duplicateValues" dxfId="161" priority="170"/>
  </conditionalFormatting>
  <conditionalFormatting sqref="L4">
    <cfRule type="duplicateValues" dxfId="160" priority="169"/>
  </conditionalFormatting>
  <conditionalFormatting sqref="L4">
    <cfRule type="duplicateValues" dxfId="159" priority="168"/>
  </conditionalFormatting>
  <conditionalFormatting sqref="C4">
    <cfRule type="duplicateValues" dxfId="158" priority="173"/>
    <cfRule type="duplicateValues" dxfId="157" priority="174"/>
  </conditionalFormatting>
  <conditionalFormatting sqref="C4">
    <cfRule type="duplicateValues" dxfId="156" priority="175"/>
  </conditionalFormatting>
  <conditionalFormatting sqref="W4:AK4">
    <cfRule type="duplicateValues" dxfId="155" priority="176"/>
  </conditionalFormatting>
  <conditionalFormatting sqref="C4">
    <cfRule type="duplicateValues" dxfId="154" priority="167"/>
  </conditionalFormatting>
  <conditionalFormatting sqref="L4">
    <cfRule type="duplicateValues" dxfId="153" priority="166"/>
  </conditionalFormatting>
  <conditionalFormatting sqref="C4">
    <cfRule type="duplicateValues" dxfId="152" priority="165"/>
  </conditionalFormatting>
  <conditionalFormatting sqref="L4">
    <cfRule type="duplicateValues" dxfId="151" priority="164"/>
  </conditionalFormatting>
  <conditionalFormatting sqref="C4">
    <cfRule type="duplicateValues" dxfId="150" priority="163"/>
  </conditionalFormatting>
  <conditionalFormatting sqref="L4">
    <cfRule type="duplicateValues" dxfId="149" priority="162"/>
  </conditionalFormatting>
  <conditionalFormatting sqref="C4">
    <cfRule type="duplicateValues" dxfId="148" priority="161"/>
  </conditionalFormatting>
  <conditionalFormatting sqref="L4">
    <cfRule type="duplicateValues" dxfId="147" priority="160"/>
  </conditionalFormatting>
  <conditionalFormatting sqref="C4">
    <cfRule type="duplicateValues" dxfId="146" priority="159"/>
  </conditionalFormatting>
  <conditionalFormatting sqref="L4">
    <cfRule type="duplicateValues" dxfId="145" priority="158"/>
  </conditionalFormatting>
  <conditionalFormatting sqref="C4">
    <cfRule type="duplicateValues" dxfId="144" priority="157"/>
  </conditionalFormatting>
  <conditionalFormatting sqref="L4">
    <cfRule type="duplicateValues" dxfId="143" priority="156"/>
  </conditionalFormatting>
  <conditionalFormatting sqref="C4">
    <cfRule type="duplicateValues" dxfId="142" priority="155"/>
  </conditionalFormatting>
  <conditionalFormatting sqref="C4">
    <cfRule type="duplicateValues" dxfId="141" priority="154"/>
  </conditionalFormatting>
  <conditionalFormatting sqref="C4">
    <cfRule type="duplicateValues" dxfId="140" priority="153"/>
  </conditionalFormatting>
  <conditionalFormatting sqref="C4">
    <cfRule type="duplicateValues" dxfId="139" priority="152"/>
  </conditionalFormatting>
  <conditionalFormatting sqref="C4">
    <cfRule type="duplicateValues" dxfId="138" priority="151"/>
  </conditionalFormatting>
  <conditionalFormatting sqref="C4">
    <cfRule type="duplicateValues" dxfId="137" priority="150"/>
  </conditionalFormatting>
  <conditionalFormatting sqref="C4">
    <cfRule type="duplicateValues" dxfId="136" priority="149"/>
  </conditionalFormatting>
  <conditionalFormatting sqref="C4">
    <cfRule type="duplicateValues" dxfId="135" priority="148"/>
  </conditionalFormatting>
  <conditionalFormatting sqref="C4">
    <cfRule type="duplicateValues" dxfId="134" priority="147"/>
  </conditionalFormatting>
  <conditionalFormatting sqref="C4">
    <cfRule type="duplicateValues" dxfId="133" priority="146"/>
  </conditionalFormatting>
  <conditionalFormatting sqref="A4:XFD4">
    <cfRule type="duplicateValues" dxfId="132" priority="177"/>
  </conditionalFormatting>
  <conditionalFormatting sqref="K5 K13">
    <cfRule type="expression" dxfId="131" priority="133" stopIfTrue="1">
      <formula>AND(COUNTIF($K$23608:$K$23608, K5)&gt;1,NOT(ISBLANK(K5)))</formula>
    </cfRule>
  </conditionalFormatting>
  <conditionalFormatting sqref="K5 K13">
    <cfRule type="expression" dxfId="130" priority="134" stopIfTrue="1">
      <formula>AND(COUNTIF(#REF!, K5)+COUNTIF($K$27003:$K$27009, K5)+COUNTIF($K$27082:$K$27082, K5)+COUNTIF($K$27106:$K$27106, K5)+COUNTIF($K$27047:$K$27051, K5)+COUNTIF($K$27102:$K$27102, K5)+COUNTIF($K$27067:$K$27067, K5)+COUNTIF($K$27076:$K$27076, K5)+COUNTIF($K$27088:$K$27090, K5)+COUNTIF($K$26961:$K$26966, K5)+COUNTIF($K$27096:$K$27096, K5)+COUNTIF($K$27094:$K$27094, K5)+COUNTIF($K$27100:$K$27100, K5)+COUNTIF($K$27064:$K$27065, K5)+COUNTIF($K$27074:$K$27074, K5)+COUNTIF($K$27079:$K$27079, K5)+COUNTIF($K$26817:$K$26820, K5)+COUNTIF($K$26858:$K$26865, K5)+COUNTIF($K$26871:$K$26874, K5)+COUNTIF($K$26876:$K$26883, K5)+COUNTIF($K$26762:$K$26771, K5)+COUNTIF($K$26797:$K$26801, K5)+COUNTIF($K$26495:$K$26508, K5)+COUNTIF($K$26351:$K$26369, K5)+COUNTIF($K$26468:$K$26474, K5)+COUNTIF($K$26417:$K$26428, K5)+COUNTIF($K$26437:$K$26439, K5)+COUNTIF($K$26457:$K$26460, K5)+COUNTIF($K$26371:$K$26397, K5)+COUNTIF($K$23573:$K$26307, K5)+COUNTIF($K$26325:$K$26333, K5)+COUNTIF($K$26477:$K$26480, K5)+COUNTIF($K$26823:$K$26824, K5)+COUNTIF($K$26969:$K$26970, K5)+COUNTIF($K$27012:$K$27019, K5)+COUNTIF($K$26898:$K$26904, K5)+COUNTIF($K$26886:$K$26893, K5)&gt;1,NOT(ISBLANK(K5)))</formula>
    </cfRule>
  </conditionalFormatting>
  <conditionalFormatting sqref="K5 K13">
    <cfRule type="expression" dxfId="129" priority="135" stopIfTrue="1">
      <formula>AND(COUNTIF(#REF!, K5)+COUNTIF($K$26646:$K$26652, K5)+COUNTIF($K$26725:$K$26725, K5)+COUNTIF($K$26749:$K$26749, K5)+COUNTIF($K$26690:$K$26694, K5)+COUNTIF($K$26745:$K$26745, K5)+COUNTIF($K$26710:$K$26710, K5)+COUNTIF($K$26719:$K$26719, K5)+COUNTIF($K$26731:$K$26733, K5)+COUNTIF($K$26604:$K$26609, K5)+COUNTIF($K$26739:$K$26739, K5)+COUNTIF($K$26737:$K$26737, K5)+COUNTIF($K$26743:$K$26743, K5)+COUNTIF($K$26707:$K$26708, K5)+COUNTIF($K$26717:$K$26717, K5)+COUNTIF($K$26722:$K$26722, K5)+COUNTIF($K$26460:$K$26463, K5)+COUNTIF($K$26501:$K$26508, K5)+COUNTIF($K$26514:$K$26517, K5)+COUNTIF($K$26519:$K$26526, K5)+COUNTIF($K$26405:$K$26414, K5)+COUNTIF($K$26440:$K$26444, K5)+COUNTIF($K$26138:$K$26151, K5)+COUNTIF($K$25994:$K$26012, K5)+COUNTIF($K$26111:$K$26117, K5)+COUNTIF($K$26060:$K$26071, K5)+COUNTIF($K$26080:$K$26082, K5)+COUNTIF($K$26100:$K$26103, K5)+COUNTIF($K$26014:$K$26040, K5)+COUNTIF($K$23573:$K$25950, K5)+COUNTIF($K$25968:$K$25976, K5)+COUNTIF($K$26120:$K$26123, K5)+COUNTIF($K$26466:$K$26467, K5)+COUNTIF($K$26612:$K$26613, K5)+COUNTIF($K$26655:$K$26662, K5)+COUNTIF($K$26541:$K$26547, K5)+COUNTIF($K$26529:$K$26536, K5)&gt;1,NOT(ISBLANK(K5)))</formula>
    </cfRule>
  </conditionalFormatting>
  <conditionalFormatting sqref="L5 L13">
    <cfRule type="expression" dxfId="128" priority="136" stopIfTrue="1">
      <formula>AND(COUNTIF($K$22833:$K$22833, L5)&gt;1,NOT(ISBLANK(L5)))</formula>
    </cfRule>
  </conditionalFormatting>
  <conditionalFormatting sqref="L5 L13">
    <cfRule type="expression" dxfId="127" priority="137" stopIfTrue="1">
      <formula>AND(COUNTIF(#REF!, L5)+COUNTIF($K$26228:$K$26234, L5)+COUNTIF($K$26307:$K$26307, L5)+COUNTIF($K$26331:$K$26331, L5)+COUNTIF($K$26272:$K$26276, L5)+COUNTIF($K$26327:$K$26327, L5)+COUNTIF($K$26292:$K$26292, L5)+COUNTIF($K$26301:$K$26301, L5)+COUNTIF($K$26313:$K$26315, L5)+COUNTIF($K$26186:$K$26191, L5)+COUNTIF($K$26321:$K$26321, L5)+COUNTIF($K$26319:$K$26319, L5)+COUNTIF($K$26325:$K$26325, L5)+COUNTIF($K$26289:$K$26290, L5)+COUNTIF($K$26299:$K$26299, L5)+COUNTIF($K$26304:$K$26304, L5)+COUNTIF($K$26042:$K$26045, L5)+COUNTIF($K$26083:$K$26090, L5)+COUNTIF($K$26096:$K$26099, L5)+COUNTIF($K$26101:$K$26108, L5)+COUNTIF($K$25987:$K$25996, L5)+COUNTIF($K$26022:$K$26026, L5)+COUNTIF($K$25720:$K$25733, L5)+COUNTIF($K$25576:$K$25594, L5)+COUNTIF($K$25693:$K$25699, L5)+COUNTIF($K$25642:$K$25653, L5)+COUNTIF($K$25662:$K$25664, L5)+COUNTIF($K$25682:$K$25685, L5)+COUNTIF($K$25596:$K$25622, L5)+COUNTIF($K$22798:$K$25532, L5)+COUNTIF($K$25550:$K$25558, L5)+COUNTIF($K$25702:$K$25705, L5)+COUNTIF($K$26048:$K$26049, L5)+COUNTIF($K$26194:$K$26195, L5)+COUNTIF($K$26237:$K$26244, L5)+COUNTIF($K$26123:$K$26129, L5)+COUNTIF($K$26111:$K$26118, L5)&gt;1,NOT(ISBLANK(L5)))</formula>
    </cfRule>
  </conditionalFormatting>
  <conditionalFormatting sqref="L5 L13">
    <cfRule type="expression" dxfId="126" priority="138" stopIfTrue="1">
      <formula>AND(COUNTIF(#REF!, L5)+COUNTIF($K$25871:$K$25877, L5)+COUNTIF($K$25950:$K$25950, L5)+COUNTIF($K$25974:$K$25974, L5)+COUNTIF($K$25915:$K$25919, L5)+COUNTIF($K$25970:$K$25970, L5)+COUNTIF($K$25935:$K$25935, L5)+COUNTIF($K$25944:$K$25944, L5)+COUNTIF($K$25956:$K$25958, L5)+COUNTIF($K$25829:$K$25834, L5)+COUNTIF($K$25964:$K$25964, L5)+COUNTIF($K$25962:$K$25962, L5)+COUNTIF($K$25968:$K$25968, L5)+COUNTIF($K$25932:$K$25933, L5)+COUNTIF($K$25942:$K$25942, L5)+COUNTIF($K$25947:$K$25947, L5)+COUNTIF($K$25685:$K$25688, L5)+COUNTIF($K$25726:$K$25733, L5)+COUNTIF($K$25739:$K$25742, L5)+COUNTIF($K$25744:$K$25751, L5)+COUNTIF($K$25630:$K$25639, L5)+COUNTIF($K$25665:$K$25669, L5)+COUNTIF($K$25363:$K$25376, L5)+COUNTIF($K$25219:$K$25237, L5)+COUNTIF($K$25336:$K$25342, L5)+COUNTIF($K$25285:$K$25296, L5)+COUNTIF($K$25305:$K$25307, L5)+COUNTIF($K$25325:$K$25328, L5)+COUNTIF($K$25239:$K$25265, L5)+COUNTIF($K$22798:$K$25175, L5)+COUNTIF($K$25193:$K$25201, L5)+COUNTIF($K$25345:$K$25348, L5)+COUNTIF($K$25691:$K$25692, L5)+COUNTIF($K$25837:$K$25838, L5)+COUNTIF($K$25880:$K$25887, L5)+COUNTIF($K$25766:$K$25772, L5)+COUNTIF($K$25754:$K$25761, L5)&gt;1,NOT(ISBLANK(L5)))</formula>
    </cfRule>
  </conditionalFormatting>
  <conditionalFormatting sqref="C5 C13">
    <cfRule type="duplicateValues" dxfId="125" priority="139"/>
  </conditionalFormatting>
  <conditionalFormatting sqref="L5 L13">
    <cfRule type="duplicateValues" dxfId="124" priority="140"/>
  </conditionalFormatting>
  <conditionalFormatting sqref="C5 C13">
    <cfRule type="duplicateValues" dxfId="123" priority="141"/>
    <cfRule type="duplicateValues" dxfId="122" priority="142"/>
  </conditionalFormatting>
  <conditionalFormatting sqref="C5">
    <cfRule type="duplicateValues" dxfId="121" priority="143"/>
  </conditionalFormatting>
  <conditionalFormatting sqref="L5">
    <cfRule type="duplicateValues" dxfId="120" priority="144"/>
  </conditionalFormatting>
  <conditionalFormatting sqref="C1 C3">
    <cfRule type="duplicateValues" dxfId="119" priority="132"/>
  </conditionalFormatting>
  <conditionalFormatting sqref="L1 L3">
    <cfRule type="duplicateValues" dxfId="118" priority="131"/>
  </conditionalFormatting>
  <conditionalFormatting sqref="C1 C3">
    <cfRule type="duplicateValues" dxfId="117" priority="130"/>
  </conditionalFormatting>
  <conditionalFormatting sqref="L1 L3">
    <cfRule type="duplicateValues" dxfId="116" priority="129"/>
  </conditionalFormatting>
  <conditionalFormatting sqref="C1 C3">
    <cfRule type="duplicateValues" dxfId="115" priority="128"/>
  </conditionalFormatting>
  <conditionalFormatting sqref="L1 L3">
    <cfRule type="duplicateValues" dxfId="114" priority="127"/>
  </conditionalFormatting>
  <conditionalFormatting sqref="C1 C3">
    <cfRule type="duplicateValues" dxfId="113" priority="126"/>
  </conditionalFormatting>
  <conditionalFormatting sqref="L1 L3">
    <cfRule type="duplicateValues" dxfId="112" priority="125"/>
  </conditionalFormatting>
  <conditionalFormatting sqref="C1 C3">
    <cfRule type="duplicateValues" dxfId="111" priority="124"/>
  </conditionalFormatting>
  <conditionalFormatting sqref="L1 L3">
    <cfRule type="duplicateValues" dxfId="110" priority="123"/>
  </conditionalFormatting>
  <conditionalFormatting sqref="C1 C3">
    <cfRule type="duplicateValues" dxfId="109" priority="122"/>
  </conditionalFormatting>
  <conditionalFormatting sqref="L1 L3">
    <cfRule type="duplicateValues" dxfId="108" priority="121"/>
  </conditionalFormatting>
  <conditionalFormatting sqref="C1 C3">
    <cfRule type="duplicateValues" dxfId="107" priority="120"/>
  </conditionalFormatting>
  <conditionalFormatting sqref="C1 C3">
    <cfRule type="duplicateValues" dxfId="106" priority="119"/>
  </conditionalFormatting>
  <conditionalFormatting sqref="C1 C3">
    <cfRule type="duplicateValues" dxfId="105" priority="118"/>
  </conditionalFormatting>
  <conditionalFormatting sqref="C1 C3">
    <cfRule type="duplicateValues" dxfId="104" priority="117"/>
  </conditionalFormatting>
  <conditionalFormatting sqref="C1 C3">
    <cfRule type="duplicateValues" dxfId="103" priority="116"/>
  </conditionalFormatting>
  <conditionalFormatting sqref="C1 C3">
    <cfRule type="duplicateValues" dxfId="102" priority="115"/>
  </conditionalFormatting>
  <conditionalFormatting sqref="C1 C3">
    <cfRule type="duplicateValues" dxfId="101" priority="114"/>
  </conditionalFormatting>
  <conditionalFormatting sqref="C1 C3">
    <cfRule type="duplicateValues" dxfId="100" priority="113"/>
  </conditionalFormatting>
  <conditionalFormatting sqref="C1 C3">
    <cfRule type="duplicateValues" dxfId="99" priority="112"/>
  </conditionalFormatting>
  <conditionalFormatting sqref="C1 C3">
    <cfRule type="duplicateValues" dxfId="98" priority="111"/>
  </conditionalFormatting>
  <conditionalFormatting sqref="C2">
    <cfRule type="duplicateValues" dxfId="97" priority="98"/>
  </conditionalFormatting>
  <conditionalFormatting sqref="C2">
    <cfRule type="duplicateValues" dxfId="96" priority="96"/>
  </conditionalFormatting>
  <conditionalFormatting sqref="C2">
    <cfRule type="duplicateValues" dxfId="95" priority="94"/>
  </conditionalFormatting>
  <conditionalFormatting sqref="C2">
    <cfRule type="duplicateValues" dxfId="94" priority="92"/>
  </conditionalFormatting>
  <conditionalFormatting sqref="C2">
    <cfRule type="duplicateValues" dxfId="93" priority="90"/>
  </conditionalFormatting>
  <conditionalFormatting sqref="C2">
    <cfRule type="duplicateValues" dxfId="92" priority="110"/>
  </conditionalFormatting>
  <conditionalFormatting sqref="L2">
    <cfRule type="duplicateValues" dxfId="91" priority="109"/>
  </conditionalFormatting>
  <conditionalFormatting sqref="C2">
    <cfRule type="duplicateValues" dxfId="90" priority="108"/>
  </conditionalFormatting>
  <conditionalFormatting sqref="L2">
    <cfRule type="duplicateValues" dxfId="89" priority="107"/>
  </conditionalFormatting>
  <conditionalFormatting sqref="C2">
    <cfRule type="duplicateValues" dxfId="88" priority="106"/>
  </conditionalFormatting>
  <conditionalFormatting sqref="L2">
    <cfRule type="duplicateValues" dxfId="87" priority="105"/>
  </conditionalFormatting>
  <conditionalFormatting sqref="C2">
    <cfRule type="duplicateValues" dxfId="86" priority="104"/>
  </conditionalFormatting>
  <conditionalFormatting sqref="L2">
    <cfRule type="duplicateValues" dxfId="85" priority="103"/>
  </conditionalFormatting>
  <conditionalFormatting sqref="C2">
    <cfRule type="duplicateValues" dxfId="84" priority="102"/>
  </conditionalFormatting>
  <conditionalFormatting sqref="L2">
    <cfRule type="duplicateValues" dxfId="83" priority="101"/>
  </conditionalFormatting>
  <conditionalFormatting sqref="C2">
    <cfRule type="duplicateValues" dxfId="82" priority="100"/>
  </conditionalFormatting>
  <conditionalFormatting sqref="L2">
    <cfRule type="duplicateValues" dxfId="81" priority="99"/>
  </conditionalFormatting>
  <conditionalFormatting sqref="C2">
    <cfRule type="duplicateValues" dxfId="80" priority="97"/>
  </conditionalFormatting>
  <conditionalFormatting sqref="C2">
    <cfRule type="duplicateValues" dxfId="79" priority="95"/>
  </conditionalFormatting>
  <conditionalFormatting sqref="C2">
    <cfRule type="duplicateValues" dxfId="78" priority="93"/>
  </conditionalFormatting>
  <conditionalFormatting sqref="C2">
    <cfRule type="duplicateValues" dxfId="77" priority="91"/>
  </conditionalFormatting>
  <conditionalFormatting sqref="C2">
    <cfRule type="duplicateValues" dxfId="76" priority="89"/>
  </conditionalFormatting>
  <conditionalFormatting sqref="K7">
    <cfRule type="expression" dxfId="75" priority="77" stopIfTrue="1">
      <formula>AND(COUNTIF($K$23608:$K$23608, K7)&gt;1,NOT(ISBLANK(K7)))</formula>
    </cfRule>
  </conditionalFormatting>
  <conditionalFormatting sqref="K7">
    <cfRule type="expression" dxfId="74" priority="78" stopIfTrue="1">
      <formula>AND(COUNTIF(#REF!, K7)+COUNTIF($K$27003:$K$27009, K7)+COUNTIF($K$27082:$K$27082, K7)+COUNTIF($K$27106:$K$27106, K7)+COUNTIF($K$27047:$K$27051, K7)+COUNTIF($K$27102:$K$27102, K7)+COUNTIF($K$27067:$K$27067, K7)+COUNTIF($K$27076:$K$27076, K7)+COUNTIF($K$27088:$K$27090, K7)+COUNTIF($K$26961:$K$26966, K7)+COUNTIF($K$27096:$K$27096, K7)+COUNTIF($K$27094:$K$27094, K7)+COUNTIF($K$27100:$K$27100, K7)+COUNTIF($K$27064:$K$27065, K7)+COUNTIF($K$27074:$K$27074, K7)+COUNTIF($K$27079:$K$27079, K7)+COUNTIF($K$26817:$K$26820, K7)+COUNTIF($K$26858:$K$26865, K7)+COUNTIF($K$26871:$K$26874, K7)+COUNTIF($K$26876:$K$26883, K7)+COUNTIF($K$26762:$K$26771, K7)+COUNTIF($K$26797:$K$26801, K7)+COUNTIF($K$26495:$K$26508, K7)+COUNTIF($K$26351:$K$26369, K7)+COUNTIF($K$26468:$K$26474, K7)+COUNTIF($K$26417:$K$26428, K7)+COUNTIF($K$26437:$K$26439, K7)+COUNTIF($K$26457:$K$26460, K7)+COUNTIF($K$26371:$K$26397, K7)+COUNTIF($K$23573:$K$26307, K7)+COUNTIF($K$26325:$K$26333, K7)+COUNTIF($K$26477:$K$26480, K7)+COUNTIF($K$26823:$K$26824, K7)+COUNTIF($K$26969:$K$26970, K7)+COUNTIF($K$27012:$K$27019, K7)+COUNTIF($K$26898:$K$26904, K7)+COUNTIF($K$26886:$K$26893, K7)&gt;1,NOT(ISBLANK(K7)))</formula>
    </cfRule>
  </conditionalFormatting>
  <conditionalFormatting sqref="K7">
    <cfRule type="expression" dxfId="73" priority="79" stopIfTrue="1">
      <formula>AND(COUNTIF(#REF!, K7)+COUNTIF($K$26646:$K$26652, K7)+COUNTIF($K$26725:$K$26725, K7)+COUNTIF($K$26749:$K$26749, K7)+COUNTIF($K$26690:$K$26694, K7)+COUNTIF($K$26745:$K$26745, K7)+COUNTIF($K$26710:$K$26710, K7)+COUNTIF($K$26719:$K$26719, K7)+COUNTIF($K$26731:$K$26733, K7)+COUNTIF($K$26604:$K$26609, K7)+COUNTIF($K$26739:$K$26739, K7)+COUNTIF($K$26737:$K$26737, K7)+COUNTIF($K$26743:$K$26743, K7)+COUNTIF($K$26707:$K$26708, K7)+COUNTIF($K$26717:$K$26717, K7)+COUNTIF($K$26722:$K$26722, K7)+COUNTIF($K$26460:$K$26463, K7)+COUNTIF($K$26501:$K$26508, K7)+COUNTIF($K$26514:$K$26517, K7)+COUNTIF($K$26519:$K$26526, K7)+COUNTIF($K$26405:$K$26414, K7)+COUNTIF($K$26440:$K$26444, K7)+COUNTIF($K$26138:$K$26151, K7)+COUNTIF($K$25994:$K$26012, K7)+COUNTIF($K$26111:$K$26117, K7)+COUNTIF($K$26060:$K$26071, K7)+COUNTIF($K$26080:$K$26082, K7)+COUNTIF($K$26100:$K$26103, K7)+COUNTIF($K$26014:$K$26040, K7)+COUNTIF($K$23573:$K$25950, K7)+COUNTIF($K$25968:$K$25976, K7)+COUNTIF($K$26120:$K$26123, K7)+COUNTIF($K$26466:$K$26467, K7)+COUNTIF($K$26612:$K$26613, K7)+COUNTIF($K$26655:$K$26662, K7)+COUNTIF($K$26541:$K$26547, K7)+COUNTIF($K$26529:$K$26536, K7)&gt;1,NOT(ISBLANK(K7)))</formula>
    </cfRule>
  </conditionalFormatting>
  <conditionalFormatting sqref="L7">
    <cfRule type="expression" dxfId="72" priority="80" stopIfTrue="1">
      <formula>AND(COUNTIF($K$22833:$K$22833, L7)&gt;1,NOT(ISBLANK(L7)))</formula>
    </cfRule>
  </conditionalFormatting>
  <conditionalFormatting sqref="L7">
    <cfRule type="expression" dxfId="71" priority="81" stopIfTrue="1">
      <formula>AND(COUNTIF(#REF!, L7)+COUNTIF($K$26228:$K$26234, L7)+COUNTIF($K$26307:$K$26307, L7)+COUNTIF($K$26331:$K$26331, L7)+COUNTIF($K$26272:$K$26276, L7)+COUNTIF($K$26327:$K$26327, L7)+COUNTIF($K$26292:$K$26292, L7)+COUNTIF($K$26301:$K$26301, L7)+COUNTIF($K$26313:$K$26315, L7)+COUNTIF($K$26186:$K$26191, L7)+COUNTIF($K$26321:$K$26321, L7)+COUNTIF($K$26319:$K$26319, L7)+COUNTIF($K$26325:$K$26325, L7)+COUNTIF($K$26289:$K$26290, L7)+COUNTIF($K$26299:$K$26299, L7)+COUNTIF($K$26304:$K$26304, L7)+COUNTIF($K$26042:$K$26045, L7)+COUNTIF($K$26083:$K$26090, L7)+COUNTIF($K$26096:$K$26099, L7)+COUNTIF($K$26101:$K$26108, L7)+COUNTIF($K$25987:$K$25996, L7)+COUNTIF($K$26022:$K$26026, L7)+COUNTIF($K$25720:$K$25733, L7)+COUNTIF($K$25576:$K$25594, L7)+COUNTIF($K$25693:$K$25699, L7)+COUNTIF($K$25642:$K$25653, L7)+COUNTIF($K$25662:$K$25664, L7)+COUNTIF($K$25682:$K$25685, L7)+COUNTIF($K$25596:$K$25622, L7)+COUNTIF($K$22798:$K$25532, L7)+COUNTIF($K$25550:$K$25558, L7)+COUNTIF($K$25702:$K$25705, L7)+COUNTIF($K$26048:$K$26049, L7)+COUNTIF($K$26194:$K$26195, L7)+COUNTIF($K$26237:$K$26244, L7)+COUNTIF($K$26123:$K$26129, L7)+COUNTIF($K$26111:$K$26118, L7)&gt;1,NOT(ISBLANK(L7)))</formula>
    </cfRule>
  </conditionalFormatting>
  <conditionalFormatting sqref="L7">
    <cfRule type="expression" dxfId="70" priority="82" stopIfTrue="1">
      <formula>AND(COUNTIF(#REF!, L7)+COUNTIF($K$25871:$K$25877, L7)+COUNTIF($K$25950:$K$25950, L7)+COUNTIF($K$25974:$K$25974, L7)+COUNTIF($K$25915:$K$25919, L7)+COUNTIF($K$25970:$K$25970, L7)+COUNTIF($K$25935:$K$25935, L7)+COUNTIF($K$25944:$K$25944, L7)+COUNTIF($K$25956:$K$25958, L7)+COUNTIF($K$25829:$K$25834, L7)+COUNTIF($K$25964:$K$25964, L7)+COUNTIF($K$25962:$K$25962, L7)+COUNTIF($K$25968:$K$25968, L7)+COUNTIF($K$25932:$K$25933, L7)+COUNTIF($K$25942:$K$25942, L7)+COUNTIF($K$25947:$K$25947, L7)+COUNTIF($K$25685:$K$25688, L7)+COUNTIF($K$25726:$K$25733, L7)+COUNTIF($K$25739:$K$25742, L7)+COUNTIF($K$25744:$K$25751, L7)+COUNTIF($K$25630:$K$25639, L7)+COUNTIF($K$25665:$K$25669, L7)+COUNTIF($K$25363:$K$25376, L7)+COUNTIF($K$25219:$K$25237, L7)+COUNTIF($K$25336:$K$25342, L7)+COUNTIF($K$25285:$K$25296, L7)+COUNTIF($K$25305:$K$25307, L7)+COUNTIF($K$25325:$K$25328, L7)+COUNTIF($K$25239:$K$25265, L7)+COUNTIF($K$22798:$K$25175, L7)+COUNTIF($K$25193:$K$25201, L7)+COUNTIF($K$25345:$K$25348, L7)+COUNTIF($K$25691:$K$25692, L7)+COUNTIF($K$25837:$K$25838, L7)+COUNTIF($K$25880:$K$25887, L7)+COUNTIF($K$25766:$K$25772, L7)+COUNTIF($K$25754:$K$25761, L7)&gt;1,NOT(ISBLANK(L7)))</formula>
    </cfRule>
  </conditionalFormatting>
  <conditionalFormatting sqref="C7">
    <cfRule type="duplicateValues" dxfId="69" priority="83"/>
  </conditionalFormatting>
  <conditionalFormatting sqref="L7">
    <cfRule type="duplicateValues" dxfId="68" priority="84"/>
  </conditionalFormatting>
  <conditionalFormatting sqref="C7">
    <cfRule type="duplicateValues" dxfId="67" priority="85"/>
    <cfRule type="duplicateValues" dxfId="66" priority="86"/>
  </conditionalFormatting>
  <conditionalFormatting sqref="C7">
    <cfRule type="duplicateValues" dxfId="65" priority="87"/>
  </conditionalFormatting>
  <conditionalFormatting sqref="L7">
    <cfRule type="duplicateValues" dxfId="64" priority="88"/>
  </conditionalFormatting>
  <conditionalFormatting sqref="K6">
    <cfRule type="expression" dxfId="63" priority="55" stopIfTrue="1">
      <formula>AND(COUNTIF($K$23458:$K$23458, K6)&gt;1,NOT(ISBLANK(K6)))</formula>
    </cfRule>
  </conditionalFormatting>
  <conditionalFormatting sqref="K6">
    <cfRule type="expression" dxfId="62" priority="56" stopIfTrue="1">
      <formula>AND(COUNTIF(#REF!, K6)+COUNTIF($K$26853:$K$26859, K6)+COUNTIF($K$26932:$K$26932, K6)+COUNTIF($K$26956:$K$26956, K6)+COUNTIF($K$26897:$K$26901, K6)+COUNTIF($K$26952:$K$26952, K6)+COUNTIF($K$26917:$K$26917, K6)+COUNTIF($K$26926:$K$26926, K6)+COUNTIF($K$26938:$K$26940, K6)+COUNTIF($K$26811:$K$26816, K6)+COUNTIF($K$26946:$K$26946, K6)+COUNTIF($K$26944:$K$26944, K6)+COUNTIF($K$26950:$K$26950, K6)+COUNTIF($K$26914:$K$26915, K6)+COUNTIF($K$26924:$K$26924, K6)+COUNTIF($K$26929:$K$26929, K6)+COUNTIF($K$26667:$K$26670, K6)+COUNTIF($K$26708:$K$26715, K6)+COUNTIF($K$26721:$K$26724, K6)+COUNTIF($K$26726:$K$26733, K6)+COUNTIF($K$26612:$K$26621, K6)+COUNTIF($K$26647:$K$26651, K6)+COUNTIF($K$26345:$K$26358, K6)+COUNTIF($K$26201:$K$26219, K6)+COUNTIF($K$26318:$K$26324, K6)+COUNTIF($K$26267:$K$26278, K6)+COUNTIF($K$26287:$K$26289, K6)+COUNTIF($K$26307:$K$26310, K6)+COUNTIF($K$26221:$K$26247, K6)+COUNTIF($K$23423:$K$26157, K6)+COUNTIF($K$26175:$K$26183, K6)+COUNTIF($K$26327:$K$26330, K6)+COUNTIF($K$26673:$K$26674, K6)+COUNTIF($K$26819:$K$26820, K6)+COUNTIF($K$26862:$K$26869, K6)+COUNTIF($K$26748:$K$26754, K6)+COUNTIF($K$26736:$K$26743, K6)&gt;1,NOT(ISBLANK(K6)))</formula>
    </cfRule>
  </conditionalFormatting>
  <conditionalFormatting sqref="K6">
    <cfRule type="expression" dxfId="61" priority="57" stopIfTrue="1">
      <formula>AND(COUNTIF(#REF!, K6)+COUNTIF($K$26496:$K$26502, K6)+COUNTIF($K$26575:$K$26575, K6)+COUNTIF($K$26599:$K$26599, K6)+COUNTIF($K$26540:$K$26544, K6)+COUNTIF($K$26595:$K$26595, K6)+COUNTIF($K$26560:$K$26560, K6)+COUNTIF($K$26569:$K$26569, K6)+COUNTIF($K$26581:$K$26583, K6)+COUNTIF($K$26454:$K$26459, K6)+COUNTIF($K$26589:$K$26589, K6)+COUNTIF($K$26587:$K$26587, K6)+COUNTIF($K$26593:$K$26593, K6)+COUNTIF($K$26557:$K$26558, K6)+COUNTIF($K$26567:$K$26567, K6)+COUNTIF($K$26572:$K$26572, K6)+COUNTIF($K$26310:$K$26313, K6)+COUNTIF($K$26351:$K$26358, K6)+COUNTIF($K$26364:$K$26367, K6)+COUNTIF($K$26369:$K$26376, K6)+COUNTIF($K$26255:$K$26264, K6)+COUNTIF($K$26290:$K$26294, K6)+COUNTIF($K$25988:$K$26001, K6)+COUNTIF($K$25844:$K$25862, K6)+COUNTIF($K$25961:$K$25967, K6)+COUNTIF($K$25910:$K$25921, K6)+COUNTIF($K$25930:$K$25932, K6)+COUNTIF($K$25950:$K$25953, K6)+COUNTIF($K$25864:$K$25890, K6)+COUNTIF($K$23423:$K$25800, K6)+COUNTIF($K$25818:$K$25826, K6)+COUNTIF($K$25970:$K$25973, K6)+COUNTIF($K$26316:$K$26317, K6)+COUNTIF($K$26462:$K$26463, K6)+COUNTIF($K$26505:$K$26512, K6)+COUNTIF($K$26391:$K$26397, K6)+COUNTIF($K$26379:$K$26386, K6)&gt;1,NOT(ISBLANK(K6)))</formula>
    </cfRule>
  </conditionalFormatting>
  <conditionalFormatting sqref="L6">
    <cfRule type="expression" dxfId="60" priority="58" stopIfTrue="1">
      <formula>AND(COUNTIF($K$22683:$K$22683, L6)&gt;1,NOT(ISBLANK(L6)))</formula>
    </cfRule>
  </conditionalFormatting>
  <conditionalFormatting sqref="L6">
    <cfRule type="expression" dxfId="59" priority="59" stopIfTrue="1">
      <formula>AND(COUNTIF(#REF!, L6)+COUNTIF($K$26078:$K$26084, L6)+COUNTIF($K$26157:$K$26157, L6)+COUNTIF($K$26181:$K$26181, L6)+COUNTIF($K$26122:$K$26126, L6)+COUNTIF($K$26177:$K$26177, L6)+COUNTIF($K$26142:$K$26142, L6)+COUNTIF($K$26151:$K$26151, L6)+COUNTIF($K$26163:$K$26165, L6)+COUNTIF($K$26036:$K$26041, L6)+COUNTIF($K$26171:$K$26171, L6)+COUNTIF($K$26169:$K$26169, L6)+COUNTIF($K$26175:$K$26175, L6)+COUNTIF($K$26139:$K$26140, L6)+COUNTIF($K$26149:$K$26149, L6)+COUNTIF($K$26154:$K$26154, L6)+COUNTIF($K$25892:$K$25895, L6)+COUNTIF($K$25933:$K$25940, L6)+COUNTIF($K$25946:$K$25949, L6)+COUNTIF($K$25951:$K$25958, L6)+COUNTIF($K$25837:$K$25846, L6)+COUNTIF($K$25872:$K$25876, L6)+COUNTIF($K$25570:$K$25583, L6)+COUNTIF($K$25426:$K$25444, L6)+COUNTIF($K$25543:$K$25549, L6)+COUNTIF($K$25492:$K$25503, L6)+COUNTIF($K$25512:$K$25514, L6)+COUNTIF($K$25532:$K$25535, L6)+COUNTIF($K$25446:$K$25472, L6)+COUNTIF($K$22648:$K$25382, L6)+COUNTIF($K$25400:$K$25408, L6)+COUNTIF($K$25552:$K$25555, L6)+COUNTIF($K$25898:$K$25899, L6)+COUNTIF($K$26044:$K$26045, L6)+COUNTIF($K$26087:$K$26094, L6)+COUNTIF($K$25973:$K$25979, L6)+COUNTIF($K$25961:$K$25968, L6)&gt;1,NOT(ISBLANK(L6)))</formula>
    </cfRule>
  </conditionalFormatting>
  <conditionalFormatting sqref="L6">
    <cfRule type="expression" dxfId="58" priority="60" stopIfTrue="1">
      <formula>AND(COUNTIF(#REF!, L6)+COUNTIF($K$25721:$K$25727, L6)+COUNTIF($K$25800:$K$25800, L6)+COUNTIF($K$25824:$K$25824, L6)+COUNTIF($K$25765:$K$25769, L6)+COUNTIF($K$25820:$K$25820, L6)+COUNTIF($K$25785:$K$25785, L6)+COUNTIF($K$25794:$K$25794, L6)+COUNTIF($K$25806:$K$25808, L6)+COUNTIF($K$25679:$K$25684, L6)+COUNTIF($K$25814:$K$25814, L6)+COUNTIF($K$25812:$K$25812, L6)+COUNTIF($K$25818:$K$25818, L6)+COUNTIF($K$25782:$K$25783, L6)+COUNTIF($K$25792:$K$25792, L6)+COUNTIF($K$25797:$K$25797, L6)+COUNTIF($K$25535:$K$25538, L6)+COUNTIF($K$25576:$K$25583, L6)+COUNTIF($K$25589:$K$25592, L6)+COUNTIF($K$25594:$K$25601, L6)+COUNTIF($K$25480:$K$25489, L6)+COUNTIF($K$25515:$K$25519, L6)+COUNTIF($K$25213:$K$25226, L6)+COUNTIF($K$25069:$K$25087, L6)+COUNTIF($K$25186:$K$25192, L6)+COUNTIF($K$25135:$K$25146, L6)+COUNTIF($K$25155:$K$25157, L6)+COUNTIF($K$25175:$K$25178, L6)+COUNTIF($K$25089:$K$25115, L6)+COUNTIF($K$22648:$K$25025, L6)+COUNTIF($K$25043:$K$25051, L6)+COUNTIF($K$25195:$K$25198, L6)+COUNTIF($K$25541:$K$25542, L6)+COUNTIF($K$25687:$K$25688, L6)+COUNTIF($K$25730:$K$25737, L6)+COUNTIF($K$25616:$K$25622, L6)+COUNTIF($K$25604:$K$25611, L6)&gt;1,NOT(ISBLANK(L6)))</formula>
    </cfRule>
  </conditionalFormatting>
  <conditionalFormatting sqref="C6">
    <cfRule type="duplicateValues" dxfId="57" priority="61"/>
  </conditionalFormatting>
  <conditionalFormatting sqref="L6">
    <cfRule type="duplicateValues" dxfId="56" priority="62"/>
  </conditionalFormatting>
  <conditionalFormatting sqref="C6">
    <cfRule type="duplicateValues" dxfId="55" priority="63"/>
    <cfRule type="duplicateValues" dxfId="54" priority="64"/>
  </conditionalFormatting>
  <conditionalFormatting sqref="K8">
    <cfRule type="expression" dxfId="53" priority="45" stopIfTrue="1">
      <formula>AND(COUNTIF($K$23458:$K$23458, K8)&gt;1,NOT(ISBLANK(K8)))</formula>
    </cfRule>
  </conditionalFormatting>
  <conditionalFormatting sqref="K8">
    <cfRule type="expression" dxfId="52" priority="46" stopIfTrue="1">
      <formula>AND(COUNTIF(#REF!, K8)+COUNTIF($K$26853:$K$26859, K8)+COUNTIF($K$26932:$K$26932, K8)+COUNTIF($K$26956:$K$26956, K8)+COUNTIF($K$26897:$K$26901, K8)+COUNTIF($K$26952:$K$26952, K8)+COUNTIF($K$26917:$K$26917, K8)+COUNTIF($K$26926:$K$26926, K8)+COUNTIF($K$26938:$K$26940, K8)+COUNTIF($K$26811:$K$26816, K8)+COUNTIF($K$26946:$K$26946, K8)+COUNTIF($K$26944:$K$26944, K8)+COUNTIF($K$26950:$K$26950, K8)+COUNTIF($K$26914:$K$26915, K8)+COUNTIF($K$26924:$K$26924, K8)+COUNTIF($K$26929:$K$26929, K8)+COUNTIF($K$26667:$K$26670, K8)+COUNTIF($K$26708:$K$26715, K8)+COUNTIF($K$26721:$K$26724, K8)+COUNTIF($K$26726:$K$26733, K8)+COUNTIF($K$26612:$K$26621, K8)+COUNTIF($K$26647:$K$26651, K8)+COUNTIF($K$26345:$K$26358, K8)+COUNTIF($K$26201:$K$26219, K8)+COUNTIF($K$26318:$K$26324, K8)+COUNTIF($K$26267:$K$26278, K8)+COUNTIF($K$26287:$K$26289, K8)+COUNTIF($K$26307:$K$26310, K8)+COUNTIF($K$26221:$K$26247, K8)+COUNTIF($K$23423:$K$26157, K8)+COUNTIF($K$26175:$K$26183, K8)+COUNTIF($K$26327:$K$26330, K8)+COUNTIF($K$26673:$K$26674, K8)+COUNTIF($K$26819:$K$26820, K8)+COUNTIF($K$26862:$K$26869, K8)+COUNTIF($K$26748:$K$26754, K8)+COUNTIF($K$26736:$K$26743, K8)&gt;1,NOT(ISBLANK(K8)))</formula>
    </cfRule>
  </conditionalFormatting>
  <conditionalFormatting sqref="K8">
    <cfRule type="expression" dxfId="51" priority="47" stopIfTrue="1">
      <formula>AND(COUNTIF(#REF!, K8)+COUNTIF($K$26496:$K$26502, K8)+COUNTIF($K$26575:$K$26575, K8)+COUNTIF($K$26599:$K$26599, K8)+COUNTIF($K$26540:$K$26544, K8)+COUNTIF($K$26595:$K$26595, K8)+COUNTIF($K$26560:$K$26560, K8)+COUNTIF($K$26569:$K$26569, K8)+COUNTIF($K$26581:$K$26583, K8)+COUNTIF($K$26454:$K$26459, K8)+COUNTIF($K$26589:$K$26589, K8)+COUNTIF($K$26587:$K$26587, K8)+COUNTIF($K$26593:$K$26593, K8)+COUNTIF($K$26557:$K$26558, K8)+COUNTIF($K$26567:$K$26567, K8)+COUNTIF($K$26572:$K$26572, K8)+COUNTIF($K$26310:$K$26313, K8)+COUNTIF($K$26351:$K$26358, K8)+COUNTIF($K$26364:$K$26367, K8)+COUNTIF($K$26369:$K$26376, K8)+COUNTIF($K$26255:$K$26264, K8)+COUNTIF($K$26290:$K$26294, K8)+COUNTIF($K$25988:$K$26001, K8)+COUNTIF($K$25844:$K$25862, K8)+COUNTIF($K$25961:$K$25967, K8)+COUNTIF($K$25910:$K$25921, K8)+COUNTIF($K$25930:$K$25932, K8)+COUNTIF($K$25950:$K$25953, K8)+COUNTIF($K$25864:$K$25890, K8)+COUNTIF($K$23423:$K$25800, K8)+COUNTIF($K$25818:$K$25826, K8)+COUNTIF($K$25970:$K$25973, K8)+COUNTIF($K$26316:$K$26317, K8)+COUNTIF($K$26462:$K$26463, K8)+COUNTIF($K$26505:$K$26512, K8)+COUNTIF($K$26391:$K$26397, K8)+COUNTIF($K$26379:$K$26386, K8)&gt;1,NOT(ISBLANK(K8)))</formula>
    </cfRule>
  </conditionalFormatting>
  <conditionalFormatting sqref="L8">
    <cfRule type="expression" dxfId="50" priority="48" stopIfTrue="1">
      <formula>AND(COUNTIF($K$22683:$K$22683, L8)&gt;1,NOT(ISBLANK(L8)))</formula>
    </cfRule>
  </conditionalFormatting>
  <conditionalFormatting sqref="L8">
    <cfRule type="expression" dxfId="49" priority="49" stopIfTrue="1">
      <formula>AND(COUNTIF(#REF!, L8)+COUNTIF($K$26078:$K$26084, L8)+COUNTIF($K$26157:$K$26157, L8)+COUNTIF($K$26181:$K$26181, L8)+COUNTIF($K$26122:$K$26126, L8)+COUNTIF($K$26177:$K$26177, L8)+COUNTIF($K$26142:$K$26142, L8)+COUNTIF($K$26151:$K$26151, L8)+COUNTIF($K$26163:$K$26165, L8)+COUNTIF($K$26036:$K$26041, L8)+COUNTIF($K$26171:$K$26171, L8)+COUNTIF($K$26169:$K$26169, L8)+COUNTIF($K$26175:$K$26175, L8)+COUNTIF($K$26139:$K$26140, L8)+COUNTIF($K$26149:$K$26149, L8)+COUNTIF($K$26154:$K$26154, L8)+COUNTIF($K$25892:$K$25895, L8)+COUNTIF($K$25933:$K$25940, L8)+COUNTIF($K$25946:$K$25949, L8)+COUNTIF($K$25951:$K$25958, L8)+COUNTIF($K$25837:$K$25846, L8)+COUNTIF($K$25872:$K$25876, L8)+COUNTIF($K$25570:$K$25583, L8)+COUNTIF($K$25426:$K$25444, L8)+COUNTIF($K$25543:$K$25549, L8)+COUNTIF($K$25492:$K$25503, L8)+COUNTIF($K$25512:$K$25514, L8)+COUNTIF($K$25532:$K$25535, L8)+COUNTIF($K$25446:$K$25472, L8)+COUNTIF($K$22648:$K$25382, L8)+COUNTIF($K$25400:$K$25408, L8)+COUNTIF($K$25552:$K$25555, L8)+COUNTIF($K$25898:$K$25899, L8)+COUNTIF($K$26044:$K$26045, L8)+COUNTIF($K$26087:$K$26094, L8)+COUNTIF($K$25973:$K$25979, L8)+COUNTIF($K$25961:$K$25968, L8)&gt;1,NOT(ISBLANK(L8)))</formula>
    </cfRule>
  </conditionalFormatting>
  <conditionalFormatting sqref="L8">
    <cfRule type="expression" dxfId="48" priority="50" stopIfTrue="1">
      <formula>AND(COUNTIF(#REF!, L8)+COUNTIF($K$25721:$K$25727, L8)+COUNTIF($K$25800:$K$25800, L8)+COUNTIF($K$25824:$K$25824, L8)+COUNTIF($K$25765:$K$25769, L8)+COUNTIF($K$25820:$K$25820, L8)+COUNTIF($K$25785:$K$25785, L8)+COUNTIF($K$25794:$K$25794, L8)+COUNTIF($K$25806:$K$25808, L8)+COUNTIF($K$25679:$K$25684, L8)+COUNTIF($K$25814:$K$25814, L8)+COUNTIF($K$25812:$K$25812, L8)+COUNTIF($K$25818:$K$25818, L8)+COUNTIF($K$25782:$K$25783, L8)+COUNTIF($K$25792:$K$25792, L8)+COUNTIF($K$25797:$K$25797, L8)+COUNTIF($K$25535:$K$25538, L8)+COUNTIF($K$25576:$K$25583, L8)+COUNTIF($K$25589:$K$25592, L8)+COUNTIF($K$25594:$K$25601, L8)+COUNTIF($K$25480:$K$25489, L8)+COUNTIF($K$25515:$K$25519, L8)+COUNTIF($K$25213:$K$25226, L8)+COUNTIF($K$25069:$K$25087, L8)+COUNTIF($K$25186:$K$25192, L8)+COUNTIF($K$25135:$K$25146, L8)+COUNTIF($K$25155:$K$25157, L8)+COUNTIF($K$25175:$K$25178, L8)+COUNTIF($K$25089:$K$25115, L8)+COUNTIF($K$22648:$K$25025, L8)+COUNTIF($K$25043:$K$25051, L8)+COUNTIF($K$25195:$K$25198, L8)+COUNTIF($K$25541:$K$25542, L8)+COUNTIF($K$25687:$K$25688, L8)+COUNTIF($K$25730:$K$25737, L8)+COUNTIF($K$25616:$K$25622, L8)+COUNTIF($K$25604:$K$25611, L8)&gt;1,NOT(ISBLANK(L8)))</formula>
    </cfRule>
  </conditionalFormatting>
  <conditionalFormatting sqref="C8">
    <cfRule type="duplicateValues" dxfId="47" priority="51"/>
  </conditionalFormatting>
  <conditionalFormatting sqref="L8">
    <cfRule type="duplicateValues" dxfId="46" priority="52"/>
  </conditionalFormatting>
  <conditionalFormatting sqref="C8">
    <cfRule type="duplicateValues" dxfId="45" priority="53"/>
    <cfRule type="duplicateValues" dxfId="44" priority="54"/>
  </conditionalFormatting>
  <conditionalFormatting sqref="K9">
    <cfRule type="expression" dxfId="43" priority="33" stopIfTrue="1">
      <formula>AND(COUNTIF($K$23661:$K$23661, K9)&gt;1,NOT(ISBLANK(K9)))</formula>
    </cfRule>
  </conditionalFormatting>
  <conditionalFormatting sqref="K9">
    <cfRule type="expression" dxfId="42" priority="34" stopIfTrue="1">
      <formula>AND(COUNTIF(#REF!, K9)+COUNTIF($K$27056:$K$27062, K9)+COUNTIF($K$27135:$K$27135, K9)+COUNTIF($K$27159:$K$27159, K9)+COUNTIF($K$27100:$K$27104, K9)+COUNTIF($K$27155:$K$27155, K9)+COUNTIF($K$27120:$K$27120, K9)+COUNTIF($K$27129:$K$27129, K9)+COUNTIF($K$27141:$K$27143, K9)+COUNTIF($K$27014:$K$27019, K9)+COUNTIF($K$27149:$K$27149, K9)+COUNTIF($K$27147:$K$27147, K9)+COUNTIF($K$27153:$K$27153, K9)+COUNTIF($K$27117:$K$27118, K9)+COUNTIF($K$27127:$K$27127, K9)+COUNTIF($K$27132:$K$27132, K9)+COUNTIF($K$26870:$K$26873, K9)+COUNTIF($K$26911:$K$26918, K9)+COUNTIF($K$26924:$K$26927, K9)+COUNTIF($K$26929:$K$26936, K9)+COUNTIF($K$26815:$K$26824, K9)+COUNTIF($K$26850:$K$26854, K9)+COUNTIF($K$26548:$K$26561, K9)+COUNTIF($K$26404:$K$26422, K9)+COUNTIF($K$26521:$K$26527, K9)+COUNTIF($K$26470:$K$26481, K9)+COUNTIF($K$26490:$K$26492, K9)+COUNTIF($K$26510:$K$26513, K9)+COUNTIF($K$26424:$K$26450, K9)+COUNTIF($K$23626:$K$26360, K9)+COUNTIF($K$26378:$K$26386, K9)+COUNTIF($K$26530:$K$26533, K9)+COUNTIF($K$26876:$K$26877, K9)+COUNTIF($K$27022:$K$27023, K9)+COUNTIF($K$27065:$K$27072, K9)+COUNTIF($K$26951:$K$26957, K9)+COUNTIF($K$26939:$K$26946, K9)&gt;1,NOT(ISBLANK(K9)))</formula>
    </cfRule>
  </conditionalFormatting>
  <conditionalFormatting sqref="K9">
    <cfRule type="expression" dxfId="41" priority="35" stopIfTrue="1">
      <formula>AND(COUNTIF(#REF!, K9)+COUNTIF($K$26699:$K$26705, K9)+COUNTIF($K$26778:$K$26778, K9)+COUNTIF($K$26802:$K$26802, K9)+COUNTIF($K$26743:$K$26747, K9)+COUNTIF($K$26798:$K$26798, K9)+COUNTIF($K$26763:$K$26763, K9)+COUNTIF($K$26772:$K$26772, K9)+COUNTIF($K$26784:$K$26786, K9)+COUNTIF($K$26657:$K$26662, K9)+COUNTIF($K$26792:$K$26792, K9)+COUNTIF($K$26790:$K$26790, K9)+COUNTIF($K$26796:$K$26796, K9)+COUNTIF($K$26760:$K$26761, K9)+COUNTIF($K$26770:$K$26770, K9)+COUNTIF($K$26775:$K$26775, K9)+COUNTIF($K$26513:$K$26516, K9)+COUNTIF($K$26554:$K$26561, K9)+COUNTIF($K$26567:$K$26570, K9)+COUNTIF($K$26572:$K$26579, K9)+COUNTIF($K$26458:$K$26467, K9)+COUNTIF($K$26493:$K$26497, K9)+COUNTIF($K$26191:$K$26204, K9)+COUNTIF($K$26047:$K$26065, K9)+COUNTIF($K$26164:$K$26170, K9)+COUNTIF($K$26113:$K$26124, K9)+COUNTIF($K$26133:$K$26135, K9)+COUNTIF($K$26153:$K$26156, K9)+COUNTIF($K$26067:$K$26093, K9)+COUNTIF($K$23626:$K$26003, K9)+COUNTIF($K$26021:$K$26029, K9)+COUNTIF($K$26173:$K$26176, K9)+COUNTIF($K$26519:$K$26520, K9)+COUNTIF($K$26665:$K$26666, K9)+COUNTIF($K$26708:$K$26715, K9)+COUNTIF($K$26594:$K$26600, K9)+COUNTIF($K$26582:$K$26589, K9)&gt;1,NOT(ISBLANK(K9)))</formula>
    </cfRule>
  </conditionalFormatting>
  <conditionalFormatting sqref="L9">
    <cfRule type="expression" dxfId="40" priority="36" stopIfTrue="1">
      <formula>AND(COUNTIF($K$22886:$K$22886, L9)&gt;1,NOT(ISBLANK(L9)))</formula>
    </cfRule>
  </conditionalFormatting>
  <conditionalFormatting sqref="L9">
    <cfRule type="expression" dxfId="39" priority="37" stopIfTrue="1">
      <formula>AND(COUNTIF(#REF!, L9)+COUNTIF($K$26281:$K$26287, L9)+COUNTIF($K$26360:$K$26360, L9)+COUNTIF($K$26384:$K$26384, L9)+COUNTIF($K$26325:$K$26329, L9)+COUNTIF($K$26380:$K$26380, L9)+COUNTIF($K$26345:$K$26345, L9)+COUNTIF($K$26354:$K$26354, L9)+COUNTIF($K$26366:$K$26368, L9)+COUNTIF($K$26239:$K$26244, L9)+COUNTIF($K$26374:$K$26374, L9)+COUNTIF($K$26372:$K$26372, L9)+COUNTIF($K$26378:$K$26378, L9)+COUNTIF($K$26342:$K$26343, L9)+COUNTIF($K$26352:$K$26352, L9)+COUNTIF($K$26357:$K$26357, L9)+COUNTIF($K$26095:$K$26098, L9)+COUNTIF($K$26136:$K$26143, L9)+COUNTIF($K$26149:$K$26152, L9)+COUNTIF($K$26154:$K$26161, L9)+COUNTIF($K$26040:$K$26049, L9)+COUNTIF($K$26075:$K$26079, L9)+COUNTIF($K$25773:$K$25786, L9)+COUNTIF($K$25629:$K$25647, L9)+COUNTIF($K$25746:$K$25752, L9)+COUNTIF($K$25695:$K$25706, L9)+COUNTIF($K$25715:$K$25717, L9)+COUNTIF($K$25735:$K$25738, L9)+COUNTIF($K$25649:$K$25675, L9)+COUNTIF($K$22851:$K$25585, L9)+COUNTIF($K$25603:$K$25611, L9)+COUNTIF($K$25755:$K$25758, L9)+COUNTIF($K$26101:$K$26102, L9)+COUNTIF($K$26247:$K$26248, L9)+COUNTIF($K$26290:$K$26297, L9)+COUNTIF($K$26176:$K$26182, L9)+COUNTIF($K$26164:$K$26171, L9)&gt;1,NOT(ISBLANK(L9)))</formula>
    </cfRule>
  </conditionalFormatting>
  <conditionalFormatting sqref="L9">
    <cfRule type="expression" dxfId="38" priority="38" stopIfTrue="1">
      <formula>AND(COUNTIF(#REF!, L9)+COUNTIF($K$25924:$K$25930, L9)+COUNTIF($K$26003:$K$26003, L9)+COUNTIF($K$26027:$K$26027, L9)+COUNTIF($K$25968:$K$25972, L9)+COUNTIF($K$26023:$K$26023, L9)+COUNTIF($K$25988:$K$25988, L9)+COUNTIF($K$25997:$K$25997, L9)+COUNTIF($K$26009:$K$26011, L9)+COUNTIF($K$25882:$K$25887, L9)+COUNTIF($K$26017:$K$26017, L9)+COUNTIF($K$26015:$K$26015, L9)+COUNTIF($K$26021:$K$26021, L9)+COUNTIF($K$25985:$K$25986, L9)+COUNTIF($K$25995:$K$25995, L9)+COUNTIF($K$26000:$K$26000, L9)+COUNTIF($K$25738:$K$25741, L9)+COUNTIF($K$25779:$K$25786, L9)+COUNTIF($K$25792:$K$25795, L9)+COUNTIF($K$25797:$K$25804, L9)+COUNTIF($K$25683:$K$25692, L9)+COUNTIF($K$25718:$K$25722, L9)+COUNTIF($K$25416:$K$25429, L9)+COUNTIF($K$25272:$K$25290, L9)+COUNTIF($K$25389:$K$25395, L9)+COUNTIF($K$25338:$K$25349, L9)+COUNTIF($K$25358:$K$25360, L9)+COUNTIF($K$25378:$K$25381, L9)+COUNTIF($K$25292:$K$25318, L9)+COUNTIF($K$22851:$K$25228, L9)+COUNTIF($K$25246:$K$25254, L9)+COUNTIF($K$25398:$K$25401, L9)+COUNTIF($K$25744:$K$25745, L9)+COUNTIF($K$25890:$K$25891, L9)+COUNTIF($K$25933:$K$25940, L9)+COUNTIF($K$25819:$K$25825, L9)+COUNTIF($K$25807:$K$25814, L9)&gt;1,NOT(ISBLANK(L9)))</formula>
    </cfRule>
  </conditionalFormatting>
  <conditionalFormatting sqref="C9">
    <cfRule type="duplicateValues" dxfId="37" priority="39"/>
  </conditionalFormatting>
  <conditionalFormatting sqref="L9">
    <cfRule type="duplicateValues" dxfId="36" priority="40"/>
  </conditionalFormatting>
  <conditionalFormatting sqref="C9">
    <cfRule type="duplicateValues" dxfId="35" priority="41"/>
    <cfRule type="duplicateValues" dxfId="34" priority="42"/>
  </conditionalFormatting>
  <conditionalFormatting sqref="C9">
    <cfRule type="duplicateValues" dxfId="33" priority="43"/>
  </conditionalFormatting>
  <conditionalFormatting sqref="L9">
    <cfRule type="duplicateValues" dxfId="32" priority="44"/>
  </conditionalFormatting>
  <conditionalFormatting sqref="K10">
    <cfRule type="expression" dxfId="31" priority="23" stopIfTrue="1">
      <formula>AND(COUNTIF($K$23458:$K$23458, K10)&gt;1,NOT(ISBLANK(K10)))</formula>
    </cfRule>
  </conditionalFormatting>
  <conditionalFormatting sqref="K10">
    <cfRule type="expression" dxfId="30" priority="24" stopIfTrue="1">
      <formula>AND(COUNTIF(#REF!, K10)+COUNTIF($K$26853:$K$26859, K10)+COUNTIF($K$26932:$K$26932, K10)+COUNTIF($K$26956:$K$26956, K10)+COUNTIF($K$26897:$K$26901, K10)+COUNTIF($K$26952:$K$26952, K10)+COUNTIF($K$26917:$K$26917, K10)+COUNTIF($K$26926:$K$26926, K10)+COUNTIF($K$26938:$K$26940, K10)+COUNTIF($K$26811:$K$26816, K10)+COUNTIF($K$26946:$K$26946, K10)+COUNTIF($K$26944:$K$26944, K10)+COUNTIF($K$26950:$K$26950, K10)+COUNTIF($K$26914:$K$26915, K10)+COUNTIF($K$26924:$K$26924, K10)+COUNTIF($K$26929:$K$26929, K10)+COUNTIF($K$26667:$K$26670, K10)+COUNTIF($K$26708:$K$26715, K10)+COUNTIF($K$26721:$K$26724, K10)+COUNTIF($K$26726:$K$26733, K10)+COUNTIF($K$26612:$K$26621, K10)+COUNTIF($K$26647:$K$26651, K10)+COUNTIF($K$26345:$K$26358, K10)+COUNTIF($K$26201:$K$26219, K10)+COUNTIF($K$26318:$K$26324, K10)+COUNTIF($K$26267:$K$26278, K10)+COUNTIF($K$26287:$K$26289, K10)+COUNTIF($K$26307:$K$26310, K10)+COUNTIF($K$26221:$K$26247, K10)+COUNTIF($K$23423:$K$26157, K10)+COUNTIF($K$26175:$K$26183, K10)+COUNTIF($K$26327:$K$26330, K10)+COUNTIF($K$26673:$K$26674, K10)+COUNTIF($K$26819:$K$26820, K10)+COUNTIF($K$26862:$K$26869, K10)+COUNTIF($K$26748:$K$26754, K10)+COUNTIF($K$26736:$K$26743, K10)&gt;1,NOT(ISBLANK(K10)))</formula>
    </cfRule>
  </conditionalFormatting>
  <conditionalFormatting sqref="K10">
    <cfRule type="expression" dxfId="29" priority="25" stopIfTrue="1">
      <formula>AND(COUNTIF(#REF!, K10)+COUNTIF($K$26496:$K$26502, K10)+COUNTIF($K$26575:$K$26575, K10)+COUNTIF($K$26599:$K$26599, K10)+COUNTIF($K$26540:$K$26544, K10)+COUNTIF($K$26595:$K$26595, K10)+COUNTIF($K$26560:$K$26560, K10)+COUNTIF($K$26569:$K$26569, K10)+COUNTIF($K$26581:$K$26583, K10)+COUNTIF($K$26454:$K$26459, K10)+COUNTIF($K$26589:$K$26589, K10)+COUNTIF($K$26587:$K$26587, K10)+COUNTIF($K$26593:$K$26593, K10)+COUNTIF($K$26557:$K$26558, K10)+COUNTIF($K$26567:$K$26567, K10)+COUNTIF($K$26572:$K$26572, K10)+COUNTIF($K$26310:$K$26313, K10)+COUNTIF($K$26351:$K$26358, K10)+COUNTIF($K$26364:$K$26367, K10)+COUNTIF($K$26369:$K$26376, K10)+COUNTIF($K$26255:$K$26264, K10)+COUNTIF($K$26290:$K$26294, K10)+COUNTIF($K$25988:$K$26001, K10)+COUNTIF($K$25844:$K$25862, K10)+COUNTIF($K$25961:$K$25967, K10)+COUNTIF($K$25910:$K$25921, K10)+COUNTIF($K$25930:$K$25932, K10)+COUNTIF($K$25950:$K$25953, K10)+COUNTIF($K$25864:$K$25890, K10)+COUNTIF($K$23423:$K$25800, K10)+COUNTIF($K$25818:$K$25826, K10)+COUNTIF($K$25970:$K$25973, K10)+COUNTIF($K$26316:$K$26317, K10)+COUNTIF($K$26462:$K$26463, K10)+COUNTIF($K$26505:$K$26512, K10)+COUNTIF($K$26391:$K$26397, K10)+COUNTIF($K$26379:$K$26386, K10)&gt;1,NOT(ISBLANK(K10)))</formula>
    </cfRule>
  </conditionalFormatting>
  <conditionalFormatting sqref="L10">
    <cfRule type="expression" dxfId="28" priority="26" stopIfTrue="1">
      <formula>AND(COUNTIF($K$22683:$K$22683, L10)&gt;1,NOT(ISBLANK(L10)))</formula>
    </cfRule>
  </conditionalFormatting>
  <conditionalFormatting sqref="L10">
    <cfRule type="expression" dxfId="27" priority="27" stopIfTrue="1">
      <formula>AND(COUNTIF(#REF!, L10)+COUNTIF($K$26078:$K$26084, L10)+COUNTIF($K$26157:$K$26157, L10)+COUNTIF($K$26181:$K$26181, L10)+COUNTIF($K$26122:$K$26126, L10)+COUNTIF($K$26177:$K$26177, L10)+COUNTIF($K$26142:$K$26142, L10)+COUNTIF($K$26151:$K$26151, L10)+COUNTIF($K$26163:$K$26165, L10)+COUNTIF($K$26036:$K$26041, L10)+COUNTIF($K$26171:$K$26171, L10)+COUNTIF($K$26169:$K$26169, L10)+COUNTIF($K$26175:$K$26175, L10)+COUNTIF($K$26139:$K$26140, L10)+COUNTIF($K$26149:$K$26149, L10)+COUNTIF($K$26154:$K$26154, L10)+COUNTIF($K$25892:$K$25895, L10)+COUNTIF($K$25933:$K$25940, L10)+COUNTIF($K$25946:$K$25949, L10)+COUNTIF($K$25951:$K$25958, L10)+COUNTIF($K$25837:$K$25846, L10)+COUNTIF($K$25872:$K$25876, L10)+COUNTIF($K$25570:$K$25583, L10)+COUNTIF($K$25426:$K$25444, L10)+COUNTIF($K$25543:$K$25549, L10)+COUNTIF($K$25492:$K$25503, L10)+COUNTIF($K$25512:$K$25514, L10)+COUNTIF($K$25532:$K$25535, L10)+COUNTIF($K$25446:$K$25472, L10)+COUNTIF($K$22648:$K$25382, L10)+COUNTIF($K$25400:$K$25408, L10)+COUNTIF($K$25552:$K$25555, L10)+COUNTIF($K$25898:$K$25899, L10)+COUNTIF($K$26044:$K$26045, L10)+COUNTIF($K$26087:$K$26094, L10)+COUNTIF($K$25973:$K$25979, L10)+COUNTIF($K$25961:$K$25968, L10)&gt;1,NOT(ISBLANK(L10)))</formula>
    </cfRule>
  </conditionalFormatting>
  <conditionalFormatting sqref="L10">
    <cfRule type="expression" dxfId="26" priority="28" stopIfTrue="1">
      <formula>AND(COUNTIF(#REF!, L10)+COUNTIF($K$25721:$K$25727, L10)+COUNTIF($K$25800:$K$25800, L10)+COUNTIF($K$25824:$K$25824, L10)+COUNTIF($K$25765:$K$25769, L10)+COUNTIF($K$25820:$K$25820, L10)+COUNTIF($K$25785:$K$25785, L10)+COUNTIF($K$25794:$K$25794, L10)+COUNTIF($K$25806:$K$25808, L10)+COUNTIF($K$25679:$K$25684, L10)+COUNTIF($K$25814:$K$25814, L10)+COUNTIF($K$25812:$K$25812, L10)+COUNTIF($K$25818:$K$25818, L10)+COUNTIF($K$25782:$K$25783, L10)+COUNTIF($K$25792:$K$25792, L10)+COUNTIF($K$25797:$K$25797, L10)+COUNTIF($K$25535:$K$25538, L10)+COUNTIF($K$25576:$K$25583, L10)+COUNTIF($K$25589:$K$25592, L10)+COUNTIF($K$25594:$K$25601, L10)+COUNTIF($K$25480:$K$25489, L10)+COUNTIF($K$25515:$K$25519, L10)+COUNTIF($K$25213:$K$25226, L10)+COUNTIF($K$25069:$K$25087, L10)+COUNTIF($K$25186:$K$25192, L10)+COUNTIF($K$25135:$K$25146, L10)+COUNTIF($K$25155:$K$25157, L10)+COUNTIF($K$25175:$K$25178, L10)+COUNTIF($K$25089:$K$25115, L10)+COUNTIF($K$22648:$K$25025, L10)+COUNTIF($K$25043:$K$25051, L10)+COUNTIF($K$25195:$K$25198, L10)+COUNTIF($K$25541:$K$25542, L10)+COUNTIF($K$25687:$K$25688, L10)+COUNTIF($K$25730:$K$25737, L10)+COUNTIF($K$25616:$K$25622, L10)+COUNTIF($K$25604:$K$25611, L10)&gt;1,NOT(ISBLANK(L10)))</formula>
    </cfRule>
  </conditionalFormatting>
  <conditionalFormatting sqref="C10">
    <cfRule type="duplicateValues" dxfId="25" priority="29"/>
  </conditionalFormatting>
  <conditionalFormatting sqref="L10">
    <cfRule type="duplicateValues" dxfId="24" priority="30"/>
  </conditionalFormatting>
  <conditionalFormatting sqref="C10">
    <cfRule type="duplicateValues" dxfId="23" priority="31"/>
    <cfRule type="duplicateValues" dxfId="22" priority="32"/>
  </conditionalFormatting>
  <conditionalFormatting sqref="K11">
    <cfRule type="expression" dxfId="21" priority="11" stopIfTrue="1">
      <formula>AND(COUNTIF($K$23661:$K$23661, K11)&gt;1,NOT(ISBLANK(K11)))</formula>
    </cfRule>
  </conditionalFormatting>
  <conditionalFormatting sqref="K11">
    <cfRule type="expression" dxfId="20" priority="12" stopIfTrue="1">
      <formula>AND(COUNTIF(#REF!, K11)+COUNTIF($K$27056:$K$27062, K11)+COUNTIF($K$27135:$K$27135, K11)+COUNTIF($K$27159:$K$27159, K11)+COUNTIF($K$27100:$K$27104, K11)+COUNTIF($K$27155:$K$27155, K11)+COUNTIF($K$27120:$K$27120, K11)+COUNTIF($K$27129:$K$27129, K11)+COUNTIF($K$27141:$K$27143, K11)+COUNTIF($K$27014:$K$27019, K11)+COUNTIF($K$27149:$K$27149, K11)+COUNTIF($K$27147:$K$27147, K11)+COUNTIF($K$27153:$K$27153, K11)+COUNTIF($K$27117:$K$27118, K11)+COUNTIF($K$27127:$K$27127, K11)+COUNTIF($K$27132:$K$27132, K11)+COUNTIF($K$26870:$K$26873, K11)+COUNTIF($K$26911:$K$26918, K11)+COUNTIF($K$26924:$K$26927, K11)+COUNTIF($K$26929:$K$26936, K11)+COUNTIF($K$26815:$K$26824, K11)+COUNTIF($K$26850:$K$26854, K11)+COUNTIF($K$26548:$K$26561, K11)+COUNTIF($K$26404:$K$26422, K11)+COUNTIF($K$26521:$K$26527, K11)+COUNTIF($K$26470:$K$26481, K11)+COUNTIF($K$26490:$K$26492, K11)+COUNTIF($K$26510:$K$26513, K11)+COUNTIF($K$26424:$K$26450, K11)+COUNTIF($K$23626:$K$26360, K11)+COUNTIF($K$26378:$K$26386, K11)+COUNTIF($K$26530:$K$26533, K11)+COUNTIF($K$26876:$K$26877, K11)+COUNTIF($K$27022:$K$27023, K11)+COUNTIF($K$27065:$K$27072, K11)+COUNTIF($K$26951:$K$26957, K11)+COUNTIF($K$26939:$K$26946, K11)&gt;1,NOT(ISBLANK(K11)))</formula>
    </cfRule>
  </conditionalFormatting>
  <conditionalFormatting sqref="K11">
    <cfRule type="expression" dxfId="19" priority="13" stopIfTrue="1">
      <formula>AND(COUNTIF(#REF!, K11)+COUNTIF($K$26699:$K$26705, K11)+COUNTIF($K$26778:$K$26778, K11)+COUNTIF($K$26802:$K$26802, K11)+COUNTIF($K$26743:$K$26747, K11)+COUNTIF($K$26798:$K$26798, K11)+COUNTIF($K$26763:$K$26763, K11)+COUNTIF($K$26772:$K$26772, K11)+COUNTIF($K$26784:$K$26786, K11)+COUNTIF($K$26657:$K$26662, K11)+COUNTIF($K$26792:$K$26792, K11)+COUNTIF($K$26790:$K$26790, K11)+COUNTIF($K$26796:$K$26796, K11)+COUNTIF($K$26760:$K$26761, K11)+COUNTIF($K$26770:$K$26770, K11)+COUNTIF($K$26775:$K$26775, K11)+COUNTIF($K$26513:$K$26516, K11)+COUNTIF($K$26554:$K$26561, K11)+COUNTIF($K$26567:$K$26570, K11)+COUNTIF($K$26572:$K$26579, K11)+COUNTIF($K$26458:$K$26467, K11)+COUNTIF($K$26493:$K$26497, K11)+COUNTIF($K$26191:$K$26204, K11)+COUNTIF($K$26047:$K$26065, K11)+COUNTIF($K$26164:$K$26170, K11)+COUNTIF($K$26113:$K$26124, K11)+COUNTIF($K$26133:$K$26135, K11)+COUNTIF($K$26153:$K$26156, K11)+COUNTIF($K$26067:$K$26093, K11)+COUNTIF($K$23626:$K$26003, K11)+COUNTIF($K$26021:$K$26029, K11)+COUNTIF($K$26173:$K$26176, K11)+COUNTIF($K$26519:$K$26520, K11)+COUNTIF($K$26665:$K$26666, K11)+COUNTIF($K$26708:$K$26715, K11)+COUNTIF($K$26594:$K$26600, K11)+COUNTIF($K$26582:$K$26589, K11)&gt;1,NOT(ISBLANK(K11)))</formula>
    </cfRule>
  </conditionalFormatting>
  <conditionalFormatting sqref="L11">
    <cfRule type="expression" dxfId="18" priority="14" stopIfTrue="1">
      <formula>AND(COUNTIF($K$22886:$K$22886, L11)&gt;1,NOT(ISBLANK(L11)))</formula>
    </cfRule>
  </conditionalFormatting>
  <conditionalFormatting sqref="L11">
    <cfRule type="expression" dxfId="17" priority="15" stopIfTrue="1">
      <formula>AND(COUNTIF(#REF!, L11)+COUNTIF($K$26281:$K$26287, L11)+COUNTIF($K$26360:$K$26360, L11)+COUNTIF($K$26384:$K$26384, L11)+COUNTIF($K$26325:$K$26329, L11)+COUNTIF($K$26380:$K$26380, L11)+COUNTIF($K$26345:$K$26345, L11)+COUNTIF($K$26354:$K$26354, L11)+COUNTIF($K$26366:$K$26368, L11)+COUNTIF($K$26239:$K$26244, L11)+COUNTIF($K$26374:$K$26374, L11)+COUNTIF($K$26372:$K$26372, L11)+COUNTIF($K$26378:$K$26378, L11)+COUNTIF($K$26342:$K$26343, L11)+COUNTIF($K$26352:$K$26352, L11)+COUNTIF($K$26357:$K$26357, L11)+COUNTIF($K$26095:$K$26098, L11)+COUNTIF($K$26136:$K$26143, L11)+COUNTIF($K$26149:$K$26152, L11)+COUNTIF($K$26154:$K$26161, L11)+COUNTIF($K$26040:$K$26049, L11)+COUNTIF($K$26075:$K$26079, L11)+COUNTIF($K$25773:$K$25786, L11)+COUNTIF($K$25629:$K$25647, L11)+COUNTIF($K$25746:$K$25752, L11)+COUNTIF($K$25695:$K$25706, L11)+COUNTIF($K$25715:$K$25717, L11)+COUNTIF($K$25735:$K$25738, L11)+COUNTIF($K$25649:$K$25675, L11)+COUNTIF($K$22851:$K$25585, L11)+COUNTIF($K$25603:$K$25611, L11)+COUNTIF($K$25755:$K$25758, L11)+COUNTIF($K$26101:$K$26102, L11)+COUNTIF($K$26247:$K$26248, L11)+COUNTIF($K$26290:$K$26297, L11)+COUNTIF($K$26176:$K$26182, L11)+COUNTIF($K$26164:$K$26171, L11)&gt;1,NOT(ISBLANK(L11)))</formula>
    </cfRule>
  </conditionalFormatting>
  <conditionalFormatting sqref="L11">
    <cfRule type="expression" dxfId="16" priority="16" stopIfTrue="1">
      <formula>AND(COUNTIF(#REF!, L11)+COUNTIF($K$25924:$K$25930, L11)+COUNTIF($K$26003:$K$26003, L11)+COUNTIF($K$26027:$K$26027, L11)+COUNTIF($K$25968:$K$25972, L11)+COUNTIF($K$26023:$K$26023, L11)+COUNTIF($K$25988:$K$25988, L11)+COUNTIF($K$25997:$K$25997, L11)+COUNTIF($K$26009:$K$26011, L11)+COUNTIF($K$25882:$K$25887, L11)+COUNTIF($K$26017:$K$26017, L11)+COUNTIF($K$26015:$K$26015, L11)+COUNTIF($K$26021:$K$26021, L11)+COUNTIF($K$25985:$K$25986, L11)+COUNTIF($K$25995:$K$25995, L11)+COUNTIF($K$26000:$K$26000, L11)+COUNTIF($K$25738:$K$25741, L11)+COUNTIF($K$25779:$K$25786, L11)+COUNTIF($K$25792:$K$25795, L11)+COUNTIF($K$25797:$K$25804, L11)+COUNTIF($K$25683:$K$25692, L11)+COUNTIF($K$25718:$K$25722, L11)+COUNTIF($K$25416:$K$25429, L11)+COUNTIF($K$25272:$K$25290, L11)+COUNTIF($K$25389:$K$25395, L11)+COUNTIF($K$25338:$K$25349, L11)+COUNTIF($K$25358:$K$25360, L11)+COUNTIF($K$25378:$K$25381, L11)+COUNTIF($K$25292:$K$25318, L11)+COUNTIF($K$22851:$K$25228, L11)+COUNTIF($K$25246:$K$25254, L11)+COUNTIF($K$25398:$K$25401, L11)+COUNTIF($K$25744:$K$25745, L11)+COUNTIF($K$25890:$K$25891, L11)+COUNTIF($K$25933:$K$25940, L11)+COUNTIF($K$25819:$K$25825, L11)+COUNTIF($K$25807:$K$25814, L11)&gt;1,NOT(ISBLANK(L11)))</formula>
    </cfRule>
  </conditionalFormatting>
  <conditionalFormatting sqref="C11">
    <cfRule type="duplicateValues" dxfId="15" priority="17"/>
  </conditionalFormatting>
  <conditionalFormatting sqref="L11">
    <cfRule type="duplicateValues" dxfId="14" priority="18"/>
  </conditionalFormatting>
  <conditionalFormatting sqref="C11">
    <cfRule type="duplicateValues" dxfId="13" priority="19"/>
    <cfRule type="duplicateValues" dxfId="12" priority="20"/>
  </conditionalFormatting>
  <conditionalFormatting sqref="C11">
    <cfRule type="duplicateValues" dxfId="11" priority="21"/>
  </conditionalFormatting>
  <conditionalFormatting sqref="L11">
    <cfRule type="duplicateValues" dxfId="10" priority="22"/>
  </conditionalFormatting>
  <conditionalFormatting sqref="K12">
    <cfRule type="expression" dxfId="9" priority="1" stopIfTrue="1">
      <formula>AND(COUNTIF($K$23458:$K$23458, K12)&gt;1,NOT(ISBLANK(K12)))</formula>
    </cfRule>
  </conditionalFormatting>
  <conditionalFormatting sqref="K12">
    <cfRule type="expression" dxfId="8" priority="2" stopIfTrue="1">
      <formula>AND(COUNTIF(#REF!, K12)+COUNTIF($K$26853:$K$26859, K12)+COUNTIF($K$26932:$K$26932, K12)+COUNTIF($K$26956:$K$26956, K12)+COUNTIF($K$26897:$K$26901, K12)+COUNTIF($K$26952:$K$26952, K12)+COUNTIF($K$26917:$K$26917, K12)+COUNTIF($K$26926:$K$26926, K12)+COUNTIF($K$26938:$K$26940, K12)+COUNTIF($K$26811:$K$26816, K12)+COUNTIF($K$26946:$K$26946, K12)+COUNTIF($K$26944:$K$26944, K12)+COUNTIF($K$26950:$K$26950, K12)+COUNTIF($K$26914:$K$26915, K12)+COUNTIF($K$26924:$K$26924, K12)+COUNTIF($K$26929:$K$26929, K12)+COUNTIF($K$26667:$K$26670, K12)+COUNTIF($K$26708:$K$26715, K12)+COUNTIF($K$26721:$K$26724, K12)+COUNTIF($K$26726:$K$26733, K12)+COUNTIF($K$26612:$K$26621, K12)+COUNTIF($K$26647:$K$26651, K12)+COUNTIF($K$26345:$K$26358, K12)+COUNTIF($K$26201:$K$26219, K12)+COUNTIF($K$26318:$K$26324, K12)+COUNTIF($K$26267:$K$26278, K12)+COUNTIF($K$26287:$K$26289, K12)+COUNTIF($K$26307:$K$26310, K12)+COUNTIF($K$26221:$K$26247, K12)+COUNTIF($K$23423:$K$26157, K12)+COUNTIF($K$26175:$K$26183, K12)+COUNTIF($K$26327:$K$26330, K12)+COUNTIF($K$26673:$K$26674, K12)+COUNTIF($K$26819:$K$26820, K12)+COUNTIF($K$26862:$K$26869, K12)+COUNTIF($K$26748:$K$26754, K12)+COUNTIF($K$26736:$K$26743, K12)&gt;1,NOT(ISBLANK(K12)))</formula>
    </cfRule>
  </conditionalFormatting>
  <conditionalFormatting sqref="K12">
    <cfRule type="expression" dxfId="7" priority="3" stopIfTrue="1">
      <formula>AND(COUNTIF(#REF!, K12)+COUNTIF($K$26496:$K$26502, K12)+COUNTIF($K$26575:$K$26575, K12)+COUNTIF($K$26599:$K$26599, K12)+COUNTIF($K$26540:$K$26544, K12)+COUNTIF($K$26595:$K$26595, K12)+COUNTIF($K$26560:$K$26560, K12)+COUNTIF($K$26569:$K$26569, K12)+COUNTIF($K$26581:$K$26583, K12)+COUNTIF($K$26454:$K$26459, K12)+COUNTIF($K$26589:$K$26589, K12)+COUNTIF($K$26587:$K$26587, K12)+COUNTIF($K$26593:$K$26593, K12)+COUNTIF($K$26557:$K$26558, K12)+COUNTIF($K$26567:$K$26567, K12)+COUNTIF($K$26572:$K$26572, K12)+COUNTIF($K$26310:$K$26313, K12)+COUNTIF($K$26351:$K$26358, K12)+COUNTIF($K$26364:$K$26367, K12)+COUNTIF($K$26369:$K$26376, K12)+COUNTIF($K$26255:$K$26264, K12)+COUNTIF($K$26290:$K$26294, K12)+COUNTIF($K$25988:$K$26001, K12)+COUNTIF($K$25844:$K$25862, K12)+COUNTIF($K$25961:$K$25967, K12)+COUNTIF($K$25910:$K$25921, K12)+COUNTIF($K$25930:$K$25932, K12)+COUNTIF($K$25950:$K$25953, K12)+COUNTIF($K$25864:$K$25890, K12)+COUNTIF($K$23423:$K$25800, K12)+COUNTIF($K$25818:$K$25826, K12)+COUNTIF($K$25970:$K$25973, K12)+COUNTIF($K$26316:$K$26317, K12)+COUNTIF($K$26462:$K$26463, K12)+COUNTIF($K$26505:$K$26512, K12)+COUNTIF($K$26391:$K$26397, K12)+COUNTIF($K$26379:$K$26386, K12)&gt;1,NOT(ISBLANK(K12)))</formula>
    </cfRule>
  </conditionalFormatting>
  <conditionalFormatting sqref="L12">
    <cfRule type="expression" dxfId="6" priority="4" stopIfTrue="1">
      <formula>AND(COUNTIF($K$22683:$K$22683, L12)&gt;1,NOT(ISBLANK(L12)))</formula>
    </cfRule>
  </conditionalFormatting>
  <conditionalFormatting sqref="L12">
    <cfRule type="expression" dxfId="5" priority="5" stopIfTrue="1">
      <formula>AND(COUNTIF(#REF!, L12)+COUNTIF($K$26078:$K$26084, L12)+COUNTIF($K$26157:$K$26157, L12)+COUNTIF($K$26181:$K$26181, L12)+COUNTIF($K$26122:$K$26126, L12)+COUNTIF($K$26177:$K$26177, L12)+COUNTIF($K$26142:$K$26142, L12)+COUNTIF($K$26151:$K$26151, L12)+COUNTIF($K$26163:$K$26165, L12)+COUNTIF($K$26036:$K$26041, L12)+COUNTIF($K$26171:$K$26171, L12)+COUNTIF($K$26169:$K$26169, L12)+COUNTIF($K$26175:$K$26175, L12)+COUNTIF($K$26139:$K$26140, L12)+COUNTIF($K$26149:$K$26149, L12)+COUNTIF($K$26154:$K$26154, L12)+COUNTIF($K$25892:$K$25895, L12)+COUNTIF($K$25933:$K$25940, L12)+COUNTIF($K$25946:$K$25949, L12)+COUNTIF($K$25951:$K$25958, L12)+COUNTIF($K$25837:$K$25846, L12)+COUNTIF($K$25872:$K$25876, L12)+COUNTIF($K$25570:$K$25583, L12)+COUNTIF($K$25426:$K$25444, L12)+COUNTIF($K$25543:$K$25549, L12)+COUNTIF($K$25492:$K$25503, L12)+COUNTIF($K$25512:$K$25514, L12)+COUNTIF($K$25532:$K$25535, L12)+COUNTIF($K$25446:$K$25472, L12)+COUNTIF($K$22648:$K$25382, L12)+COUNTIF($K$25400:$K$25408, L12)+COUNTIF($K$25552:$K$25555, L12)+COUNTIF($K$25898:$K$25899, L12)+COUNTIF($K$26044:$K$26045, L12)+COUNTIF($K$26087:$K$26094, L12)+COUNTIF($K$25973:$K$25979, L12)+COUNTIF($K$25961:$K$25968, L12)&gt;1,NOT(ISBLANK(L12)))</formula>
    </cfRule>
  </conditionalFormatting>
  <conditionalFormatting sqref="L12">
    <cfRule type="expression" dxfId="4" priority="6" stopIfTrue="1">
      <formula>AND(COUNTIF(#REF!, L12)+COUNTIF($K$25721:$K$25727, L12)+COUNTIF($K$25800:$K$25800, L12)+COUNTIF($K$25824:$K$25824, L12)+COUNTIF($K$25765:$K$25769, L12)+COUNTIF($K$25820:$K$25820, L12)+COUNTIF($K$25785:$K$25785, L12)+COUNTIF($K$25794:$K$25794, L12)+COUNTIF($K$25806:$K$25808, L12)+COUNTIF($K$25679:$K$25684, L12)+COUNTIF($K$25814:$K$25814, L12)+COUNTIF($K$25812:$K$25812, L12)+COUNTIF($K$25818:$K$25818, L12)+COUNTIF($K$25782:$K$25783, L12)+COUNTIF($K$25792:$K$25792, L12)+COUNTIF($K$25797:$K$25797, L12)+COUNTIF($K$25535:$K$25538, L12)+COUNTIF($K$25576:$K$25583, L12)+COUNTIF($K$25589:$K$25592, L12)+COUNTIF($K$25594:$K$25601, L12)+COUNTIF($K$25480:$K$25489, L12)+COUNTIF($K$25515:$K$25519, L12)+COUNTIF($K$25213:$K$25226, L12)+COUNTIF($K$25069:$K$25087, L12)+COUNTIF($K$25186:$K$25192, L12)+COUNTIF($K$25135:$K$25146, L12)+COUNTIF($K$25155:$K$25157, L12)+COUNTIF($K$25175:$K$25178, L12)+COUNTIF($K$25089:$K$25115, L12)+COUNTIF($K$22648:$K$25025, L12)+COUNTIF($K$25043:$K$25051, L12)+COUNTIF($K$25195:$K$25198, L12)+COUNTIF($K$25541:$K$25542, L12)+COUNTIF($K$25687:$K$25688, L12)+COUNTIF($K$25730:$K$25737, L12)+COUNTIF($K$25616:$K$25622, L12)+COUNTIF($K$25604:$K$25611, L12)&gt;1,NOT(ISBLANK(L12)))</formula>
    </cfRule>
  </conditionalFormatting>
  <conditionalFormatting sqref="C12">
    <cfRule type="duplicateValues" dxfId="3" priority="7"/>
  </conditionalFormatting>
  <conditionalFormatting sqref="L12">
    <cfRule type="duplicateValues" dxfId="2" priority="8"/>
  </conditionalFormatting>
  <conditionalFormatting sqref="C12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Men~W's</vt:lpstr>
      <vt:lpstr>PS~GS</vt:lpstr>
      <vt:lpstr>Promo PS~GS</vt:lpstr>
      <vt:lpstr>Promo Men~W's</vt:lpstr>
      <vt:lpstr>SLT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Truong@DS (Truong Thi Hong Loan)</dc:creator>
  <cp:lastModifiedBy>Quyen</cp:lastModifiedBy>
  <dcterms:created xsi:type="dcterms:W3CDTF">2023-06-07T02:58:13Z</dcterms:created>
  <dcterms:modified xsi:type="dcterms:W3CDTF">2023-10-12T09:58:09Z</dcterms:modified>
</cp:coreProperties>
</file>