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Objects="none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-Name\Hanh-Hang-request\CÁC CTY\CÁC CTY\DV\"/>
    </mc:Choice>
  </mc:AlternateContent>
  <bookViews>
    <workbookView xWindow="-15" yWindow="6000" windowWidth="19185" windowHeight="5700" firstSheet="1" activeTab="1"/>
  </bookViews>
  <sheets>
    <sheet name="Size Run V2D70-1" sheetId="9" state="hidden" r:id="rId1"/>
    <sheet name="LABEL" sheetId="8" r:id="rId2"/>
  </sheets>
  <definedNames>
    <definedName name="_xlnm._FilterDatabase" localSheetId="1" hidden="1">LABEL!$A$4:$AA$49</definedName>
    <definedName name="_xlnm.Print_Area" localSheetId="1">LABEL!$C$1:$W$49</definedName>
    <definedName name="_xlnm.Print_Titles" localSheetId="1">LABEL!$1:$4</definedName>
  </definedNames>
  <calcPr calcId="152511"/>
</workbook>
</file>

<file path=xl/calcChain.xml><?xml version="1.0" encoding="utf-8"?>
<calcChain xmlns="http://schemas.openxmlformats.org/spreadsheetml/2006/main">
  <c r="D5" i="8" l="1"/>
  <c r="C5" i="8" s="1"/>
  <c r="A5" i="8" s="1"/>
  <c r="D6" i="8"/>
  <c r="C6" i="8" s="1"/>
  <c r="A6" i="8" s="1"/>
  <c r="D7" i="8"/>
  <c r="C7" i="8" s="1"/>
  <c r="A7" i="8" s="1"/>
  <c r="D8" i="8"/>
  <c r="C8" i="8" s="1"/>
  <c r="A8" i="8" s="1"/>
  <c r="D9" i="8"/>
  <c r="C9" i="8" s="1"/>
  <c r="A9" i="8" s="1"/>
  <c r="D10" i="8"/>
  <c r="C10" i="8" s="1"/>
  <c r="A10" i="8" s="1"/>
  <c r="D11" i="8"/>
  <c r="C11" i="8" s="1"/>
  <c r="A11" i="8" s="1"/>
  <c r="D12" i="8"/>
  <c r="C12" i="8" s="1"/>
  <c r="A12" i="8" s="1"/>
  <c r="D13" i="8"/>
  <c r="C13" i="8" s="1"/>
  <c r="A13" i="8" s="1"/>
  <c r="D14" i="8"/>
  <c r="C14" i="8" s="1"/>
  <c r="A14" i="8" s="1"/>
  <c r="D15" i="8"/>
  <c r="C15" i="8" s="1"/>
  <c r="A15" i="8" s="1"/>
  <c r="D16" i="8"/>
  <c r="C16" i="8" s="1"/>
  <c r="A16" i="8" s="1"/>
  <c r="D17" i="8"/>
  <c r="C17" i="8" s="1"/>
  <c r="A17" i="8" s="1"/>
  <c r="D18" i="8"/>
  <c r="C18" i="8" s="1"/>
  <c r="A18" i="8" s="1"/>
  <c r="D19" i="8"/>
  <c r="C19" i="8" s="1"/>
  <c r="A19" i="8" s="1"/>
  <c r="D20" i="8"/>
  <c r="C20" i="8" s="1"/>
  <c r="A20" i="8" s="1"/>
  <c r="D21" i="8"/>
  <c r="C21" i="8" s="1"/>
  <c r="A21" i="8" s="1"/>
  <c r="D22" i="8"/>
  <c r="C22" i="8" s="1"/>
  <c r="A22" i="8" s="1"/>
  <c r="D23" i="8"/>
  <c r="C23" i="8" s="1"/>
  <c r="A23" i="8" s="1"/>
  <c r="D24" i="8"/>
  <c r="C24" i="8" s="1"/>
  <c r="A24" i="8" s="1"/>
  <c r="D25" i="8"/>
  <c r="C25" i="8" s="1"/>
  <c r="A25" i="8" s="1"/>
  <c r="D26" i="8"/>
  <c r="C26" i="8" s="1"/>
  <c r="A26" i="8" s="1"/>
  <c r="D27" i="8"/>
  <c r="C27" i="8" s="1"/>
  <c r="A27" i="8" s="1"/>
  <c r="D28" i="8"/>
  <c r="C28" i="8" s="1"/>
  <c r="A28" i="8" s="1"/>
  <c r="D29" i="8"/>
  <c r="C29" i="8" s="1"/>
  <c r="A29" i="8" s="1"/>
  <c r="D30" i="8"/>
  <c r="C30" i="8" s="1"/>
  <c r="A30" i="8" s="1"/>
  <c r="D31" i="8"/>
  <c r="C31" i="8" s="1"/>
  <c r="A31" i="8" s="1"/>
  <c r="D32" i="8"/>
  <c r="C32" i="8" s="1"/>
  <c r="A32" i="8" s="1"/>
  <c r="D33" i="8"/>
  <c r="C33" i="8" s="1"/>
  <c r="A33" i="8" s="1"/>
  <c r="D34" i="8"/>
  <c r="C34" i="8" s="1"/>
  <c r="A34" i="8" s="1"/>
  <c r="D35" i="8"/>
  <c r="C35" i="8" s="1"/>
  <c r="A35" i="8" s="1"/>
  <c r="D36" i="8"/>
  <c r="C36" i="8" s="1"/>
  <c r="A36" i="8" s="1"/>
  <c r="D37" i="8"/>
  <c r="C37" i="8" s="1"/>
  <c r="A37" i="8" s="1"/>
  <c r="D38" i="8"/>
  <c r="C38" i="8" s="1"/>
  <c r="A38" i="8" s="1"/>
  <c r="D39" i="8"/>
  <c r="C39" i="8" s="1"/>
  <c r="A39" i="8" s="1"/>
  <c r="D40" i="8"/>
  <c r="C40" i="8" s="1"/>
  <c r="A40" i="8" s="1"/>
  <c r="D41" i="8"/>
  <c r="C41" i="8" s="1"/>
  <c r="A41" i="8" s="1"/>
  <c r="D42" i="8"/>
  <c r="C42" i="8" s="1"/>
  <c r="A42" i="8" s="1"/>
  <c r="D43" i="8"/>
  <c r="C43" i="8" s="1"/>
  <c r="A43" i="8" s="1"/>
  <c r="D44" i="8"/>
  <c r="C44" i="8" s="1"/>
  <c r="A44" i="8" s="1"/>
  <c r="D45" i="8"/>
  <c r="C45" i="8" s="1"/>
  <c r="A45" i="8" s="1"/>
  <c r="D46" i="8"/>
  <c r="C46" i="8" s="1"/>
  <c r="A46" i="8" s="1"/>
  <c r="D47" i="8"/>
  <c r="C47" i="8" s="1"/>
  <c r="A47" i="8" s="1"/>
  <c r="D48" i="8"/>
  <c r="C48" i="8" s="1"/>
  <c r="A48" i="8" s="1"/>
  <c r="D49" i="8"/>
  <c r="C49" i="8" s="1"/>
  <c r="A49" i="8" s="1"/>
  <c r="G4" i="9" l="1"/>
  <c r="E4" i="9" s="1"/>
  <c r="H4" i="9"/>
  <c r="I4" i="9"/>
  <c r="J4" i="9"/>
  <c r="K4" i="9"/>
  <c r="L4" i="9"/>
  <c r="M4" i="9"/>
  <c r="N4" i="9"/>
  <c r="F4" i="9"/>
</calcChain>
</file>

<file path=xl/sharedStrings.xml><?xml version="1.0" encoding="utf-8"?>
<sst xmlns="http://schemas.openxmlformats.org/spreadsheetml/2006/main" count="450" uniqueCount="138">
  <si>
    <t>LOT_NO</t>
  </si>
  <si>
    <t>STYLE</t>
  </si>
  <si>
    <t>PO_NO</t>
  </si>
  <si>
    <t>PO_ITEM</t>
  </si>
  <si>
    <t>PLANT_CODE</t>
  </si>
  <si>
    <t>SHIP_TO</t>
  </si>
  <si>
    <t>COUNTRY</t>
  </si>
  <si>
    <t>MTL_NO</t>
  </si>
  <si>
    <t>LABEL_NAME</t>
  </si>
  <si>
    <t>PUR_QTY</t>
  </si>
  <si>
    <t>64M40</t>
  </si>
  <si>
    <t>W2DPN</t>
  </si>
  <si>
    <t>W2DH2</t>
  </si>
  <si>
    <t>W2B50</t>
  </si>
  <si>
    <t>USA</t>
  </si>
  <si>
    <t>W2DPL</t>
  </si>
  <si>
    <t>MODEL</t>
  </si>
  <si>
    <t>GENDER</t>
  </si>
  <si>
    <t>LOT#</t>
  </si>
  <si>
    <t>W2DWN</t>
  </si>
  <si>
    <t>W2AC5</t>
  </si>
  <si>
    <t>W2AH9</t>
  </si>
  <si>
    <t>W2DW7</t>
  </si>
  <si>
    <t>W2B91</t>
  </si>
  <si>
    <t>Lining</t>
  </si>
  <si>
    <t>Outsole</t>
  </si>
  <si>
    <t>CZ8280-010</t>
  </si>
  <si>
    <t>W NIKE METCON 7</t>
  </si>
  <si>
    <t>V2D70-1</t>
  </si>
  <si>
    <t>Date order</t>
  </si>
  <si>
    <t>Code tem</t>
  </si>
  <si>
    <t>#5</t>
  </si>
  <si>
    <t>#5.5</t>
  </si>
  <si>
    <t>#6</t>
  </si>
  <si>
    <t>#6.5</t>
  </si>
  <si>
    <t>#7.5</t>
  </si>
  <si>
    <t>#9</t>
  </si>
  <si>
    <t>#10</t>
  </si>
  <si>
    <t>#10.5</t>
  </si>
  <si>
    <t>#11</t>
  </si>
  <si>
    <t>UPC</t>
  </si>
  <si>
    <t>UPC cần đặt</t>
  </si>
  <si>
    <t>kho base</t>
  </si>
  <si>
    <t>Total Pair</t>
  </si>
  <si>
    <t>Order Qty</t>
  </si>
  <si>
    <t>Utilization --&gt;
 deduct Q'ty</t>
  </si>
  <si>
    <t>OGAC</t>
  </si>
  <si>
    <t>GAC</t>
  </si>
  <si>
    <t>MRPS</t>
  </si>
  <si>
    <t>Upper</t>
  </si>
  <si>
    <t xml:space="preserve">SEASON </t>
  </si>
  <si>
    <t>FJ4908-100</t>
  </si>
  <si>
    <t>AIR FORCE 1 SP</t>
  </si>
  <si>
    <t>W NIKE METCON 9 AMP</t>
  </si>
  <si>
    <t>NIKE METCON 9</t>
  </si>
  <si>
    <t>FN5924-001</t>
  </si>
  <si>
    <t>AIR FORCE 1 LOW RETRO</t>
  </si>
  <si>
    <t>W NIKE METCON 9</t>
  </si>
  <si>
    <t>M NIKE METCON 9 FLYEASE</t>
  </si>
  <si>
    <t/>
  </si>
  <si>
    <t>China</t>
  </si>
  <si>
    <t>Belgium</t>
  </si>
  <si>
    <t>Indonesia</t>
  </si>
  <si>
    <t>Argentina</t>
  </si>
  <si>
    <t>Note Bom labels</t>
  </si>
  <si>
    <t>WO</t>
  </si>
  <si>
    <t>ME</t>
  </si>
  <si>
    <t>GS</t>
  </si>
  <si>
    <t>HO2023</t>
  </si>
  <si>
    <t>FORCE TROUT 9 KEYSTONE</t>
  </si>
  <si>
    <t>FB9728-600</t>
  </si>
  <si>
    <t>FB9731-002</t>
  </si>
  <si>
    <t>FORCE TROUT 9 KEYSTONE BG</t>
  </si>
  <si>
    <t>FB9728-100</t>
  </si>
  <si>
    <t>SP2024</t>
  </si>
  <si>
    <t>ARGENTINA STICKER "1"(SH)</t>
  </si>
  <si>
    <t>ARGENTINA/CHILE WASHING INSTRUCTION CARD(SH)</t>
  </si>
  <si>
    <t>PICTOGRAM "1" LABEL(PC)</t>
  </si>
  <si>
    <t>PICTOGRAM "3" LABEL(PC)</t>
  </si>
  <si>
    <t>INDONESIA LABEL #3(SH)</t>
  </si>
  <si>
    <t>CHINA QUALITY QR CODE CERTIFICATE LABEL(SH)</t>
  </si>
  <si>
    <t>CHINA SIZE AND QUALITY CHECH STICKER(PC)</t>
  </si>
  <si>
    <t>DZ2537-102</t>
  </si>
  <si>
    <t>DZ2539-500</t>
  </si>
  <si>
    <t>DZ2617-102</t>
  </si>
  <si>
    <t>DZ2617-001</t>
  </si>
  <si>
    <t>US LABEL #3 STICKER(SH)</t>
  </si>
  <si>
    <t>AO7507-001</t>
  </si>
  <si>
    <t>NIKE SFB FIELD 2 8''</t>
  </si>
  <si>
    <t>FB9728-002</t>
  </si>
  <si>
    <t>FB9728-400</t>
  </si>
  <si>
    <t>FB9731-600</t>
  </si>
  <si>
    <t>LABEL INFORMATION FOR 6/14/2023 Buy - DV1</t>
  </si>
  <si>
    <t>V3HD101</t>
  </si>
  <si>
    <t>V3HD501</t>
  </si>
  <si>
    <t>V3KA101</t>
  </si>
  <si>
    <t>V3KA103</t>
  </si>
  <si>
    <t>V3KA102</t>
  </si>
  <si>
    <t>V3KA104</t>
  </si>
  <si>
    <t>V3KA201</t>
  </si>
  <si>
    <t>V3KA202</t>
  </si>
  <si>
    <t>V3KA301</t>
  </si>
  <si>
    <t>V3KA302</t>
  </si>
  <si>
    <t>V3KA401</t>
  </si>
  <si>
    <t>V3KAM01</t>
  </si>
  <si>
    <t>V3KAN01</t>
  </si>
  <si>
    <t>V3KAP01</t>
  </si>
  <si>
    <t>V3KAR01</t>
  </si>
  <si>
    <t>V3KAS01</t>
  </si>
  <si>
    <t>V3KAT01</t>
  </si>
  <si>
    <t>V3KAU01</t>
  </si>
  <si>
    <t>V3KAW01</t>
  </si>
  <si>
    <t>V3M2201</t>
  </si>
  <si>
    <t>V3M2301</t>
  </si>
  <si>
    <t>V3M2307</t>
  </si>
  <si>
    <t>V3M2302</t>
  </si>
  <si>
    <t>V3M2303</t>
  </si>
  <si>
    <t>V3M2305</t>
  </si>
  <si>
    <t>V3M2501</t>
  </si>
  <si>
    <t>V3M2701</t>
  </si>
  <si>
    <t>V3M2705</t>
  </si>
  <si>
    <t>V3M2702</t>
  </si>
  <si>
    <t>V3M2706</t>
  </si>
  <si>
    <t>V3M2802</t>
  </si>
  <si>
    <t>V3M2805</t>
  </si>
  <si>
    <t>V3M2904</t>
  </si>
  <si>
    <t>V3M2907</t>
  </si>
  <si>
    <t>V3M2905</t>
  </si>
  <si>
    <t>V3M2908</t>
  </si>
  <si>
    <t>V3M3002</t>
  </si>
  <si>
    <t>V3M3004</t>
  </si>
  <si>
    <t>V3M3003</t>
  </si>
  <si>
    <t>V3M3101</t>
  </si>
  <si>
    <t>V3M3102</t>
  </si>
  <si>
    <t>V3HD802</t>
  </si>
  <si>
    <t>DZ2615-102</t>
  </si>
  <si>
    <t>India</t>
  </si>
  <si>
    <t>INDIA STICKER(SH)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</si>
</sst>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m/d;@"/>
    <numFmt numFmtId="165" formatCode="0.0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indexed="8"/>
      <name val="Calibri"/>
      <family val="1"/>
      <charset val="136"/>
    </font>
    <font>
      <sz val="12"/>
      <name val="新細明體"/>
      <family val="1"/>
      <charset val="136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18"/>
      <name val="Tahoma"/>
      <family val="2"/>
    </font>
    <font>
      <sz val="10"/>
      <color indexed="10"/>
      <name val="Arial"/>
      <family val="2"/>
    </font>
    <font>
      <sz val="10"/>
      <color theme="1"/>
      <name val="Tahoma"/>
      <family val="2"/>
    </font>
    <font>
      <sz val="14"/>
      <color theme="0" tint="-0.34998626667073579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</patternFill>
    </fill>
    <fill>
      <patternFill patternType="solid">
        <fgColor indexed="3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medium">
        <color indexed="22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0" fontId="5" fillId="0" borderId="0"/>
    <xf numFmtId="0" fontId="13" fillId="0" borderId="0"/>
    <xf numFmtId="0" fontId="2" fillId="0" borderId="0"/>
    <xf numFmtId="0" fontId="14" fillId="0" borderId="0"/>
    <xf numFmtId="4" fontId="15" fillId="3" borderId="0" applyNumberFormat="0" applyProtection="0">
      <alignment horizontal="left" vertical="center" indent="1"/>
    </xf>
    <xf numFmtId="4" fontId="16" fillId="4" borderId="2" applyNumberFormat="0" applyProtection="0">
      <alignment horizontal="right" vertical="center"/>
    </xf>
    <xf numFmtId="4" fontId="17" fillId="5" borderId="3">
      <alignment horizontal="left" vertical="center" indent="1"/>
    </xf>
    <xf numFmtId="0" fontId="16" fillId="3" borderId="2" applyNumberFormat="0" applyProtection="0">
      <alignment horizontal="left" vertical="top" indent="1"/>
    </xf>
    <xf numFmtId="4" fontId="18" fillId="4" borderId="2" applyNumberFormat="0" applyProtection="0">
      <alignment horizontal="right" vertical="center"/>
    </xf>
    <xf numFmtId="0" fontId="2" fillId="0" borderId="0"/>
    <xf numFmtId="0" fontId="19" fillId="0" borderId="0"/>
    <xf numFmtId="0" fontId="7" fillId="0" borderId="0"/>
  </cellStyleXfs>
  <cellXfs count="37">
    <xf numFmtId="0" fontId="0" fillId="0" borderId="0" xfId="0"/>
    <xf numFmtId="0" fontId="4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8" fillId="0" borderId="0" xfId="0" applyFont="1" applyFill="1" applyBorder="1" applyAlignment="1">
      <alignment horizontal="left"/>
    </xf>
    <xf numFmtId="0" fontId="11" fillId="0" borderId="0" xfId="0" applyFont="1"/>
    <xf numFmtId="0" fontId="6" fillId="0" borderId="1" xfId="0" applyFont="1" applyFill="1" applyBorder="1"/>
    <xf numFmtId="0" fontId="0" fillId="0" borderId="0" xfId="0" applyFont="1" applyFill="1" applyBorder="1"/>
    <xf numFmtId="0" fontId="4" fillId="0" borderId="0" xfId="0" applyFont="1" applyFill="1" applyBorder="1"/>
    <xf numFmtId="0" fontId="6" fillId="0" borderId="0" xfId="0" applyFont="1" applyFill="1" applyBorder="1"/>
    <xf numFmtId="0" fontId="0" fillId="0" borderId="0" xfId="0" applyFont="1" applyFill="1"/>
    <xf numFmtId="0" fontId="12" fillId="0" borderId="0" xfId="0" applyFont="1" applyFill="1" applyBorder="1"/>
    <xf numFmtId="0" fontId="8" fillId="0" borderId="0" xfId="0" applyFont="1" applyFill="1" applyBorder="1"/>
    <xf numFmtId="0" fontId="0" fillId="0" borderId="0" xfId="0" applyFont="1" applyFill="1" applyBorder="1"/>
    <xf numFmtId="0" fontId="8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center"/>
    </xf>
    <xf numFmtId="165" fontId="8" fillId="0" borderId="0" xfId="0" applyNumberFormat="1" applyFont="1" applyFill="1" applyBorder="1"/>
    <xf numFmtId="0" fontId="6" fillId="0" borderId="1" xfId="0" applyFont="1" applyFill="1" applyBorder="1" applyAlignment="1">
      <alignment horizontal="left"/>
    </xf>
    <xf numFmtId="0" fontId="10" fillId="0" borderId="1" xfId="0" applyFont="1" applyFill="1" applyBorder="1"/>
    <xf numFmtId="1" fontId="10" fillId="0" borderId="0" xfId="0" applyNumberFormat="1" applyFont="1" applyFill="1" applyBorder="1"/>
    <xf numFmtId="164" fontId="9" fillId="0" borderId="0" xfId="0" applyNumberFormat="1" applyFont="1" applyFill="1" applyBorder="1"/>
    <xf numFmtId="0" fontId="8" fillId="2" borderId="1" xfId="0" applyFont="1" applyFill="1" applyBorder="1"/>
    <xf numFmtId="164" fontId="8" fillId="2" borderId="1" xfId="0" applyNumberFormat="1" applyFont="1" applyFill="1" applyBorder="1"/>
    <xf numFmtId="18" fontId="8" fillId="2" borderId="1" xfId="0" applyNumberFormat="1" applyFont="1" applyFill="1" applyBorder="1"/>
    <xf numFmtId="0" fontId="9" fillId="2" borderId="1" xfId="0" applyFont="1" applyFill="1" applyBorder="1"/>
    <xf numFmtId="1" fontId="8" fillId="2" borderId="1" xfId="0" applyNumberFormat="1" applyFont="1" applyFill="1" applyBorder="1"/>
    <xf numFmtId="1" fontId="8" fillId="2" borderId="1" xfId="0" applyNumberFormat="1" applyFont="1" applyFill="1" applyBorder="1" applyAlignment="1">
      <alignment horizontal="left"/>
    </xf>
    <xf numFmtId="14" fontId="6" fillId="0" borderId="0" xfId="0" applyNumberFormat="1" applyFont="1" applyFill="1" applyBorder="1" applyAlignment="1">
      <alignment horizontal="center" vertical="center"/>
    </xf>
    <xf numFmtId="14" fontId="6" fillId="0" borderId="0" xfId="0" applyNumberFormat="1" applyFont="1" applyFill="1" applyBorder="1"/>
    <xf numFmtId="0" fontId="21" fillId="0" borderId="0" xfId="0" applyFont="1" applyFill="1" applyBorder="1"/>
    <xf numFmtId="14" fontId="0" fillId="0" borderId="0" xfId="0" applyNumberFormat="1" applyFill="1" applyProtection="1"/>
    <xf numFmtId="14" fontId="0" fillId="0" borderId="0" xfId="0" applyNumberFormat="1" applyFill="1" applyAlignment="1" applyProtection="1">
      <alignment horizontal="center"/>
    </xf>
    <xf numFmtId="0" fontId="6" fillId="6" borderId="1" xfId="0" applyFont="1" applyFill="1" applyBorder="1"/>
    <xf numFmtId="0" fontId="6" fillId="6" borderId="0" xfId="0" applyFont="1" applyFill="1" applyBorder="1"/>
    <xf numFmtId="14" fontId="22" fillId="6" borderId="0" xfId="0" applyNumberFormat="1" applyFont="1" applyFill="1"/>
    <xf numFmtId="18" fontId="6" fillId="6" borderId="1" xfId="0" applyNumberFormat="1" applyFont="1" applyFill="1" applyBorder="1"/>
  </cellXfs>
  <cellStyles count="22">
    <cellStyle name="Comma 2" xfId="7"/>
    <cellStyle name="Comma 2 2" xfId="6"/>
    <cellStyle name="Comma 3" xfId="8"/>
    <cellStyle name="Comma 3 2" xfId="5"/>
    <cellStyle name="Normal" xfId="0" builtinId="0"/>
    <cellStyle name="Normal 10 2" xfId="9"/>
    <cellStyle name="Normal 14" xfId="10"/>
    <cellStyle name="Normal 147" xfId="11"/>
    <cellStyle name="Normal 2" xfId="1"/>
    <cellStyle name="Normal 2 2" xfId="12"/>
    <cellStyle name="Normal 2 4" xfId="13"/>
    <cellStyle name="Normal 3" xfId="2"/>
    <cellStyle name="Normal 4" xfId="3"/>
    <cellStyle name="Normal 5" xfId="4"/>
    <cellStyle name="SAPBEXchaText" xfId="14"/>
    <cellStyle name="SAPBEXstdData" xfId="15"/>
    <cellStyle name="SAPBEXstdItem" xfId="16"/>
    <cellStyle name="SAPBEXstdItemX" xfId="17"/>
    <cellStyle name="SAPBEXundefined" xfId="18"/>
    <cellStyle name="Style 1" xfId="19"/>
    <cellStyle name="一般 2 2" xfId="20"/>
    <cellStyle name="一般_12 1 OCW Template" xfId="21"/>
  </cellStyles>
  <dxfs count="20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D4672A"/>
      <color rgb="FFFFFFFF"/>
      <color rgb="FFB2E0B4"/>
      <color rgb="FF0000FF"/>
      <color rgb="FFEA7500"/>
      <color rgb="FF098D4E"/>
      <color rgb="FF009E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4"/>
  <sheetViews>
    <sheetView workbookViewId="0">
      <selection activeCell="F38" sqref="F38"/>
    </sheetView>
  </sheetViews>
  <sheetFormatPr defaultRowHeight="14.25"/>
  <cols>
    <col min="2" max="2" width="10.86328125" bestFit="1" customWidth="1"/>
    <col min="3" max="3" width="17.265625" bestFit="1" customWidth="1"/>
    <col min="4" max="4" width="11.265625" bestFit="1" customWidth="1"/>
  </cols>
  <sheetData>
    <row r="1" spans="1:14">
      <c r="A1" t="s">
        <v>28</v>
      </c>
      <c r="B1" t="s">
        <v>26</v>
      </c>
      <c r="C1" t="s">
        <v>27</v>
      </c>
      <c r="D1">
        <v>947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</row>
    <row r="2" spans="1:14" hidden="1">
      <c r="D2" t="s">
        <v>40</v>
      </c>
      <c r="E2" t="s">
        <v>20</v>
      </c>
      <c r="F2">
        <v>101</v>
      </c>
      <c r="G2">
        <v>119</v>
      </c>
      <c r="H2">
        <v>232</v>
      </c>
      <c r="I2">
        <v>25</v>
      </c>
      <c r="J2">
        <v>58</v>
      </c>
      <c r="K2">
        <v>25</v>
      </c>
      <c r="L2">
        <v>243</v>
      </c>
      <c r="M2">
        <v>137</v>
      </c>
      <c r="N2">
        <v>7</v>
      </c>
    </row>
    <row r="3" spans="1:14" hidden="1">
      <c r="D3" t="s">
        <v>40</v>
      </c>
      <c r="E3" t="s">
        <v>20</v>
      </c>
      <c r="F3">
        <v>36</v>
      </c>
      <c r="G3">
        <v>119</v>
      </c>
      <c r="H3">
        <v>52</v>
      </c>
      <c r="I3">
        <v>25</v>
      </c>
      <c r="J3">
        <v>58</v>
      </c>
      <c r="K3">
        <v>25</v>
      </c>
      <c r="L3">
        <v>243</v>
      </c>
      <c r="M3">
        <v>137</v>
      </c>
      <c r="N3">
        <v>7</v>
      </c>
    </row>
    <row r="4" spans="1:14">
      <c r="D4" t="s">
        <v>41</v>
      </c>
      <c r="E4">
        <f>SUM(F4:N4)</f>
        <v>245</v>
      </c>
      <c r="F4" s="5">
        <f>+F2-F3</f>
        <v>65</v>
      </c>
      <c r="G4">
        <f t="shared" ref="G4:N4" si="0">+G2-G3</f>
        <v>0</v>
      </c>
      <c r="H4" s="5">
        <f t="shared" si="0"/>
        <v>180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AB50"/>
  <sheetViews>
    <sheetView tabSelected="1" zoomScale="70" zoomScaleNormal="70" zoomScaleSheetLayoutView="70" workbookViewId="0">
      <pane xSplit="9" ySplit="4" topLeftCell="P5" activePane="bottomRight" state="frozen"/>
      <selection activeCell="L21" sqref="L21"/>
      <selection pane="topRight" activeCell="L21" sqref="L21"/>
      <selection pane="bottomLeft" activeCell="L21" sqref="L21"/>
      <selection pane="bottomRight" activeCell="G68" sqref="G68"/>
    </sheetView>
  </sheetViews>
  <sheetFormatPr defaultColWidth="11.59765625" defaultRowHeight="14.25"/>
  <cols>
    <col min="1" max="1" width="11.59765625" style="7" customWidth="1"/>
    <col min="2" max="2" width="15.3984375" style="7" bestFit="1" customWidth="1"/>
    <col min="3" max="3" width="26.86328125" style="13" customWidth="1"/>
    <col min="4" max="4" width="9.59765625" style="13" customWidth="1"/>
    <col min="5" max="5" width="12" style="13" customWidth="1"/>
    <col min="6" max="6" width="17" style="13" customWidth="1"/>
    <col min="7" max="7" width="30.3984375" style="2" customWidth="1"/>
    <col min="8" max="8" width="15" style="13" customWidth="1"/>
    <col min="9" max="9" width="7.3984375" style="13" customWidth="1"/>
    <col min="10" max="10" width="10.1328125" style="7" customWidth="1"/>
    <col min="11" max="11" width="11.1328125" style="3" customWidth="1"/>
    <col min="12" max="12" width="12.9296875" style="7" customWidth="1"/>
    <col min="13" max="13" width="10.1328125" style="7" customWidth="1"/>
    <col min="14" max="14" width="11.1328125" style="7" customWidth="1"/>
    <col min="15" max="15" width="14.86328125" style="2" customWidth="1"/>
    <col min="16" max="16" width="14.265625" style="7" customWidth="1"/>
    <col min="17" max="17" width="31.73046875" style="7" customWidth="1"/>
    <col min="18" max="18" width="15.86328125" style="7" customWidth="1"/>
    <col min="19" max="19" width="15.73046875" style="7" customWidth="1"/>
    <col min="20" max="20" width="8.265625" style="7" customWidth="1"/>
    <col min="21" max="21" width="7.86328125" style="7" customWidth="1"/>
    <col min="22" max="22" width="7.59765625" style="7" customWidth="1"/>
    <col min="23" max="23" width="6.86328125" style="7" customWidth="1"/>
    <col min="24" max="24" width="9" style="13" hidden="1" customWidth="1"/>
    <col min="25" max="25" width="8.86328125" style="7" hidden="1" customWidth="1"/>
    <col min="26" max="26" width="9.1328125" style="7" hidden="1" customWidth="1"/>
    <col min="27" max="27" width="8.73046875" style="10" customWidth="1"/>
    <col min="28" max="28" width="19.73046875" style="7" customWidth="1"/>
    <col min="29" max="16384" width="11.59765625" style="7"/>
  </cols>
  <sheetData>
    <row r="1" spans="1:28" s="8" customFormat="1" ht="33.75" customHeight="1">
      <c r="C1" s="11" t="s">
        <v>92</v>
      </c>
      <c r="E1" s="11"/>
      <c r="F1" s="11"/>
      <c r="G1" s="1"/>
      <c r="K1" s="7"/>
      <c r="O1" s="1"/>
    </row>
    <row r="2" spans="1:28" s="14" customFormat="1" ht="15.75" customHeight="1">
      <c r="B2" s="12"/>
      <c r="C2" s="15"/>
      <c r="D2" s="12"/>
      <c r="E2" s="9"/>
      <c r="F2" s="15"/>
      <c r="G2" s="28">
        <v>45112</v>
      </c>
      <c r="H2" s="12"/>
      <c r="I2" s="12"/>
      <c r="J2" s="12"/>
      <c r="K2" s="12"/>
      <c r="R2" s="16"/>
      <c r="S2" s="16" t="s">
        <v>42</v>
      </c>
      <c r="T2" s="16"/>
    </row>
    <row r="3" spans="1:28" s="12" customFormat="1" ht="21" customHeight="1">
      <c r="C3" s="9"/>
      <c r="E3" s="9"/>
      <c r="F3" s="9"/>
      <c r="G3" s="29"/>
      <c r="O3" s="4"/>
      <c r="R3" s="17">
        <v>53242.274000000005</v>
      </c>
      <c r="S3" s="17"/>
    </row>
    <row r="4" spans="1:28" s="9" customFormat="1" ht="20.25" customHeight="1">
      <c r="B4" s="6" t="s">
        <v>29</v>
      </c>
      <c r="C4" s="36" t="s">
        <v>18</v>
      </c>
      <c r="D4" s="6" t="s">
        <v>18</v>
      </c>
      <c r="E4" s="6" t="s">
        <v>0</v>
      </c>
      <c r="F4" s="33" t="s">
        <v>1</v>
      </c>
      <c r="G4" s="18" t="s">
        <v>16</v>
      </c>
      <c r="H4" s="6" t="s">
        <v>2</v>
      </c>
      <c r="I4" s="6" t="s">
        <v>3</v>
      </c>
      <c r="J4" s="6" t="s">
        <v>4</v>
      </c>
      <c r="K4" s="19" t="s">
        <v>5</v>
      </c>
      <c r="L4" s="33" t="s">
        <v>17</v>
      </c>
      <c r="M4" s="6" t="s">
        <v>50</v>
      </c>
      <c r="N4" s="6" t="s">
        <v>43</v>
      </c>
      <c r="O4" s="18" t="s">
        <v>6</v>
      </c>
      <c r="P4" s="6" t="s">
        <v>7</v>
      </c>
      <c r="Q4" s="6" t="s">
        <v>8</v>
      </c>
      <c r="R4" s="33" t="s">
        <v>9</v>
      </c>
      <c r="S4" s="6" t="s">
        <v>44</v>
      </c>
      <c r="T4" s="6" t="s">
        <v>45</v>
      </c>
      <c r="U4" s="6" t="s">
        <v>49</v>
      </c>
      <c r="V4" s="6" t="s">
        <v>24</v>
      </c>
      <c r="W4" s="6" t="s">
        <v>25</v>
      </c>
      <c r="X4" s="9" t="s">
        <v>64</v>
      </c>
      <c r="Y4" s="20" t="s">
        <v>46</v>
      </c>
      <c r="Z4" s="20" t="s">
        <v>47</v>
      </c>
      <c r="AA4" s="34" t="s">
        <v>48</v>
      </c>
      <c r="AB4" s="35" t="s">
        <v>46</v>
      </c>
    </row>
    <row r="5" spans="1:28" s="30" customFormat="1" ht="20.25" hidden="1" customHeight="1">
      <c r="A5" s="12" t="str">
        <f t="shared" ref="A5:A23" si="0">+LEFT(C5,5)</f>
        <v>V3HD1</v>
      </c>
      <c r="B5" s="23">
        <v>45112</v>
      </c>
      <c r="C5" s="24" t="str">
        <f t="shared" ref="C5:C23" si="1">LEFT(E5,5)&amp;"-"&amp;D5</f>
        <v>V3HD1-1</v>
      </c>
      <c r="D5" s="22" t="str">
        <f t="shared" ref="D5:D23" si="2">RIGHT(E5,IF(MID(E5,6,1)="0",1,2))</f>
        <v>1</v>
      </c>
      <c r="E5" s="22" t="s">
        <v>93</v>
      </c>
      <c r="F5" s="22" t="s">
        <v>73</v>
      </c>
      <c r="G5" s="22" t="s">
        <v>69</v>
      </c>
      <c r="H5" s="22">
        <v>4509529599</v>
      </c>
      <c r="I5" s="22">
        <v>20</v>
      </c>
      <c r="J5" s="22">
        <v>1014</v>
      </c>
      <c r="K5" s="25" t="s">
        <v>59</v>
      </c>
      <c r="L5" s="22" t="s">
        <v>66</v>
      </c>
      <c r="M5" s="22" t="s">
        <v>74</v>
      </c>
      <c r="N5" s="22">
        <v>546</v>
      </c>
      <c r="O5" s="22" t="s">
        <v>14</v>
      </c>
      <c r="P5" s="22" t="s">
        <v>21</v>
      </c>
      <c r="Q5" s="22" t="s">
        <v>86</v>
      </c>
      <c r="R5" s="22">
        <v>546</v>
      </c>
      <c r="S5" s="26">
        <v>546</v>
      </c>
      <c r="T5" s="27"/>
      <c r="U5" s="26"/>
      <c r="V5" s="26"/>
      <c r="W5" s="22"/>
      <c r="X5" s="12"/>
      <c r="Y5" s="21">
        <v>45178</v>
      </c>
      <c r="Z5" s="21">
        <v>45178</v>
      </c>
      <c r="AA5" s="12"/>
      <c r="AB5" s="31">
        <v>45213</v>
      </c>
    </row>
    <row r="6" spans="1:28" s="30" customFormat="1" ht="20.25" hidden="1" customHeight="1">
      <c r="A6" s="12" t="str">
        <f t="shared" si="0"/>
        <v>V3HD5</v>
      </c>
      <c r="B6" s="23">
        <v>45112</v>
      </c>
      <c r="C6" s="24" t="str">
        <f t="shared" si="1"/>
        <v>V3HD5-1</v>
      </c>
      <c r="D6" s="22" t="str">
        <f t="shared" si="2"/>
        <v>1</v>
      </c>
      <c r="E6" s="22" t="s">
        <v>94</v>
      </c>
      <c r="F6" s="22" t="s">
        <v>91</v>
      </c>
      <c r="G6" s="22" t="s">
        <v>72</v>
      </c>
      <c r="H6" s="22">
        <v>4509529600</v>
      </c>
      <c r="I6" s="22">
        <v>40</v>
      </c>
      <c r="J6" s="22">
        <v>1014</v>
      </c>
      <c r="K6" s="25" t="s">
        <v>59</v>
      </c>
      <c r="L6" s="22" t="s">
        <v>67</v>
      </c>
      <c r="M6" s="22" t="s">
        <v>74</v>
      </c>
      <c r="N6" s="22">
        <v>480</v>
      </c>
      <c r="O6" s="22" t="s">
        <v>14</v>
      </c>
      <c r="P6" s="22" t="s">
        <v>21</v>
      </c>
      <c r="Q6" s="22" t="s">
        <v>86</v>
      </c>
      <c r="R6" s="22">
        <v>480</v>
      </c>
      <c r="S6" s="26">
        <v>480</v>
      </c>
      <c r="T6" s="27"/>
      <c r="U6" s="26"/>
      <c r="V6" s="26"/>
      <c r="W6" s="22"/>
      <c r="X6" s="12"/>
      <c r="Y6" s="21">
        <v>45178</v>
      </c>
      <c r="Z6" s="21">
        <v>45178</v>
      </c>
      <c r="AA6" s="12"/>
    </row>
    <row r="7" spans="1:28" s="30" customFormat="1" ht="20.25" hidden="1" customHeight="1">
      <c r="A7" s="12" t="str">
        <f t="shared" si="0"/>
        <v>V3HD8</v>
      </c>
      <c r="B7" s="23">
        <v>45112</v>
      </c>
      <c r="C7" s="24" t="str">
        <f t="shared" si="1"/>
        <v>V3HD8-2</v>
      </c>
      <c r="D7" s="22" t="str">
        <f t="shared" si="2"/>
        <v>2</v>
      </c>
      <c r="E7" s="22" t="s">
        <v>134</v>
      </c>
      <c r="F7" s="22" t="s">
        <v>51</v>
      </c>
      <c r="G7" s="22" t="s">
        <v>52</v>
      </c>
      <c r="H7" s="22">
        <v>3503408335</v>
      </c>
      <c r="I7" s="22">
        <v>10</v>
      </c>
      <c r="J7" s="22">
        <v>1034</v>
      </c>
      <c r="K7" s="25" t="s">
        <v>59</v>
      </c>
      <c r="L7" s="22" t="s">
        <v>66</v>
      </c>
      <c r="M7" s="22" t="s">
        <v>68</v>
      </c>
      <c r="N7" s="22">
        <v>120</v>
      </c>
      <c r="O7" s="22" t="s">
        <v>62</v>
      </c>
      <c r="P7" s="22" t="s">
        <v>19</v>
      </c>
      <c r="Q7" s="22" t="s">
        <v>79</v>
      </c>
      <c r="R7" s="22">
        <v>120</v>
      </c>
      <c r="S7" s="22">
        <v>120</v>
      </c>
      <c r="T7" s="27"/>
      <c r="U7" s="26"/>
      <c r="V7" s="26"/>
      <c r="W7" s="22"/>
      <c r="X7" s="12"/>
      <c r="Y7" s="21">
        <v>45178</v>
      </c>
      <c r="Z7" s="21">
        <v>45178</v>
      </c>
      <c r="AA7" s="12"/>
    </row>
    <row r="8" spans="1:28" s="30" customFormat="1" ht="20.25" hidden="1" customHeight="1">
      <c r="A8" s="12" t="str">
        <f t="shared" si="0"/>
        <v>V3KA1</v>
      </c>
      <c r="B8" s="23">
        <v>45112</v>
      </c>
      <c r="C8" s="24" t="str">
        <f t="shared" si="1"/>
        <v>V3KA1-1</v>
      </c>
      <c r="D8" s="22" t="str">
        <f t="shared" si="2"/>
        <v>1</v>
      </c>
      <c r="E8" s="22" t="s">
        <v>95</v>
      </c>
      <c r="F8" s="22" t="s">
        <v>51</v>
      </c>
      <c r="G8" s="22" t="s">
        <v>52</v>
      </c>
      <c r="H8" s="22">
        <v>4509529116</v>
      </c>
      <c r="I8" s="22">
        <v>10</v>
      </c>
      <c r="J8" s="22">
        <v>1064</v>
      </c>
      <c r="K8" s="25" t="s">
        <v>59</v>
      </c>
      <c r="L8" s="22" t="s">
        <v>66</v>
      </c>
      <c r="M8" s="22" t="s">
        <v>68</v>
      </c>
      <c r="N8" s="22">
        <v>428</v>
      </c>
      <c r="O8" s="22" t="s">
        <v>61</v>
      </c>
      <c r="P8" s="22" t="s">
        <v>15</v>
      </c>
      <c r="Q8" s="22" t="s">
        <v>77</v>
      </c>
      <c r="R8" s="22">
        <v>428</v>
      </c>
      <c r="S8" s="22">
        <v>428</v>
      </c>
      <c r="T8" s="27"/>
      <c r="U8" s="26"/>
      <c r="V8" s="26"/>
      <c r="W8" s="22"/>
      <c r="X8" s="12"/>
      <c r="Y8" s="21">
        <v>45185</v>
      </c>
      <c r="Z8" s="21">
        <v>45185</v>
      </c>
      <c r="AA8" s="12"/>
    </row>
    <row r="9" spans="1:28" s="12" customFormat="1" ht="20.25" hidden="1" customHeight="1">
      <c r="A9" s="12" t="str">
        <f t="shared" si="0"/>
        <v>V3KA1</v>
      </c>
      <c r="B9" s="23">
        <v>45112</v>
      </c>
      <c r="C9" s="24" t="str">
        <f t="shared" si="1"/>
        <v>V3KA1-2</v>
      </c>
      <c r="D9" s="22" t="str">
        <f t="shared" si="2"/>
        <v>2</v>
      </c>
      <c r="E9" s="22" t="s">
        <v>97</v>
      </c>
      <c r="F9" s="22" t="s">
        <v>51</v>
      </c>
      <c r="G9" s="22" t="s">
        <v>52</v>
      </c>
      <c r="H9" s="22">
        <v>4509529116</v>
      </c>
      <c r="I9" s="22">
        <v>20</v>
      </c>
      <c r="J9" s="22">
        <v>1064</v>
      </c>
      <c r="K9" s="25" t="s">
        <v>59</v>
      </c>
      <c r="L9" s="22" t="s">
        <v>66</v>
      </c>
      <c r="M9" s="22" t="s">
        <v>68</v>
      </c>
      <c r="N9" s="22">
        <v>442</v>
      </c>
      <c r="O9" s="22" t="s">
        <v>61</v>
      </c>
      <c r="P9" s="22" t="s">
        <v>15</v>
      </c>
      <c r="Q9" s="22" t="s">
        <v>77</v>
      </c>
      <c r="R9" s="22">
        <v>442</v>
      </c>
      <c r="S9" s="22">
        <v>442</v>
      </c>
      <c r="T9" s="27"/>
      <c r="U9" s="26"/>
      <c r="V9" s="26"/>
      <c r="W9" s="22"/>
      <c r="Y9" s="21">
        <v>45199</v>
      </c>
      <c r="Z9" s="21">
        <v>45199</v>
      </c>
    </row>
    <row r="10" spans="1:28" s="12" customFormat="1" ht="20.25" hidden="1" customHeight="1">
      <c r="A10" s="12" t="str">
        <f t="shared" si="0"/>
        <v>V3KA1</v>
      </c>
      <c r="B10" s="23">
        <v>45112</v>
      </c>
      <c r="C10" s="24" t="str">
        <f t="shared" si="1"/>
        <v>V3KA1-3</v>
      </c>
      <c r="D10" s="22" t="str">
        <f t="shared" si="2"/>
        <v>3</v>
      </c>
      <c r="E10" s="22" t="s">
        <v>96</v>
      </c>
      <c r="F10" s="22" t="s">
        <v>51</v>
      </c>
      <c r="G10" s="22" t="s">
        <v>52</v>
      </c>
      <c r="H10" s="22">
        <v>4509529116</v>
      </c>
      <c r="I10" s="22">
        <v>40</v>
      </c>
      <c r="J10" s="22">
        <v>1064</v>
      </c>
      <c r="K10" s="25" t="s">
        <v>59</v>
      </c>
      <c r="L10" s="22" t="s">
        <v>66</v>
      </c>
      <c r="M10" s="22" t="s">
        <v>68</v>
      </c>
      <c r="N10" s="22">
        <v>106</v>
      </c>
      <c r="O10" s="22" t="s">
        <v>61</v>
      </c>
      <c r="P10" s="22" t="s">
        <v>15</v>
      </c>
      <c r="Q10" s="22" t="s">
        <v>77</v>
      </c>
      <c r="R10" s="22">
        <v>106</v>
      </c>
      <c r="S10" s="22">
        <v>106</v>
      </c>
      <c r="T10" s="27"/>
      <c r="U10" s="26"/>
      <c r="V10" s="26"/>
      <c r="W10" s="22"/>
      <c r="Y10" s="21">
        <v>45185</v>
      </c>
      <c r="Z10" s="21">
        <v>45185</v>
      </c>
    </row>
    <row r="11" spans="1:28" s="12" customFormat="1" ht="20.25" hidden="1" customHeight="1">
      <c r="A11" s="12" t="str">
        <f t="shared" si="0"/>
        <v>V3KA1</v>
      </c>
      <c r="B11" s="23">
        <v>45112</v>
      </c>
      <c r="C11" s="24" t="str">
        <f t="shared" si="1"/>
        <v>V3KA1-4</v>
      </c>
      <c r="D11" s="22" t="str">
        <f t="shared" si="2"/>
        <v>4</v>
      </c>
      <c r="E11" s="22" t="s">
        <v>98</v>
      </c>
      <c r="F11" s="22" t="s">
        <v>51</v>
      </c>
      <c r="G11" s="22" t="s">
        <v>52</v>
      </c>
      <c r="H11" s="22">
        <v>4509529116</v>
      </c>
      <c r="I11" s="22">
        <v>50</v>
      </c>
      <c r="J11" s="22">
        <v>1064</v>
      </c>
      <c r="K11" s="25" t="s">
        <v>59</v>
      </c>
      <c r="L11" s="22" t="s">
        <v>66</v>
      </c>
      <c r="M11" s="22" t="s">
        <v>68</v>
      </c>
      <c r="N11" s="22">
        <v>110</v>
      </c>
      <c r="O11" s="22" t="s">
        <v>61</v>
      </c>
      <c r="P11" s="22" t="s">
        <v>15</v>
      </c>
      <c r="Q11" s="22" t="s">
        <v>77</v>
      </c>
      <c r="R11" s="22">
        <v>110</v>
      </c>
      <c r="S11" s="22">
        <v>110</v>
      </c>
      <c r="T11" s="27"/>
      <c r="U11" s="26"/>
      <c r="V11" s="26"/>
      <c r="W11" s="22"/>
      <c r="Y11" s="21">
        <v>45199</v>
      </c>
      <c r="Z11" s="21">
        <v>45199</v>
      </c>
    </row>
    <row r="12" spans="1:28" s="12" customFormat="1" ht="20.25" hidden="1" customHeight="1">
      <c r="A12" s="12" t="str">
        <f t="shared" si="0"/>
        <v>V3KA2</v>
      </c>
      <c r="B12" s="23">
        <v>45112</v>
      </c>
      <c r="C12" s="24" t="str">
        <f t="shared" si="1"/>
        <v>V3KA2-1</v>
      </c>
      <c r="D12" s="22" t="str">
        <f t="shared" si="2"/>
        <v>1</v>
      </c>
      <c r="E12" s="22" t="s">
        <v>99</v>
      </c>
      <c r="F12" s="22" t="s">
        <v>51</v>
      </c>
      <c r="G12" s="22" t="s">
        <v>52</v>
      </c>
      <c r="H12" s="22">
        <v>4509529116</v>
      </c>
      <c r="I12" s="22">
        <v>30</v>
      </c>
      <c r="J12" s="22">
        <v>1064</v>
      </c>
      <c r="K12" s="25" t="s">
        <v>59</v>
      </c>
      <c r="L12" s="22" t="s">
        <v>66</v>
      </c>
      <c r="M12" s="22" t="s">
        <v>68</v>
      </c>
      <c r="N12" s="22">
        <v>403</v>
      </c>
      <c r="O12" s="22" t="s">
        <v>61</v>
      </c>
      <c r="P12" s="22" t="s">
        <v>15</v>
      </c>
      <c r="Q12" s="22" t="s">
        <v>77</v>
      </c>
      <c r="R12" s="22">
        <v>403</v>
      </c>
      <c r="S12" s="22">
        <v>403</v>
      </c>
      <c r="T12" s="27"/>
      <c r="U12" s="26"/>
      <c r="V12" s="26"/>
      <c r="W12" s="22"/>
      <c r="Y12" s="21">
        <v>45206</v>
      </c>
      <c r="Z12" s="21">
        <v>45206</v>
      </c>
    </row>
    <row r="13" spans="1:28" s="12" customFormat="1" ht="20.25" hidden="1" customHeight="1">
      <c r="A13" s="12" t="str">
        <f t="shared" si="0"/>
        <v>V3KA2</v>
      </c>
      <c r="B13" s="23">
        <v>45112</v>
      </c>
      <c r="C13" s="24" t="str">
        <f t="shared" si="1"/>
        <v>V3KA2-2</v>
      </c>
      <c r="D13" s="22" t="str">
        <f t="shared" si="2"/>
        <v>2</v>
      </c>
      <c r="E13" s="22" t="s">
        <v>100</v>
      </c>
      <c r="F13" s="22" t="s">
        <v>51</v>
      </c>
      <c r="G13" s="22" t="s">
        <v>52</v>
      </c>
      <c r="H13" s="22">
        <v>4509529116</v>
      </c>
      <c r="I13" s="22">
        <v>60</v>
      </c>
      <c r="J13" s="22">
        <v>1064</v>
      </c>
      <c r="K13" s="25" t="s">
        <v>59</v>
      </c>
      <c r="L13" s="22" t="s">
        <v>66</v>
      </c>
      <c r="M13" s="22" t="s">
        <v>68</v>
      </c>
      <c r="N13" s="22">
        <v>101</v>
      </c>
      <c r="O13" s="22" t="s">
        <v>61</v>
      </c>
      <c r="P13" s="22" t="s">
        <v>15</v>
      </c>
      <c r="Q13" s="22" t="s">
        <v>77</v>
      </c>
      <c r="R13" s="22">
        <v>101</v>
      </c>
      <c r="S13" s="22">
        <v>101</v>
      </c>
      <c r="T13" s="27"/>
      <c r="U13" s="26"/>
      <c r="V13" s="26"/>
      <c r="W13" s="22"/>
      <c r="Y13" s="21">
        <v>45206</v>
      </c>
      <c r="Z13" s="21">
        <v>45206</v>
      </c>
    </row>
    <row r="14" spans="1:28" s="12" customFormat="1" ht="20.25" hidden="1" customHeight="1">
      <c r="A14" s="12" t="str">
        <f t="shared" si="0"/>
        <v>V3KA3</v>
      </c>
      <c r="B14" s="23">
        <v>45112</v>
      </c>
      <c r="C14" s="24" t="str">
        <f t="shared" si="1"/>
        <v>V3KA3-1</v>
      </c>
      <c r="D14" s="22" t="str">
        <f t="shared" si="2"/>
        <v>1</v>
      </c>
      <c r="E14" s="22" t="s">
        <v>101</v>
      </c>
      <c r="F14" s="22" t="s">
        <v>55</v>
      </c>
      <c r="G14" s="22" t="s">
        <v>56</v>
      </c>
      <c r="H14" s="22">
        <v>4509529305</v>
      </c>
      <c r="I14" s="22">
        <v>10</v>
      </c>
      <c r="J14" s="22">
        <v>1064</v>
      </c>
      <c r="K14" s="25" t="s">
        <v>59</v>
      </c>
      <c r="L14" s="22" t="s">
        <v>66</v>
      </c>
      <c r="M14" s="22" t="s">
        <v>68</v>
      </c>
      <c r="N14" s="22">
        <v>367</v>
      </c>
      <c r="O14" s="22" t="s">
        <v>61</v>
      </c>
      <c r="P14" s="22" t="s">
        <v>15</v>
      </c>
      <c r="Q14" s="22" t="s">
        <v>77</v>
      </c>
      <c r="R14" s="22">
        <v>367</v>
      </c>
      <c r="S14" s="22">
        <v>367</v>
      </c>
      <c r="T14" s="27"/>
      <c r="U14" s="26"/>
      <c r="V14" s="26"/>
      <c r="W14" s="22"/>
      <c r="Y14" s="21">
        <v>45206</v>
      </c>
      <c r="Z14" s="21">
        <v>45206</v>
      </c>
    </row>
    <row r="15" spans="1:28" s="12" customFormat="1" ht="20.25" hidden="1" customHeight="1">
      <c r="A15" s="12" t="str">
        <f t="shared" si="0"/>
        <v>V3KA3</v>
      </c>
      <c r="B15" s="23">
        <v>45112</v>
      </c>
      <c r="C15" s="24" t="str">
        <f t="shared" si="1"/>
        <v>V3KA3-2</v>
      </c>
      <c r="D15" s="22" t="str">
        <f t="shared" si="2"/>
        <v>2</v>
      </c>
      <c r="E15" s="22" t="s">
        <v>102</v>
      </c>
      <c r="F15" s="22" t="s">
        <v>55</v>
      </c>
      <c r="G15" s="22" t="s">
        <v>56</v>
      </c>
      <c r="H15" s="22">
        <v>4509529305</v>
      </c>
      <c r="I15" s="22">
        <v>30</v>
      </c>
      <c r="J15" s="22">
        <v>1064</v>
      </c>
      <c r="K15" s="25" t="s">
        <v>59</v>
      </c>
      <c r="L15" s="22" t="s">
        <v>66</v>
      </c>
      <c r="M15" s="22" t="s">
        <v>68</v>
      </c>
      <c r="N15" s="22">
        <v>89</v>
      </c>
      <c r="O15" s="22" t="s">
        <v>61</v>
      </c>
      <c r="P15" s="22" t="s">
        <v>15</v>
      </c>
      <c r="Q15" s="22" t="s">
        <v>77</v>
      </c>
      <c r="R15" s="22">
        <v>89</v>
      </c>
      <c r="S15" s="22">
        <v>89</v>
      </c>
      <c r="T15" s="27"/>
      <c r="U15" s="26"/>
      <c r="V15" s="26"/>
      <c r="W15" s="22"/>
      <c r="Y15" s="21">
        <v>45206</v>
      </c>
      <c r="Z15" s="21">
        <v>45206</v>
      </c>
    </row>
    <row r="16" spans="1:28" s="12" customFormat="1" ht="20.25" hidden="1" customHeight="1">
      <c r="A16" s="12" t="str">
        <f t="shared" si="0"/>
        <v>V3KA4</v>
      </c>
      <c r="B16" s="23">
        <v>45112</v>
      </c>
      <c r="C16" s="24" t="str">
        <f t="shared" si="1"/>
        <v>V3KA4-1</v>
      </c>
      <c r="D16" s="22" t="str">
        <f t="shared" si="2"/>
        <v>1</v>
      </c>
      <c r="E16" s="22" t="s">
        <v>103</v>
      </c>
      <c r="F16" s="22" t="s">
        <v>87</v>
      </c>
      <c r="G16" s="22" t="s">
        <v>88</v>
      </c>
      <c r="H16" s="22">
        <v>4509529688</v>
      </c>
      <c r="I16" s="22">
        <v>10</v>
      </c>
      <c r="J16" s="22">
        <v>1014</v>
      </c>
      <c r="K16" s="25" t="s">
        <v>59</v>
      </c>
      <c r="L16" s="22" t="s">
        <v>66</v>
      </c>
      <c r="M16" s="22" t="s">
        <v>74</v>
      </c>
      <c r="N16" s="22">
        <v>456</v>
      </c>
      <c r="O16" s="22" t="s">
        <v>14</v>
      </c>
      <c r="P16" s="22" t="s">
        <v>21</v>
      </c>
      <c r="Q16" s="22" t="s">
        <v>86</v>
      </c>
      <c r="R16" s="22">
        <v>456</v>
      </c>
      <c r="S16" s="26">
        <v>456</v>
      </c>
      <c r="T16" s="27"/>
      <c r="U16" s="26"/>
      <c r="V16" s="26"/>
      <c r="W16" s="22"/>
      <c r="Y16" s="21">
        <v>45199</v>
      </c>
      <c r="Z16" s="21">
        <v>45199</v>
      </c>
    </row>
    <row r="17" spans="1:27" s="30" customFormat="1" ht="20.25" hidden="1" customHeight="1">
      <c r="A17" s="12" t="str">
        <f t="shared" si="0"/>
        <v>V3KAM</v>
      </c>
      <c r="B17" s="23">
        <v>45112</v>
      </c>
      <c r="C17" s="24" t="str">
        <f t="shared" si="1"/>
        <v>V3KAM-1</v>
      </c>
      <c r="D17" s="22" t="str">
        <f t="shared" si="2"/>
        <v>1</v>
      </c>
      <c r="E17" s="22" t="s">
        <v>104</v>
      </c>
      <c r="F17" s="22" t="s">
        <v>89</v>
      </c>
      <c r="G17" s="22" t="s">
        <v>69</v>
      </c>
      <c r="H17" s="22">
        <v>4509529599</v>
      </c>
      <c r="I17" s="22">
        <v>30</v>
      </c>
      <c r="J17" s="22">
        <v>1014</v>
      </c>
      <c r="K17" s="25" t="s">
        <v>59</v>
      </c>
      <c r="L17" s="22" t="s">
        <v>66</v>
      </c>
      <c r="M17" s="22" t="s">
        <v>74</v>
      </c>
      <c r="N17" s="22">
        <v>474</v>
      </c>
      <c r="O17" s="22" t="s">
        <v>14</v>
      </c>
      <c r="P17" s="22" t="s">
        <v>21</v>
      </c>
      <c r="Q17" s="22" t="s">
        <v>86</v>
      </c>
      <c r="R17" s="22">
        <v>474</v>
      </c>
      <c r="S17" s="26">
        <v>474</v>
      </c>
      <c r="T17" s="27"/>
      <c r="U17" s="26"/>
      <c r="V17" s="26"/>
      <c r="W17" s="22"/>
      <c r="X17" s="12"/>
      <c r="Y17" s="21">
        <v>45192</v>
      </c>
      <c r="Z17" s="21">
        <v>45192</v>
      </c>
      <c r="AA17" s="12"/>
    </row>
    <row r="18" spans="1:27" s="12" customFormat="1" ht="20.25" hidden="1" customHeight="1">
      <c r="A18" s="12" t="str">
        <f t="shared" si="0"/>
        <v>V3KAN</v>
      </c>
      <c r="B18" s="23">
        <v>45112</v>
      </c>
      <c r="C18" s="24" t="str">
        <f t="shared" si="1"/>
        <v>V3KAN-1</v>
      </c>
      <c r="D18" s="22" t="str">
        <f t="shared" si="2"/>
        <v>1</v>
      </c>
      <c r="E18" s="22" t="s">
        <v>105</v>
      </c>
      <c r="F18" s="22" t="s">
        <v>89</v>
      </c>
      <c r="G18" s="22" t="s">
        <v>69</v>
      </c>
      <c r="H18" s="22">
        <v>4509529599</v>
      </c>
      <c r="I18" s="22">
        <v>70</v>
      </c>
      <c r="J18" s="22">
        <v>1014</v>
      </c>
      <c r="K18" s="25" t="s">
        <v>59</v>
      </c>
      <c r="L18" s="22" t="s">
        <v>66</v>
      </c>
      <c r="M18" s="22" t="s">
        <v>74</v>
      </c>
      <c r="N18" s="22">
        <v>1974</v>
      </c>
      <c r="O18" s="22" t="s">
        <v>14</v>
      </c>
      <c r="P18" s="22" t="s">
        <v>21</v>
      </c>
      <c r="Q18" s="22" t="s">
        <v>86</v>
      </c>
      <c r="R18" s="22">
        <v>1974</v>
      </c>
      <c r="S18" s="26">
        <v>1974</v>
      </c>
      <c r="T18" s="27"/>
      <c r="U18" s="26"/>
      <c r="V18" s="26"/>
      <c r="W18" s="22"/>
      <c r="Y18" s="21">
        <v>45206</v>
      </c>
      <c r="Z18" s="21">
        <v>45206</v>
      </c>
    </row>
    <row r="19" spans="1:27" s="12" customFormat="1" ht="20.25" hidden="1" customHeight="1">
      <c r="A19" s="12" t="str">
        <f t="shared" si="0"/>
        <v>V3KAP</v>
      </c>
      <c r="B19" s="23">
        <v>45112</v>
      </c>
      <c r="C19" s="24" t="str">
        <f t="shared" si="1"/>
        <v>V3KAP-1</v>
      </c>
      <c r="D19" s="22" t="str">
        <f t="shared" si="2"/>
        <v>1</v>
      </c>
      <c r="E19" s="22" t="s">
        <v>106</v>
      </c>
      <c r="F19" s="22" t="s">
        <v>73</v>
      </c>
      <c r="G19" s="22" t="s">
        <v>69</v>
      </c>
      <c r="H19" s="22">
        <v>4509529599</v>
      </c>
      <c r="I19" s="22">
        <v>50</v>
      </c>
      <c r="J19" s="22">
        <v>1014</v>
      </c>
      <c r="K19" s="25" t="s">
        <v>59</v>
      </c>
      <c r="L19" s="22" t="s">
        <v>66</v>
      </c>
      <c r="M19" s="22" t="s">
        <v>74</v>
      </c>
      <c r="N19" s="22">
        <v>2190</v>
      </c>
      <c r="O19" s="22" t="s">
        <v>14</v>
      </c>
      <c r="P19" s="22" t="s">
        <v>21</v>
      </c>
      <c r="Q19" s="22" t="s">
        <v>86</v>
      </c>
      <c r="R19" s="22">
        <v>2190</v>
      </c>
      <c r="S19" s="26">
        <v>2190</v>
      </c>
      <c r="T19" s="27"/>
      <c r="U19" s="26"/>
      <c r="V19" s="26"/>
      <c r="W19" s="22"/>
      <c r="Y19" s="21">
        <v>45206</v>
      </c>
      <c r="Z19" s="21">
        <v>45206</v>
      </c>
    </row>
    <row r="20" spans="1:27" s="30" customFormat="1" ht="20.25" hidden="1" customHeight="1">
      <c r="A20" s="12" t="str">
        <f t="shared" si="0"/>
        <v>V3KAR</v>
      </c>
      <c r="B20" s="23">
        <v>45112</v>
      </c>
      <c r="C20" s="24" t="str">
        <f t="shared" si="1"/>
        <v>V3KAR-1</v>
      </c>
      <c r="D20" s="22" t="str">
        <f t="shared" si="2"/>
        <v>1</v>
      </c>
      <c r="E20" s="22" t="s">
        <v>107</v>
      </c>
      <c r="F20" s="22" t="s">
        <v>90</v>
      </c>
      <c r="G20" s="22" t="s">
        <v>69</v>
      </c>
      <c r="H20" s="22">
        <v>4509529599</v>
      </c>
      <c r="I20" s="22">
        <v>10</v>
      </c>
      <c r="J20" s="22">
        <v>1014</v>
      </c>
      <c r="K20" s="25" t="s">
        <v>59</v>
      </c>
      <c r="L20" s="22" t="s">
        <v>66</v>
      </c>
      <c r="M20" s="22" t="s">
        <v>74</v>
      </c>
      <c r="N20" s="22">
        <v>408</v>
      </c>
      <c r="O20" s="22" t="s">
        <v>14</v>
      </c>
      <c r="P20" s="22" t="s">
        <v>21</v>
      </c>
      <c r="Q20" s="22" t="s">
        <v>86</v>
      </c>
      <c r="R20" s="22">
        <v>408</v>
      </c>
      <c r="S20" s="26">
        <v>408</v>
      </c>
      <c r="T20" s="27"/>
      <c r="U20" s="26"/>
      <c r="V20" s="26"/>
      <c r="W20" s="22"/>
      <c r="X20" s="12"/>
      <c r="Y20" s="21">
        <v>45192</v>
      </c>
      <c r="Z20" s="21">
        <v>45192</v>
      </c>
      <c r="AA20" s="12"/>
    </row>
    <row r="21" spans="1:27" s="12" customFormat="1" ht="20.25" hidden="1" customHeight="1">
      <c r="A21" s="12" t="str">
        <f t="shared" si="0"/>
        <v>V3KAS</v>
      </c>
      <c r="B21" s="23">
        <v>45112</v>
      </c>
      <c r="C21" s="24" t="str">
        <f t="shared" si="1"/>
        <v>V3KAS-1</v>
      </c>
      <c r="D21" s="22" t="str">
        <f t="shared" si="2"/>
        <v>1</v>
      </c>
      <c r="E21" s="22" t="s">
        <v>108</v>
      </c>
      <c r="F21" s="22" t="s">
        <v>70</v>
      </c>
      <c r="G21" s="22" t="s">
        <v>69</v>
      </c>
      <c r="H21" s="22">
        <v>4509529599</v>
      </c>
      <c r="I21" s="22">
        <v>40</v>
      </c>
      <c r="J21" s="22">
        <v>1014</v>
      </c>
      <c r="K21" s="25" t="s">
        <v>59</v>
      </c>
      <c r="L21" s="22" t="s">
        <v>66</v>
      </c>
      <c r="M21" s="22" t="s">
        <v>74</v>
      </c>
      <c r="N21" s="22">
        <v>1008</v>
      </c>
      <c r="O21" s="22" t="s">
        <v>14</v>
      </c>
      <c r="P21" s="22" t="s">
        <v>21</v>
      </c>
      <c r="Q21" s="22" t="s">
        <v>86</v>
      </c>
      <c r="R21" s="22">
        <v>1008</v>
      </c>
      <c r="S21" s="26">
        <v>1008</v>
      </c>
      <c r="T21" s="27"/>
      <c r="U21" s="26"/>
      <c r="V21" s="26"/>
      <c r="W21" s="22"/>
      <c r="Y21" s="21">
        <v>45192</v>
      </c>
      <c r="Z21" s="21">
        <v>45192</v>
      </c>
    </row>
    <row r="22" spans="1:27" s="12" customFormat="1" ht="20.25" hidden="1" customHeight="1">
      <c r="A22" s="12" t="str">
        <f t="shared" si="0"/>
        <v>V3KAT</v>
      </c>
      <c r="B22" s="23">
        <v>45112</v>
      </c>
      <c r="C22" s="24" t="str">
        <f t="shared" si="1"/>
        <v>V3KAT-1</v>
      </c>
      <c r="D22" s="22" t="str">
        <f t="shared" si="2"/>
        <v>1</v>
      </c>
      <c r="E22" s="22" t="s">
        <v>109</v>
      </c>
      <c r="F22" s="22" t="s">
        <v>70</v>
      </c>
      <c r="G22" s="22" t="s">
        <v>69</v>
      </c>
      <c r="H22" s="22">
        <v>4509529599</v>
      </c>
      <c r="I22" s="22">
        <v>60</v>
      </c>
      <c r="J22" s="22">
        <v>1014</v>
      </c>
      <c r="K22" s="25" t="s">
        <v>59</v>
      </c>
      <c r="L22" s="22" t="s">
        <v>66</v>
      </c>
      <c r="M22" s="22" t="s">
        <v>74</v>
      </c>
      <c r="N22" s="22">
        <v>2166</v>
      </c>
      <c r="O22" s="22" t="s">
        <v>14</v>
      </c>
      <c r="P22" s="22" t="s">
        <v>21</v>
      </c>
      <c r="Q22" s="22" t="s">
        <v>86</v>
      </c>
      <c r="R22" s="22">
        <v>2166</v>
      </c>
      <c r="S22" s="26">
        <v>2166</v>
      </c>
      <c r="T22" s="27"/>
      <c r="U22" s="26"/>
      <c r="V22" s="26"/>
      <c r="W22" s="22"/>
      <c r="Y22" s="21">
        <v>45206</v>
      </c>
      <c r="Z22" s="21">
        <v>45206</v>
      </c>
    </row>
    <row r="23" spans="1:27" s="12" customFormat="1" ht="20.25" hidden="1" customHeight="1">
      <c r="A23" s="12" t="str">
        <f t="shared" si="0"/>
        <v>V3KAU</v>
      </c>
      <c r="B23" s="23">
        <v>45112</v>
      </c>
      <c r="C23" s="24" t="str">
        <f t="shared" si="1"/>
        <v>V3KAU-1</v>
      </c>
      <c r="D23" s="22" t="str">
        <f t="shared" si="2"/>
        <v>1</v>
      </c>
      <c r="E23" s="22" t="s">
        <v>110</v>
      </c>
      <c r="F23" s="22" t="s">
        <v>71</v>
      </c>
      <c r="G23" s="22" t="s">
        <v>72</v>
      </c>
      <c r="H23" s="22">
        <v>4509529600</v>
      </c>
      <c r="I23" s="22">
        <v>30</v>
      </c>
      <c r="J23" s="22">
        <v>1014</v>
      </c>
      <c r="K23" s="25" t="s">
        <v>59</v>
      </c>
      <c r="L23" s="22" t="s">
        <v>67</v>
      </c>
      <c r="M23" s="22" t="s">
        <v>74</v>
      </c>
      <c r="N23" s="22">
        <v>4386</v>
      </c>
      <c r="O23" s="22" t="s">
        <v>14</v>
      </c>
      <c r="P23" s="22" t="s">
        <v>21</v>
      </c>
      <c r="Q23" s="22" t="s">
        <v>86</v>
      </c>
      <c r="R23" s="22">
        <v>4386</v>
      </c>
      <c r="S23" s="26">
        <v>4386</v>
      </c>
      <c r="T23" s="27"/>
      <c r="U23" s="26"/>
      <c r="V23" s="26"/>
      <c r="W23" s="22"/>
      <c r="Y23" s="21">
        <v>45206</v>
      </c>
      <c r="Z23" s="21">
        <v>45206</v>
      </c>
    </row>
    <row r="24" spans="1:27" s="30" customFormat="1" ht="20.25" hidden="1" customHeight="1">
      <c r="A24" s="12" t="str">
        <f t="shared" ref="A24:A49" si="3">+LEFT(C24,5)</f>
        <v>V3KAW</v>
      </c>
      <c r="B24" s="23">
        <v>45112</v>
      </c>
      <c r="C24" s="24" t="str">
        <f t="shared" ref="C24:C49" si="4">LEFT(E24,5)&amp;"-"&amp;D24</f>
        <v>V3KAW-1</v>
      </c>
      <c r="D24" s="22" t="str">
        <f t="shared" ref="D24:D49" si="5">RIGHT(E24,IF(MID(E24,6,1)="0",1,2))</f>
        <v>1</v>
      </c>
      <c r="E24" s="22" t="s">
        <v>111</v>
      </c>
      <c r="F24" s="22" t="s">
        <v>91</v>
      </c>
      <c r="G24" s="22" t="s">
        <v>72</v>
      </c>
      <c r="H24" s="22">
        <v>4509529600</v>
      </c>
      <c r="I24" s="22">
        <v>50</v>
      </c>
      <c r="J24" s="22">
        <v>1014</v>
      </c>
      <c r="K24" s="25" t="s">
        <v>59</v>
      </c>
      <c r="L24" s="22" t="s">
        <v>67</v>
      </c>
      <c r="M24" s="22" t="s">
        <v>74</v>
      </c>
      <c r="N24" s="22">
        <v>1962</v>
      </c>
      <c r="O24" s="22" t="s">
        <v>14</v>
      </c>
      <c r="P24" s="22" t="s">
        <v>21</v>
      </c>
      <c r="Q24" s="22" t="s">
        <v>86</v>
      </c>
      <c r="R24" s="22">
        <v>1962</v>
      </c>
      <c r="S24" s="26">
        <v>1962</v>
      </c>
      <c r="T24" s="27"/>
      <c r="U24" s="26"/>
      <c r="V24" s="26"/>
      <c r="W24" s="22"/>
      <c r="X24" s="12"/>
      <c r="Y24" s="21">
        <v>45206</v>
      </c>
      <c r="Z24" s="21">
        <v>45206</v>
      </c>
      <c r="AA24" s="12"/>
    </row>
    <row r="25" spans="1:27" s="30" customFormat="1" ht="20.25" hidden="1" customHeight="1">
      <c r="A25" s="12" t="str">
        <f t="shared" si="3"/>
        <v>V3M22</v>
      </c>
      <c r="B25" s="23">
        <v>45112</v>
      </c>
      <c r="C25" s="24" t="str">
        <f t="shared" si="4"/>
        <v>V3M22-1</v>
      </c>
      <c r="D25" s="22" t="str">
        <f t="shared" si="5"/>
        <v>1</v>
      </c>
      <c r="E25" s="22" t="s">
        <v>112</v>
      </c>
      <c r="F25" s="22" t="s">
        <v>51</v>
      </c>
      <c r="G25" s="22" t="s">
        <v>52</v>
      </c>
      <c r="H25" s="22">
        <v>6000729778</v>
      </c>
      <c r="I25" s="22">
        <v>100</v>
      </c>
      <c r="J25" s="22">
        <v>1025</v>
      </c>
      <c r="K25" s="25" t="s">
        <v>59</v>
      </c>
      <c r="L25" s="22" t="s">
        <v>66</v>
      </c>
      <c r="M25" s="22" t="s">
        <v>68</v>
      </c>
      <c r="N25" s="22">
        <v>3000</v>
      </c>
      <c r="O25" s="22" t="s">
        <v>60</v>
      </c>
      <c r="P25" s="22" t="s">
        <v>22</v>
      </c>
      <c r="Q25" s="22" t="s">
        <v>80</v>
      </c>
      <c r="R25" s="22">
        <v>3000</v>
      </c>
      <c r="S25" s="26">
        <v>3000</v>
      </c>
      <c r="T25" s="27"/>
      <c r="U25" s="26"/>
      <c r="V25" s="26"/>
      <c r="W25" s="22"/>
      <c r="X25" s="12"/>
      <c r="Y25" s="21">
        <v>45213</v>
      </c>
      <c r="Z25" s="21">
        <v>45213</v>
      </c>
      <c r="AA25" s="12"/>
    </row>
    <row r="26" spans="1:27" s="12" customFormat="1" ht="20.25" hidden="1" customHeight="1">
      <c r="A26" s="12" t="str">
        <f t="shared" si="3"/>
        <v>V3M22</v>
      </c>
      <c r="B26" s="23">
        <v>45112</v>
      </c>
      <c r="C26" s="24" t="str">
        <f t="shared" si="4"/>
        <v>V3M22-1</v>
      </c>
      <c r="D26" s="22" t="str">
        <f t="shared" si="5"/>
        <v>1</v>
      </c>
      <c r="E26" s="22" t="s">
        <v>112</v>
      </c>
      <c r="F26" s="22" t="s">
        <v>51</v>
      </c>
      <c r="G26" s="22" t="s">
        <v>52</v>
      </c>
      <c r="H26" s="22">
        <v>6000729778</v>
      </c>
      <c r="I26" s="22">
        <v>100</v>
      </c>
      <c r="J26" s="22">
        <v>1025</v>
      </c>
      <c r="K26" s="25" t="s">
        <v>59</v>
      </c>
      <c r="L26" s="22" t="s">
        <v>66</v>
      </c>
      <c r="M26" s="22" t="s">
        <v>68</v>
      </c>
      <c r="N26" s="22">
        <v>3000</v>
      </c>
      <c r="O26" s="22" t="s">
        <v>60</v>
      </c>
      <c r="P26" s="22" t="s">
        <v>12</v>
      </c>
      <c r="Q26" s="22" t="s">
        <v>81</v>
      </c>
      <c r="R26" s="22">
        <v>6000</v>
      </c>
      <c r="S26" s="26">
        <v>6000</v>
      </c>
      <c r="T26" s="27"/>
      <c r="U26" s="26"/>
      <c r="V26" s="26"/>
      <c r="W26" s="22"/>
      <c r="Y26" s="21">
        <v>45213</v>
      </c>
      <c r="Z26" s="21">
        <v>45213</v>
      </c>
    </row>
    <row r="27" spans="1:27" s="30" customFormat="1" ht="20.25" hidden="1" customHeight="1">
      <c r="A27" s="12" t="str">
        <f t="shared" si="3"/>
        <v>V3M23</v>
      </c>
      <c r="B27" s="23">
        <v>45112</v>
      </c>
      <c r="C27" s="24" t="str">
        <f t="shared" si="4"/>
        <v>V3M23-1</v>
      </c>
      <c r="D27" s="22" t="str">
        <f t="shared" si="5"/>
        <v>1</v>
      </c>
      <c r="E27" s="22" t="s">
        <v>113</v>
      </c>
      <c r="F27" s="22" t="s">
        <v>55</v>
      </c>
      <c r="G27" s="22" t="s">
        <v>56</v>
      </c>
      <c r="H27" s="22">
        <v>4509529305</v>
      </c>
      <c r="I27" s="22">
        <v>20</v>
      </c>
      <c r="J27" s="22">
        <v>1064</v>
      </c>
      <c r="K27" s="25" t="s">
        <v>59</v>
      </c>
      <c r="L27" s="22" t="s">
        <v>66</v>
      </c>
      <c r="M27" s="22" t="s">
        <v>68</v>
      </c>
      <c r="N27" s="22">
        <v>356</v>
      </c>
      <c r="O27" s="22" t="s">
        <v>61</v>
      </c>
      <c r="P27" s="22" t="s">
        <v>15</v>
      </c>
      <c r="Q27" s="22" t="s">
        <v>77</v>
      </c>
      <c r="R27" s="22">
        <v>356</v>
      </c>
      <c r="S27" s="22">
        <v>356</v>
      </c>
      <c r="T27" s="27"/>
      <c r="U27" s="26"/>
      <c r="V27" s="26"/>
      <c r="W27" s="22"/>
      <c r="X27" s="12"/>
      <c r="Y27" s="21">
        <v>45213</v>
      </c>
      <c r="Z27" s="21">
        <v>45213</v>
      </c>
      <c r="AA27" s="12"/>
    </row>
    <row r="28" spans="1:27" s="12" customFormat="1" ht="20.25" hidden="1" customHeight="1">
      <c r="A28" s="12" t="str">
        <f t="shared" si="3"/>
        <v>V3M23</v>
      </c>
      <c r="B28" s="23">
        <v>45112</v>
      </c>
      <c r="C28" s="24" t="str">
        <f t="shared" si="4"/>
        <v>V3M23-2</v>
      </c>
      <c r="D28" s="22" t="str">
        <f t="shared" si="5"/>
        <v>2</v>
      </c>
      <c r="E28" s="22" t="s">
        <v>115</v>
      </c>
      <c r="F28" s="22" t="s">
        <v>55</v>
      </c>
      <c r="G28" s="22" t="s">
        <v>56</v>
      </c>
      <c r="H28" s="22">
        <v>4509527120</v>
      </c>
      <c r="I28" s="22">
        <v>10</v>
      </c>
      <c r="J28" s="22">
        <v>1090</v>
      </c>
      <c r="K28" s="25" t="s">
        <v>59</v>
      </c>
      <c r="L28" s="22" t="s">
        <v>66</v>
      </c>
      <c r="M28" s="22" t="s">
        <v>68</v>
      </c>
      <c r="N28" s="22">
        <v>786</v>
      </c>
      <c r="O28" s="22" t="s">
        <v>63</v>
      </c>
      <c r="P28" s="22" t="s">
        <v>23</v>
      </c>
      <c r="Q28" s="22" t="s">
        <v>75</v>
      </c>
      <c r="R28" s="22">
        <v>786</v>
      </c>
      <c r="S28" s="26">
        <v>786</v>
      </c>
      <c r="T28" s="27"/>
      <c r="U28" s="26"/>
      <c r="V28" s="26"/>
      <c r="W28" s="22"/>
      <c r="Y28" s="21">
        <v>45213</v>
      </c>
      <c r="Z28" s="21">
        <v>45213</v>
      </c>
    </row>
    <row r="29" spans="1:27" s="12" customFormat="1" ht="20.25" hidden="1" customHeight="1">
      <c r="A29" s="12" t="str">
        <f t="shared" si="3"/>
        <v>V3M23</v>
      </c>
      <c r="B29" s="23">
        <v>45112</v>
      </c>
      <c r="C29" s="24" t="str">
        <f t="shared" si="4"/>
        <v>V3M23-2</v>
      </c>
      <c r="D29" s="22" t="str">
        <f t="shared" si="5"/>
        <v>2</v>
      </c>
      <c r="E29" s="22" t="s">
        <v>115</v>
      </c>
      <c r="F29" s="22" t="s">
        <v>55</v>
      </c>
      <c r="G29" s="22" t="s">
        <v>56</v>
      </c>
      <c r="H29" s="22">
        <v>4509527120</v>
      </c>
      <c r="I29" s="22">
        <v>10</v>
      </c>
      <c r="J29" s="22">
        <v>1090</v>
      </c>
      <c r="K29" s="25" t="s">
        <v>59</v>
      </c>
      <c r="L29" s="22" t="s">
        <v>66</v>
      </c>
      <c r="M29" s="22" t="s">
        <v>68</v>
      </c>
      <c r="N29" s="22">
        <v>786</v>
      </c>
      <c r="O29" s="22" t="s">
        <v>63</v>
      </c>
      <c r="P29" s="22" t="s">
        <v>10</v>
      </c>
      <c r="Q29" s="22" t="s">
        <v>76</v>
      </c>
      <c r="R29" s="22">
        <v>786</v>
      </c>
      <c r="S29" s="26">
        <v>786</v>
      </c>
      <c r="T29" s="27"/>
      <c r="U29" s="26"/>
      <c r="V29" s="26"/>
      <c r="W29" s="22"/>
      <c r="Y29" s="21">
        <v>45213</v>
      </c>
      <c r="Z29" s="21">
        <v>45213</v>
      </c>
    </row>
    <row r="30" spans="1:27" s="12" customFormat="1" ht="20.25" hidden="1" customHeight="1">
      <c r="A30" s="12" t="str">
        <f t="shared" si="3"/>
        <v>V3M23</v>
      </c>
      <c r="B30" s="23">
        <v>45112</v>
      </c>
      <c r="C30" s="24" t="str">
        <f t="shared" si="4"/>
        <v>V3M23-3</v>
      </c>
      <c r="D30" s="22" t="str">
        <f t="shared" si="5"/>
        <v>3</v>
      </c>
      <c r="E30" s="22" t="s">
        <v>116</v>
      </c>
      <c r="F30" s="22" t="s">
        <v>55</v>
      </c>
      <c r="G30" s="22" t="s">
        <v>56</v>
      </c>
      <c r="H30" s="22">
        <v>3503404955</v>
      </c>
      <c r="I30" s="22">
        <v>10</v>
      </c>
      <c r="J30" s="22">
        <v>1034</v>
      </c>
      <c r="K30" s="25" t="s">
        <v>59</v>
      </c>
      <c r="L30" s="22" t="s">
        <v>66</v>
      </c>
      <c r="M30" s="22" t="s">
        <v>68</v>
      </c>
      <c r="N30" s="22">
        <v>252</v>
      </c>
      <c r="O30" s="22" t="s">
        <v>62</v>
      </c>
      <c r="P30" s="22" t="s">
        <v>19</v>
      </c>
      <c r="Q30" s="22" t="s">
        <v>79</v>
      </c>
      <c r="R30" s="22">
        <v>252</v>
      </c>
      <c r="S30" s="22">
        <v>252</v>
      </c>
      <c r="T30" s="27"/>
      <c r="U30" s="26"/>
      <c r="V30" s="26"/>
      <c r="W30" s="22"/>
      <c r="Y30" s="21">
        <v>45220</v>
      </c>
      <c r="Z30" s="21">
        <v>45220</v>
      </c>
    </row>
    <row r="31" spans="1:27" s="30" customFormat="1" ht="20.25" hidden="1" customHeight="1">
      <c r="A31" s="12" t="str">
        <f t="shared" si="3"/>
        <v>V3M23</v>
      </c>
      <c r="B31" s="23">
        <v>45112</v>
      </c>
      <c r="C31" s="24" t="str">
        <f t="shared" si="4"/>
        <v>V3M23-5</v>
      </c>
      <c r="D31" s="22" t="str">
        <f t="shared" si="5"/>
        <v>5</v>
      </c>
      <c r="E31" s="22" t="s">
        <v>117</v>
      </c>
      <c r="F31" s="22" t="s">
        <v>55</v>
      </c>
      <c r="G31" s="22" t="s">
        <v>56</v>
      </c>
      <c r="H31" s="22">
        <v>6000729779</v>
      </c>
      <c r="I31" s="22">
        <v>100</v>
      </c>
      <c r="J31" s="22">
        <v>1025</v>
      </c>
      <c r="K31" s="25" t="s">
        <v>59</v>
      </c>
      <c r="L31" s="22" t="s">
        <v>66</v>
      </c>
      <c r="M31" s="22" t="s">
        <v>68</v>
      </c>
      <c r="N31" s="22">
        <v>1202</v>
      </c>
      <c r="O31" s="22" t="s">
        <v>60</v>
      </c>
      <c r="P31" s="22" t="s">
        <v>22</v>
      </c>
      <c r="Q31" s="22" t="s">
        <v>80</v>
      </c>
      <c r="R31" s="22">
        <v>1202</v>
      </c>
      <c r="S31" s="26">
        <v>1202</v>
      </c>
      <c r="T31" s="27"/>
      <c r="U31" s="26"/>
      <c r="V31" s="26"/>
      <c r="W31" s="22"/>
      <c r="X31" s="12"/>
      <c r="Y31" s="21">
        <v>45227</v>
      </c>
      <c r="Z31" s="21">
        <v>45227</v>
      </c>
      <c r="AA31" s="12"/>
    </row>
    <row r="32" spans="1:27" s="30" customFormat="1" ht="18.75" hidden="1" customHeight="1">
      <c r="A32" s="12" t="str">
        <f t="shared" si="3"/>
        <v>V3M23</v>
      </c>
      <c r="B32" s="23">
        <v>45112</v>
      </c>
      <c r="C32" s="24" t="str">
        <f t="shared" si="4"/>
        <v>V3M23-5</v>
      </c>
      <c r="D32" s="22" t="str">
        <f t="shared" si="5"/>
        <v>5</v>
      </c>
      <c r="E32" s="22" t="s">
        <v>117</v>
      </c>
      <c r="F32" s="22" t="s">
        <v>55</v>
      </c>
      <c r="G32" s="22" t="s">
        <v>56</v>
      </c>
      <c r="H32" s="22">
        <v>6000729779</v>
      </c>
      <c r="I32" s="22">
        <v>100</v>
      </c>
      <c r="J32" s="22">
        <v>1025</v>
      </c>
      <c r="K32" s="25" t="s">
        <v>59</v>
      </c>
      <c r="L32" s="22" t="s">
        <v>66</v>
      </c>
      <c r="M32" s="22" t="s">
        <v>68</v>
      </c>
      <c r="N32" s="22">
        <v>1202</v>
      </c>
      <c r="O32" s="22" t="s">
        <v>60</v>
      </c>
      <c r="P32" s="22" t="s">
        <v>12</v>
      </c>
      <c r="Q32" s="22" t="s">
        <v>81</v>
      </c>
      <c r="R32" s="22">
        <v>2404</v>
      </c>
      <c r="S32" s="26">
        <v>2404</v>
      </c>
      <c r="T32" s="27"/>
      <c r="U32" s="26"/>
      <c r="V32" s="26"/>
      <c r="W32" s="22"/>
      <c r="X32" s="12"/>
      <c r="Y32" s="21">
        <v>45227</v>
      </c>
      <c r="Z32" s="21">
        <v>45227</v>
      </c>
      <c r="AA32" s="12"/>
    </row>
    <row r="33" spans="1:28" s="12" customFormat="1" ht="18.75" hidden="1" customHeight="1">
      <c r="A33" s="12" t="str">
        <f t="shared" si="3"/>
        <v>V3M23</v>
      </c>
      <c r="B33" s="23">
        <v>45112</v>
      </c>
      <c r="C33" s="24" t="str">
        <f t="shared" si="4"/>
        <v>V3M23-7</v>
      </c>
      <c r="D33" s="22" t="str">
        <f t="shared" si="5"/>
        <v>7</v>
      </c>
      <c r="E33" s="22" t="s">
        <v>114</v>
      </c>
      <c r="F33" s="22" t="s">
        <v>55</v>
      </c>
      <c r="G33" s="22" t="s">
        <v>56</v>
      </c>
      <c r="H33" s="22">
        <v>4509529305</v>
      </c>
      <c r="I33" s="22">
        <v>40</v>
      </c>
      <c r="J33" s="22">
        <v>1064</v>
      </c>
      <c r="K33" s="25" t="s">
        <v>59</v>
      </c>
      <c r="L33" s="22" t="s">
        <v>66</v>
      </c>
      <c r="M33" s="22" t="s">
        <v>68</v>
      </c>
      <c r="N33" s="22">
        <v>88</v>
      </c>
      <c r="O33" s="22" t="s">
        <v>61</v>
      </c>
      <c r="P33" s="22" t="s">
        <v>15</v>
      </c>
      <c r="Q33" s="22" t="s">
        <v>77</v>
      </c>
      <c r="R33" s="22">
        <v>88</v>
      </c>
      <c r="S33" s="22">
        <v>88</v>
      </c>
      <c r="T33" s="27"/>
      <c r="U33" s="26"/>
      <c r="V33" s="26"/>
      <c r="W33" s="22"/>
      <c r="Y33" s="21">
        <v>45213</v>
      </c>
      <c r="Z33" s="21">
        <v>45213</v>
      </c>
    </row>
    <row r="34" spans="1:28" s="12" customFormat="1" ht="18.75" hidden="1" customHeight="1">
      <c r="A34" s="12" t="str">
        <f t="shared" si="3"/>
        <v>V3M25</v>
      </c>
      <c r="B34" s="23">
        <v>45112</v>
      </c>
      <c r="C34" s="24" t="str">
        <f t="shared" si="4"/>
        <v>V3M25-1</v>
      </c>
      <c r="D34" s="22" t="str">
        <f t="shared" si="5"/>
        <v>1</v>
      </c>
      <c r="E34" s="22" t="s">
        <v>118</v>
      </c>
      <c r="F34" s="22" t="s">
        <v>87</v>
      </c>
      <c r="G34" s="22" t="s">
        <v>88</v>
      </c>
      <c r="H34" s="22">
        <v>4509530508</v>
      </c>
      <c r="I34" s="22">
        <v>10</v>
      </c>
      <c r="J34" s="22">
        <v>1014</v>
      </c>
      <c r="K34" s="25">
        <v>433959</v>
      </c>
      <c r="L34" s="22" t="s">
        <v>66</v>
      </c>
      <c r="M34" s="22" t="s">
        <v>74</v>
      </c>
      <c r="N34" s="22">
        <v>246</v>
      </c>
      <c r="O34" s="22" t="s">
        <v>14</v>
      </c>
      <c r="P34" s="22" t="s">
        <v>21</v>
      </c>
      <c r="Q34" s="22" t="s">
        <v>86</v>
      </c>
      <c r="R34" s="22">
        <v>246</v>
      </c>
      <c r="S34" s="26">
        <v>246</v>
      </c>
      <c r="T34" s="27"/>
      <c r="U34" s="26"/>
      <c r="V34" s="26"/>
      <c r="W34" s="22"/>
      <c r="Y34" s="21">
        <v>45220</v>
      </c>
      <c r="Z34" s="21">
        <v>45220</v>
      </c>
    </row>
    <row r="35" spans="1:28" s="12" customFormat="1" ht="20.25" hidden="1" customHeight="1">
      <c r="A35" s="12" t="str">
        <f t="shared" si="3"/>
        <v>V3M27</v>
      </c>
      <c r="B35" s="23">
        <v>45112</v>
      </c>
      <c r="C35" s="24" t="str">
        <f t="shared" si="4"/>
        <v>V3M27-1</v>
      </c>
      <c r="D35" s="22" t="str">
        <f t="shared" si="5"/>
        <v>1</v>
      </c>
      <c r="E35" s="22" t="s">
        <v>119</v>
      </c>
      <c r="F35" s="22" t="s">
        <v>82</v>
      </c>
      <c r="G35" s="22" t="s">
        <v>57</v>
      </c>
      <c r="H35" s="22">
        <v>4509529123</v>
      </c>
      <c r="I35" s="22">
        <v>10</v>
      </c>
      <c r="J35" s="22">
        <v>1064</v>
      </c>
      <c r="K35" s="25" t="s">
        <v>59</v>
      </c>
      <c r="L35" s="22" t="s">
        <v>65</v>
      </c>
      <c r="M35" s="22" t="s">
        <v>74</v>
      </c>
      <c r="N35" s="22">
        <v>82</v>
      </c>
      <c r="O35" s="22" t="s">
        <v>61</v>
      </c>
      <c r="P35" s="22" t="s">
        <v>11</v>
      </c>
      <c r="Q35" s="22" t="s">
        <v>78</v>
      </c>
      <c r="R35" s="22">
        <v>82</v>
      </c>
      <c r="S35" s="26">
        <v>82</v>
      </c>
      <c r="T35" s="27"/>
      <c r="U35" s="26"/>
      <c r="V35" s="26"/>
      <c r="W35" s="22"/>
      <c r="Y35" s="21">
        <v>45213</v>
      </c>
      <c r="Z35" s="21">
        <v>45213</v>
      </c>
    </row>
    <row r="36" spans="1:28" s="30" customFormat="1" ht="20.25" hidden="1" customHeight="1">
      <c r="A36" s="12" t="str">
        <f t="shared" si="3"/>
        <v>V3M27</v>
      </c>
      <c r="B36" s="23">
        <v>45112</v>
      </c>
      <c r="C36" s="24" t="str">
        <f t="shared" si="4"/>
        <v>V3M27-2</v>
      </c>
      <c r="D36" s="22" t="str">
        <f t="shared" si="5"/>
        <v>2</v>
      </c>
      <c r="E36" s="22" t="s">
        <v>121</v>
      </c>
      <c r="F36" s="22" t="s">
        <v>82</v>
      </c>
      <c r="G36" s="22" t="s">
        <v>57</v>
      </c>
      <c r="H36" s="22">
        <v>4509529123</v>
      </c>
      <c r="I36" s="22">
        <v>30</v>
      </c>
      <c r="J36" s="22">
        <v>1064</v>
      </c>
      <c r="K36" s="25" t="s">
        <v>59</v>
      </c>
      <c r="L36" s="22" t="s">
        <v>65</v>
      </c>
      <c r="M36" s="22" t="s">
        <v>74</v>
      </c>
      <c r="N36" s="22">
        <v>1417</v>
      </c>
      <c r="O36" s="22" t="s">
        <v>61</v>
      </c>
      <c r="P36" s="22" t="s">
        <v>11</v>
      </c>
      <c r="Q36" s="22" t="s">
        <v>78</v>
      </c>
      <c r="R36" s="22">
        <v>1417</v>
      </c>
      <c r="S36" s="26">
        <v>1417</v>
      </c>
      <c r="T36" s="27"/>
      <c r="U36" s="26"/>
      <c r="V36" s="26"/>
      <c r="W36" s="22"/>
      <c r="X36" s="12"/>
      <c r="Y36" s="21">
        <v>45220</v>
      </c>
      <c r="Z36" s="21">
        <v>45220</v>
      </c>
      <c r="AA36" s="12"/>
    </row>
    <row r="37" spans="1:28" s="12" customFormat="1" ht="20.25" hidden="1" customHeight="1">
      <c r="A37" s="12" t="str">
        <f t="shared" si="3"/>
        <v>V3M27</v>
      </c>
      <c r="B37" s="23">
        <v>45112</v>
      </c>
      <c r="C37" s="24" t="str">
        <f t="shared" si="4"/>
        <v>V3M27-5</v>
      </c>
      <c r="D37" s="22" t="str">
        <f t="shared" si="5"/>
        <v>5</v>
      </c>
      <c r="E37" s="22" t="s">
        <v>120</v>
      </c>
      <c r="F37" s="22" t="s">
        <v>82</v>
      </c>
      <c r="G37" s="22" t="s">
        <v>57</v>
      </c>
      <c r="H37" s="22">
        <v>4509529123</v>
      </c>
      <c r="I37" s="22">
        <v>40</v>
      </c>
      <c r="J37" s="22">
        <v>1064</v>
      </c>
      <c r="K37" s="25"/>
      <c r="L37" s="22" t="s">
        <v>65</v>
      </c>
      <c r="M37" s="22" t="s">
        <v>74</v>
      </c>
      <c r="N37" s="22">
        <v>20</v>
      </c>
      <c r="O37" s="22" t="s">
        <v>61</v>
      </c>
      <c r="P37" s="22" t="s">
        <v>11</v>
      </c>
      <c r="Q37" s="22" t="s">
        <v>78</v>
      </c>
      <c r="R37" s="22">
        <v>20</v>
      </c>
      <c r="S37" s="26">
        <v>20</v>
      </c>
      <c r="T37" s="27"/>
      <c r="U37" s="26"/>
      <c r="V37" s="26"/>
      <c r="W37" s="22"/>
      <c r="Y37" s="21">
        <v>45213</v>
      </c>
      <c r="Z37" s="21">
        <v>45213</v>
      </c>
    </row>
    <row r="38" spans="1:28" s="12" customFormat="1" ht="20.25" hidden="1" customHeight="1">
      <c r="A38" s="12" t="str">
        <f t="shared" si="3"/>
        <v>V3M27</v>
      </c>
      <c r="B38" s="23">
        <v>45112</v>
      </c>
      <c r="C38" s="24" t="str">
        <f t="shared" si="4"/>
        <v>V3M27-6</v>
      </c>
      <c r="D38" s="22" t="str">
        <f t="shared" si="5"/>
        <v>6</v>
      </c>
      <c r="E38" s="22" t="s">
        <v>122</v>
      </c>
      <c r="F38" s="22" t="s">
        <v>82</v>
      </c>
      <c r="G38" s="22" t="s">
        <v>57</v>
      </c>
      <c r="H38" s="22">
        <v>4509529123</v>
      </c>
      <c r="I38" s="22">
        <v>50</v>
      </c>
      <c r="J38" s="22">
        <v>1064</v>
      </c>
      <c r="K38" s="25" t="s">
        <v>59</v>
      </c>
      <c r="L38" s="22" t="s">
        <v>65</v>
      </c>
      <c r="M38" s="22" t="s">
        <v>74</v>
      </c>
      <c r="N38" s="22">
        <v>353</v>
      </c>
      <c r="O38" s="22" t="s">
        <v>61</v>
      </c>
      <c r="P38" s="22" t="s">
        <v>11</v>
      </c>
      <c r="Q38" s="22" t="s">
        <v>78</v>
      </c>
      <c r="R38" s="22">
        <v>353</v>
      </c>
      <c r="S38" s="26">
        <v>353</v>
      </c>
      <c r="T38" s="27"/>
      <c r="U38" s="26"/>
      <c r="V38" s="26"/>
      <c r="W38" s="22"/>
      <c r="Y38" s="21">
        <v>45220</v>
      </c>
      <c r="Z38" s="21">
        <v>45220</v>
      </c>
    </row>
    <row r="39" spans="1:28" s="12" customFormat="1" ht="20.25" hidden="1" customHeight="1">
      <c r="A39" s="12" t="str">
        <f t="shared" si="3"/>
        <v>V3M28</v>
      </c>
      <c r="B39" s="23">
        <v>45112</v>
      </c>
      <c r="C39" s="24" t="str">
        <f t="shared" si="4"/>
        <v>V3M28-2</v>
      </c>
      <c r="D39" s="22" t="str">
        <f t="shared" si="5"/>
        <v>2</v>
      </c>
      <c r="E39" s="22" t="s">
        <v>123</v>
      </c>
      <c r="F39" s="22" t="s">
        <v>83</v>
      </c>
      <c r="G39" s="22" t="s">
        <v>53</v>
      </c>
      <c r="H39" s="22">
        <v>4509529123</v>
      </c>
      <c r="I39" s="22">
        <v>20</v>
      </c>
      <c r="J39" s="22">
        <v>1064</v>
      </c>
      <c r="K39" s="25" t="s">
        <v>59</v>
      </c>
      <c r="L39" s="22" t="s">
        <v>65</v>
      </c>
      <c r="M39" s="22" t="s">
        <v>74</v>
      </c>
      <c r="N39" s="22">
        <v>1364</v>
      </c>
      <c r="O39" s="22" t="s">
        <v>61</v>
      </c>
      <c r="P39" s="22" t="s">
        <v>11</v>
      </c>
      <c r="Q39" s="22" t="s">
        <v>78</v>
      </c>
      <c r="R39" s="22">
        <v>1364</v>
      </c>
      <c r="S39" s="26">
        <v>1364</v>
      </c>
      <c r="T39" s="27"/>
      <c r="U39" s="26"/>
      <c r="V39" s="26"/>
      <c r="W39" s="22"/>
      <c r="Y39" s="21">
        <v>45213</v>
      </c>
      <c r="Z39" s="21">
        <v>45213</v>
      </c>
    </row>
    <row r="40" spans="1:28" s="12" customFormat="1" ht="20.25" hidden="1" customHeight="1">
      <c r="A40" s="12" t="str">
        <f t="shared" si="3"/>
        <v>V3M28</v>
      </c>
      <c r="B40" s="23">
        <v>45112</v>
      </c>
      <c r="C40" s="24" t="str">
        <f t="shared" si="4"/>
        <v>V3M28-5</v>
      </c>
      <c r="D40" s="22" t="str">
        <f t="shared" si="5"/>
        <v>5</v>
      </c>
      <c r="E40" s="22" t="s">
        <v>124</v>
      </c>
      <c r="F40" s="22" t="s">
        <v>83</v>
      </c>
      <c r="G40" s="22" t="s">
        <v>53</v>
      </c>
      <c r="H40" s="22">
        <v>4509529123</v>
      </c>
      <c r="I40" s="22">
        <v>60</v>
      </c>
      <c r="J40" s="22">
        <v>1064</v>
      </c>
      <c r="K40" s="25" t="s">
        <v>59</v>
      </c>
      <c r="L40" s="22" t="s">
        <v>65</v>
      </c>
      <c r="M40" s="22" t="s">
        <v>74</v>
      </c>
      <c r="N40" s="22">
        <v>340</v>
      </c>
      <c r="O40" s="22" t="s">
        <v>61</v>
      </c>
      <c r="P40" s="22" t="s">
        <v>11</v>
      </c>
      <c r="Q40" s="22" t="s">
        <v>78</v>
      </c>
      <c r="R40" s="22">
        <v>340</v>
      </c>
      <c r="S40" s="26">
        <v>340</v>
      </c>
      <c r="T40" s="27"/>
      <c r="U40" s="26"/>
      <c r="V40" s="26"/>
      <c r="W40" s="22"/>
      <c r="Y40" s="21">
        <v>45213</v>
      </c>
      <c r="Z40" s="21">
        <v>45213</v>
      </c>
    </row>
    <row r="41" spans="1:28" s="12" customFormat="1" ht="20.25" hidden="1" customHeight="1">
      <c r="A41" s="12" t="str">
        <f t="shared" si="3"/>
        <v>V3M29</v>
      </c>
      <c r="B41" s="23">
        <v>45112</v>
      </c>
      <c r="C41" s="24" t="str">
        <f t="shared" si="4"/>
        <v>V3M29-4</v>
      </c>
      <c r="D41" s="22" t="str">
        <f t="shared" si="5"/>
        <v>4</v>
      </c>
      <c r="E41" s="22" t="s">
        <v>125</v>
      </c>
      <c r="F41" s="22" t="s">
        <v>135</v>
      </c>
      <c r="G41" s="22" t="s">
        <v>58</v>
      </c>
      <c r="H41" s="22">
        <v>4509529128</v>
      </c>
      <c r="I41" s="22">
        <v>10</v>
      </c>
      <c r="J41" s="22">
        <v>1064</v>
      </c>
      <c r="K41" s="25" t="s">
        <v>59</v>
      </c>
      <c r="L41" s="22" t="s">
        <v>66</v>
      </c>
      <c r="M41" s="22" t="s">
        <v>74</v>
      </c>
      <c r="N41" s="22">
        <v>822</v>
      </c>
      <c r="O41" s="22" t="s">
        <v>61</v>
      </c>
      <c r="P41" s="22" t="s">
        <v>11</v>
      </c>
      <c r="Q41" s="22" t="s">
        <v>78</v>
      </c>
      <c r="R41" s="22">
        <v>822</v>
      </c>
      <c r="S41" s="26">
        <v>822</v>
      </c>
      <c r="T41" s="27"/>
      <c r="U41" s="26"/>
      <c r="V41" s="26"/>
      <c r="W41" s="22"/>
      <c r="Y41" s="21">
        <v>45213</v>
      </c>
      <c r="Z41" s="21">
        <v>45213</v>
      </c>
    </row>
    <row r="42" spans="1:28" s="12" customFormat="1" ht="20.25" hidden="1" customHeight="1">
      <c r="A42" s="12" t="str">
        <f t="shared" si="3"/>
        <v>V3M29</v>
      </c>
      <c r="B42" s="23">
        <v>45112</v>
      </c>
      <c r="C42" s="24" t="str">
        <f t="shared" si="4"/>
        <v>V3M29-5</v>
      </c>
      <c r="D42" s="22" t="str">
        <f t="shared" si="5"/>
        <v>5</v>
      </c>
      <c r="E42" s="22" t="s">
        <v>127</v>
      </c>
      <c r="F42" s="22" t="s">
        <v>135</v>
      </c>
      <c r="G42" s="22" t="s">
        <v>58</v>
      </c>
      <c r="H42" s="22">
        <v>4509529128</v>
      </c>
      <c r="I42" s="22">
        <v>20</v>
      </c>
      <c r="J42" s="22">
        <v>1064</v>
      </c>
      <c r="K42" s="25" t="s">
        <v>59</v>
      </c>
      <c r="L42" s="22" t="s">
        <v>66</v>
      </c>
      <c r="M42" s="22" t="s">
        <v>74</v>
      </c>
      <c r="N42" s="22">
        <v>1021</v>
      </c>
      <c r="O42" s="22" t="s">
        <v>61</v>
      </c>
      <c r="P42" s="22" t="s">
        <v>11</v>
      </c>
      <c r="Q42" s="22" t="s">
        <v>78</v>
      </c>
      <c r="R42" s="22">
        <v>1021</v>
      </c>
      <c r="S42" s="26">
        <v>1021</v>
      </c>
      <c r="T42" s="27"/>
      <c r="U42" s="26"/>
      <c r="V42" s="26"/>
      <c r="W42" s="22"/>
      <c r="Y42" s="21">
        <v>45220</v>
      </c>
      <c r="Z42" s="21">
        <v>45220</v>
      </c>
    </row>
    <row r="43" spans="1:28" s="12" customFormat="1" ht="20.25" hidden="1" customHeight="1">
      <c r="A43" s="12" t="str">
        <f t="shared" si="3"/>
        <v>V3M29</v>
      </c>
      <c r="B43" s="23">
        <v>45112</v>
      </c>
      <c r="C43" s="24" t="str">
        <f t="shared" si="4"/>
        <v>V3M29-7</v>
      </c>
      <c r="D43" s="22" t="str">
        <f t="shared" si="5"/>
        <v>7</v>
      </c>
      <c r="E43" s="22" t="s">
        <v>126</v>
      </c>
      <c r="F43" s="22" t="s">
        <v>135</v>
      </c>
      <c r="G43" s="22" t="s">
        <v>58</v>
      </c>
      <c r="H43" s="22">
        <v>4509529128</v>
      </c>
      <c r="I43" s="22">
        <v>30</v>
      </c>
      <c r="J43" s="22">
        <v>1064</v>
      </c>
      <c r="K43" s="25" t="s">
        <v>59</v>
      </c>
      <c r="L43" s="22" t="s">
        <v>66</v>
      </c>
      <c r="M43" s="22" t="s">
        <v>74</v>
      </c>
      <c r="N43" s="22">
        <v>204</v>
      </c>
      <c r="O43" s="22" t="s">
        <v>61</v>
      </c>
      <c r="P43" s="22" t="s">
        <v>11</v>
      </c>
      <c r="Q43" s="22" t="s">
        <v>78</v>
      </c>
      <c r="R43" s="22">
        <v>204</v>
      </c>
      <c r="S43" s="26">
        <v>204</v>
      </c>
      <c r="T43" s="27"/>
      <c r="U43" s="26"/>
      <c r="V43" s="26"/>
      <c r="W43" s="22"/>
      <c r="Y43" s="21">
        <v>45213</v>
      </c>
      <c r="Z43" s="21">
        <v>45213</v>
      </c>
    </row>
    <row r="44" spans="1:28" s="12" customFormat="1" ht="20.25" hidden="1" customHeight="1">
      <c r="A44" s="12" t="str">
        <f t="shared" si="3"/>
        <v>V3M29</v>
      </c>
      <c r="B44" s="23">
        <v>45112</v>
      </c>
      <c r="C44" s="24" t="str">
        <f t="shared" si="4"/>
        <v>V3M29-8</v>
      </c>
      <c r="D44" s="22" t="str">
        <f t="shared" si="5"/>
        <v>8</v>
      </c>
      <c r="E44" s="22" t="s">
        <v>128</v>
      </c>
      <c r="F44" s="22" t="s">
        <v>135</v>
      </c>
      <c r="G44" s="22" t="s">
        <v>58</v>
      </c>
      <c r="H44" s="22">
        <v>4509529128</v>
      </c>
      <c r="I44" s="22">
        <v>40</v>
      </c>
      <c r="J44" s="22">
        <v>1064</v>
      </c>
      <c r="K44" s="25" t="s">
        <v>59</v>
      </c>
      <c r="L44" s="22" t="s">
        <v>66</v>
      </c>
      <c r="M44" s="22" t="s">
        <v>74</v>
      </c>
      <c r="N44" s="22">
        <v>257</v>
      </c>
      <c r="O44" s="22" t="s">
        <v>61</v>
      </c>
      <c r="P44" s="22" t="s">
        <v>11</v>
      </c>
      <c r="Q44" s="22" t="s">
        <v>78</v>
      </c>
      <c r="R44" s="22">
        <v>257</v>
      </c>
      <c r="S44" s="26">
        <v>257</v>
      </c>
      <c r="T44" s="27"/>
      <c r="U44" s="26"/>
      <c r="V44" s="26"/>
      <c r="W44" s="22"/>
      <c r="Y44" s="21">
        <v>45220</v>
      </c>
      <c r="Z44" s="21">
        <v>45220</v>
      </c>
    </row>
    <row r="45" spans="1:28" s="12" customFormat="1" ht="20.25" hidden="1" customHeight="1">
      <c r="A45" s="12" t="str">
        <f t="shared" si="3"/>
        <v>V3M30</v>
      </c>
      <c r="B45" s="23">
        <v>45112</v>
      </c>
      <c r="C45" s="24" t="str">
        <f t="shared" si="4"/>
        <v>V3M30-2</v>
      </c>
      <c r="D45" s="22" t="str">
        <f t="shared" si="5"/>
        <v>2</v>
      </c>
      <c r="E45" s="22" t="s">
        <v>129</v>
      </c>
      <c r="F45" s="22" t="s">
        <v>85</v>
      </c>
      <c r="G45" s="22" t="s">
        <v>54</v>
      </c>
      <c r="H45" s="22">
        <v>4509529125</v>
      </c>
      <c r="I45" s="22">
        <v>10</v>
      </c>
      <c r="J45" s="22">
        <v>1064</v>
      </c>
      <c r="K45" s="25" t="s">
        <v>59</v>
      </c>
      <c r="L45" s="22" t="s">
        <v>66</v>
      </c>
      <c r="M45" s="22" t="s">
        <v>74</v>
      </c>
      <c r="N45" s="22">
        <v>792</v>
      </c>
      <c r="O45" s="22" t="s">
        <v>61</v>
      </c>
      <c r="P45" s="22" t="s">
        <v>11</v>
      </c>
      <c r="Q45" s="22" t="s">
        <v>78</v>
      </c>
      <c r="R45" s="22">
        <v>792</v>
      </c>
      <c r="S45" s="26">
        <v>792</v>
      </c>
      <c r="T45" s="27"/>
      <c r="U45" s="26"/>
      <c r="V45" s="26"/>
      <c r="W45" s="22"/>
      <c r="Y45" s="21">
        <v>45213</v>
      </c>
      <c r="Z45" s="21">
        <v>45213</v>
      </c>
    </row>
    <row r="46" spans="1:28" s="12" customFormat="1" ht="20.25" customHeight="1">
      <c r="A46" s="12" t="str">
        <f t="shared" si="3"/>
        <v>V3M30</v>
      </c>
      <c r="B46" s="23">
        <v>45112</v>
      </c>
      <c r="C46" s="24" t="str">
        <f t="shared" si="4"/>
        <v>V3M30-3</v>
      </c>
      <c r="D46" s="22" t="str">
        <f t="shared" si="5"/>
        <v>3</v>
      </c>
      <c r="E46" s="22" t="s">
        <v>131</v>
      </c>
      <c r="F46" s="22" t="s">
        <v>85</v>
      </c>
      <c r="G46" s="22" t="s">
        <v>54</v>
      </c>
      <c r="H46" s="22">
        <v>3503403902</v>
      </c>
      <c r="I46" s="22">
        <v>10</v>
      </c>
      <c r="J46" s="22">
        <v>1089</v>
      </c>
      <c r="K46" s="25" t="s">
        <v>59</v>
      </c>
      <c r="L46" s="22" t="s">
        <v>66</v>
      </c>
      <c r="M46" s="22" t="s">
        <v>74</v>
      </c>
      <c r="N46" s="22">
        <v>348</v>
      </c>
      <c r="O46" s="22" t="s">
        <v>136</v>
      </c>
      <c r="P46" s="22" t="s">
        <v>13</v>
      </c>
      <c r="Q46" s="22" t="s">
        <v>137</v>
      </c>
      <c r="R46" s="22">
        <v>348</v>
      </c>
      <c r="S46" s="26">
        <v>348</v>
      </c>
      <c r="T46" s="27"/>
      <c r="U46" s="26"/>
      <c r="V46" s="26"/>
      <c r="W46" s="22"/>
      <c r="Y46" s="21">
        <v>45213</v>
      </c>
      <c r="Z46" s="21">
        <v>45213</v>
      </c>
      <c r="AA46" s="12">
        <v>12795</v>
      </c>
      <c r="AB46" s="32">
        <v>45213</v>
      </c>
    </row>
    <row r="47" spans="1:28" s="12" customFormat="1" ht="20.25" hidden="1" customHeight="1">
      <c r="A47" s="12" t="str">
        <f t="shared" si="3"/>
        <v>V3M30</v>
      </c>
      <c r="B47" s="23">
        <v>45112</v>
      </c>
      <c r="C47" s="24" t="str">
        <f t="shared" si="4"/>
        <v>V3M30-4</v>
      </c>
      <c r="D47" s="22" t="str">
        <f t="shared" si="5"/>
        <v>4</v>
      </c>
      <c r="E47" s="22" t="s">
        <v>130</v>
      </c>
      <c r="F47" s="22" t="s">
        <v>85</v>
      </c>
      <c r="G47" s="22" t="s">
        <v>54</v>
      </c>
      <c r="H47" s="22">
        <v>4509529125</v>
      </c>
      <c r="I47" s="22">
        <v>30</v>
      </c>
      <c r="J47" s="22">
        <v>1064</v>
      </c>
      <c r="K47" s="25" t="s">
        <v>59</v>
      </c>
      <c r="L47" s="22" t="s">
        <v>66</v>
      </c>
      <c r="M47" s="22" t="s">
        <v>74</v>
      </c>
      <c r="N47" s="22">
        <v>198</v>
      </c>
      <c r="O47" s="22" t="s">
        <v>61</v>
      </c>
      <c r="P47" s="22" t="s">
        <v>11</v>
      </c>
      <c r="Q47" s="22" t="s">
        <v>78</v>
      </c>
      <c r="R47" s="22">
        <v>198</v>
      </c>
      <c r="S47" s="26">
        <v>198</v>
      </c>
      <c r="T47" s="27"/>
      <c r="U47" s="26"/>
      <c r="V47" s="26"/>
      <c r="W47" s="22"/>
      <c r="Y47" s="21">
        <v>45213</v>
      </c>
      <c r="Z47" s="21">
        <v>45213</v>
      </c>
    </row>
    <row r="48" spans="1:28" s="12" customFormat="1" ht="20.25" hidden="1" customHeight="1">
      <c r="A48" s="12" t="str">
        <f t="shared" si="3"/>
        <v>V3M31</v>
      </c>
      <c r="B48" s="23">
        <v>45112</v>
      </c>
      <c r="C48" s="24" t="str">
        <f t="shared" si="4"/>
        <v>V3M31-1</v>
      </c>
      <c r="D48" s="22" t="str">
        <f t="shared" si="5"/>
        <v>1</v>
      </c>
      <c r="E48" s="22" t="s">
        <v>132</v>
      </c>
      <c r="F48" s="22" t="s">
        <v>84</v>
      </c>
      <c r="G48" s="22" t="s">
        <v>54</v>
      </c>
      <c r="H48" s="22">
        <v>4509529125</v>
      </c>
      <c r="I48" s="22">
        <v>20</v>
      </c>
      <c r="J48" s="22">
        <v>1064</v>
      </c>
      <c r="K48" s="25" t="s">
        <v>59</v>
      </c>
      <c r="L48" s="22" t="s">
        <v>66</v>
      </c>
      <c r="M48" s="22" t="s">
        <v>74</v>
      </c>
      <c r="N48" s="22">
        <v>2154</v>
      </c>
      <c r="O48" s="22" t="s">
        <v>61</v>
      </c>
      <c r="P48" s="22" t="s">
        <v>11</v>
      </c>
      <c r="Q48" s="22" t="s">
        <v>78</v>
      </c>
      <c r="R48" s="22">
        <v>2154</v>
      </c>
      <c r="S48" s="26">
        <v>2154</v>
      </c>
      <c r="T48" s="27"/>
      <c r="U48" s="26"/>
      <c r="V48" s="26"/>
      <c r="W48" s="22"/>
      <c r="Y48" s="21">
        <v>45213</v>
      </c>
      <c r="Z48" s="21">
        <v>45213</v>
      </c>
    </row>
    <row r="49" spans="1:28" s="12" customFormat="1" ht="20.25" hidden="1" customHeight="1">
      <c r="A49" s="12" t="str">
        <f t="shared" si="3"/>
        <v>V3M31</v>
      </c>
      <c r="B49" s="23">
        <v>45112</v>
      </c>
      <c r="C49" s="24" t="str">
        <f t="shared" si="4"/>
        <v>V3M31-2</v>
      </c>
      <c r="D49" s="22" t="str">
        <f t="shared" si="5"/>
        <v>2</v>
      </c>
      <c r="E49" s="22" t="s">
        <v>133</v>
      </c>
      <c r="F49" s="22" t="s">
        <v>84</v>
      </c>
      <c r="G49" s="22" t="s">
        <v>54</v>
      </c>
      <c r="H49" s="22">
        <v>4509529125</v>
      </c>
      <c r="I49" s="22">
        <v>40</v>
      </c>
      <c r="J49" s="22">
        <v>1064</v>
      </c>
      <c r="K49" s="25" t="s">
        <v>59</v>
      </c>
      <c r="L49" s="22" t="s">
        <v>66</v>
      </c>
      <c r="M49" s="22" t="s">
        <v>74</v>
      </c>
      <c r="N49" s="22">
        <v>540</v>
      </c>
      <c r="O49" s="22" t="s">
        <v>61</v>
      </c>
      <c r="P49" s="22" t="s">
        <v>11</v>
      </c>
      <c r="Q49" s="22" t="s">
        <v>78</v>
      </c>
      <c r="R49" s="22">
        <v>540</v>
      </c>
      <c r="S49" s="26">
        <v>540</v>
      </c>
      <c r="T49" s="27"/>
      <c r="U49" s="26"/>
      <c r="V49" s="26"/>
      <c r="W49" s="22"/>
      <c r="Y49" s="21">
        <v>45213</v>
      </c>
      <c r="Z49" s="21">
        <v>45213</v>
      </c>
    </row>
    <row r="50" spans="1:28">
      <c r="B50" s="13"/>
      <c r="G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>
        <v>24</v>
      </c>
      <c r="Y50" s="13">
        <v>25</v>
      </c>
      <c r="Z50" s="13">
        <v>26</v>
      </c>
      <c r="AA50" s="13"/>
      <c r="AB50" s="13"/>
    </row>
  </sheetData>
  <autoFilter ref="A4:AA49">
    <filterColumn colId="16">
      <filters>
        <filter val="INDIA STICKER(SH)"/>
      </filters>
    </filterColumn>
    <sortState ref="A5:AA62">
      <sortCondition sortBy="fontColor" ref="P4:P62" dxfId="19"/>
    </sortState>
  </autoFilter>
  <sortState ref="A5:AI68">
    <sortCondition ref="E5"/>
  </sortState>
  <pageMargins left="0.56000000000000005" right="0" top="0.19" bottom="0.35" header="0.3" footer="0.1"/>
  <pageSetup scale="45" orientation="landscape" r:id="rId1"/>
  <headerFooter>
    <oddFooter>&amp;C&amp;14&amp;P/&amp;N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00" operator="containsText" id="{F1165A31-DD71-45B6-83CF-94574562523D}">
            <xm:f>NOT(ISERROR(SEARCH("YES",H6)))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H20:I21 H45:I49 H24:I24 H26:I29 H33:I34 H39:I40 H6:I7 H31:I31 H42:I43 H17:I18 H9:I9 H11:I11 H13:I13 H15:I15</xm:sqref>
        </x14:conditionalFormatting>
        <x14:conditionalFormatting xmlns:xm="http://schemas.microsoft.com/office/excel/2006/main">
          <x14:cfRule type="containsText" priority="293" operator="containsText" id="{A91167D7-6AFD-42C7-85FE-36C44521D6A0}">
            <xm:f>NOT(ISERROR(SEARCH("YES",H44)))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H44:I44</xm:sqref>
        </x14:conditionalFormatting>
        <x14:conditionalFormatting xmlns:xm="http://schemas.microsoft.com/office/excel/2006/main">
          <x14:cfRule type="containsText" priority="228" operator="containsText" id="{D7E32015-45B3-4662-83FE-373B0691A6BA}">
            <xm:f>NOT(ISERROR(SEARCH("YES",H22)))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H22:I22</xm:sqref>
        </x14:conditionalFormatting>
        <x14:conditionalFormatting xmlns:xm="http://schemas.microsoft.com/office/excel/2006/main">
          <x14:cfRule type="containsText" priority="226" operator="containsText" id="{60D1B219-3552-4DF1-8A99-2585C2AF044C}">
            <xm:f>NOT(ISERROR(SEARCH("YES",H25)))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H25:I25</xm:sqref>
        </x14:conditionalFormatting>
        <x14:conditionalFormatting xmlns:xm="http://schemas.microsoft.com/office/excel/2006/main">
          <x14:cfRule type="containsText" priority="190" operator="containsText" id="{33B7EE9E-6724-4D67-AC4A-B7D36EA19945}">
            <xm:f>NOT(ISERROR(SEARCH("YES",H32)))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H32:I32</xm:sqref>
        </x14:conditionalFormatting>
        <x14:conditionalFormatting xmlns:xm="http://schemas.microsoft.com/office/excel/2006/main">
          <x14:cfRule type="containsText" priority="184" operator="containsText" id="{8C6C2954-78FA-4F4E-BDAA-C9B877DC2926}">
            <xm:f>NOT(ISERROR(SEARCH("YES",H35)))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H35:I35</xm:sqref>
        </x14:conditionalFormatting>
        <x14:conditionalFormatting xmlns:xm="http://schemas.microsoft.com/office/excel/2006/main">
          <x14:cfRule type="containsText" priority="109" operator="containsText" id="{92CCA6F6-58D6-4D66-AB4D-B5D1D9AEF991}">
            <xm:f>NOT(ISERROR(SEARCH("YES",H5)))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H5:I5</xm:sqref>
        </x14:conditionalFormatting>
        <x14:conditionalFormatting xmlns:xm="http://schemas.microsoft.com/office/excel/2006/main">
          <x14:cfRule type="containsText" priority="103" operator="containsText" id="{2E66809A-665D-476A-B6CA-B33D328B7B3D}">
            <xm:f>NOT(ISERROR(SEARCH("YES",H23)))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H23:I23</xm:sqref>
        </x14:conditionalFormatting>
        <x14:conditionalFormatting xmlns:xm="http://schemas.microsoft.com/office/excel/2006/main">
          <x14:cfRule type="containsText" priority="102" operator="containsText" id="{71F59915-A201-4FCD-BFBD-3A7A1B84C60C}">
            <xm:f>NOT(ISERROR(SEARCH("YES",H30)))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H30:I30</xm:sqref>
        </x14:conditionalFormatting>
        <x14:conditionalFormatting xmlns:xm="http://schemas.microsoft.com/office/excel/2006/main">
          <x14:cfRule type="containsText" priority="101" operator="containsText" id="{43A0E81E-963B-4A42-83CD-607288B5C5BC}">
            <xm:f>NOT(ISERROR(SEARCH("YES",H36)))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H36:I36</xm:sqref>
        </x14:conditionalFormatting>
        <x14:conditionalFormatting xmlns:xm="http://schemas.microsoft.com/office/excel/2006/main">
          <x14:cfRule type="containsText" priority="90" operator="containsText" id="{D1E1C243-963E-4134-965B-A95E44F0B11A}">
            <xm:f>NOT(ISERROR(SEARCH("YES",H41)))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H41:I41</xm:sqref>
        </x14:conditionalFormatting>
        <x14:conditionalFormatting xmlns:xm="http://schemas.microsoft.com/office/excel/2006/main">
          <x14:cfRule type="containsText" priority="83" operator="containsText" id="{47AB6E46-7C68-4C9C-8DBB-941AA588BADF}">
            <xm:f>NOT(ISERROR(SEARCH("YES",H37)))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H37:I37</xm:sqref>
        </x14:conditionalFormatting>
        <x14:conditionalFormatting xmlns:xm="http://schemas.microsoft.com/office/excel/2006/main">
          <x14:cfRule type="containsText" priority="82" operator="containsText" id="{BF79E52C-AA22-446B-A092-53FF82266F07}">
            <xm:f>NOT(ISERROR(SEARCH("YES",H38)))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H38:I38</xm:sqref>
        </x14:conditionalFormatting>
        <x14:conditionalFormatting xmlns:xm="http://schemas.microsoft.com/office/excel/2006/main">
          <x14:cfRule type="containsText" priority="29" operator="containsText" id="{2031E07A-8896-463B-91D1-7C2551D90F8D}">
            <xm:f>NOT(ISERROR(SEARCH("YES",H16)))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H16:I16</xm:sqref>
        </x14:conditionalFormatting>
        <x14:conditionalFormatting xmlns:xm="http://schemas.microsoft.com/office/excel/2006/main">
          <x14:cfRule type="containsText" priority="18" operator="containsText" id="{E11EB25B-2874-47F5-839E-0C716C7DEC0B}">
            <xm:f>NOT(ISERROR(SEARCH("YES",H8)))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H8:I8</xm:sqref>
        </x14:conditionalFormatting>
        <x14:conditionalFormatting xmlns:xm="http://schemas.microsoft.com/office/excel/2006/main">
          <x14:cfRule type="containsText" priority="17" operator="containsText" id="{8C8235CB-AE4B-416C-B906-9F47BC7DF453}">
            <xm:f>NOT(ISERROR(SEARCH("YES",H10)))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H10:I10</xm:sqref>
        </x14:conditionalFormatting>
        <x14:conditionalFormatting xmlns:xm="http://schemas.microsoft.com/office/excel/2006/main">
          <x14:cfRule type="containsText" priority="16" operator="containsText" id="{A6B436F9-D9E4-4C56-A4C1-3E8B02A2B80C}">
            <xm:f>NOT(ISERROR(SEARCH("YES",H12)))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H12:I12</xm:sqref>
        </x14:conditionalFormatting>
        <x14:conditionalFormatting xmlns:xm="http://schemas.microsoft.com/office/excel/2006/main">
          <x14:cfRule type="containsText" priority="15" operator="containsText" id="{4151B2F4-69C1-4CE6-96D5-DCADFD22873D}">
            <xm:f>NOT(ISERROR(SEARCH("YES",H14)))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H14:I14</xm:sqref>
        </x14:conditionalFormatting>
        <x14:conditionalFormatting xmlns:xm="http://schemas.microsoft.com/office/excel/2006/main">
          <x14:cfRule type="containsText" priority="14" operator="containsText" id="{243A598B-7926-4274-8AD1-7E8DE110D0E2}">
            <xm:f>NOT(ISERROR(SEARCH("YES",H19)))</xm:f>
            <xm:f>"YES"</xm:f>
            <x14:dxf>
              <fill>
                <patternFill>
                  <bgColor theme="9" tint="-0.24994659260841701"/>
                </patternFill>
              </fill>
            </x14:dxf>
          </x14:cfRule>
          <xm:sqref>H19:I19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Size Run V2D70-1</vt:lpstr>
      <vt:lpstr>LABEL</vt:lpstr>
      <vt:lpstr>LABEL!Print_Area</vt:lpstr>
      <vt:lpstr>LABEL!Print_Titles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Vu@DV (Vu T Thanh Thuy)</dc:creator>
  <cp:lastModifiedBy>Quyen</cp:lastModifiedBy>
  <cp:lastPrinted>2023-07-05T06:18:33Z</cp:lastPrinted>
  <dcterms:created xsi:type="dcterms:W3CDTF">2015-12-14T03:53:10Z</dcterms:created>
  <dcterms:modified xsi:type="dcterms:W3CDTF">2023-08-08T02:27:19Z</dcterms:modified>
</cp:coreProperties>
</file>