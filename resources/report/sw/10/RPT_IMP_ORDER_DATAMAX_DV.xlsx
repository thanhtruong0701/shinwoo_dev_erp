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_shinwoo\resources\report\sw\10\"/>
    </mc:Choice>
  </mc:AlternateContent>
  <bookViews>
    <workbookView xWindow="720" yWindow="360" windowWidth="20730" windowHeight="11760"/>
  </bookViews>
  <sheets>
    <sheet name="Detail Size Run" sheetId="1" r:id="rId1"/>
  </sheets>
  <definedNames>
    <definedName name="_xlnm._FilterDatabase" localSheetId="0" hidden="1">'Detail Size Run'!$A$2:$CQ$5</definedName>
  </definedNames>
  <calcPr calcId="152511"/>
</workbook>
</file>

<file path=xl/calcChain.xml><?xml version="1.0" encoding="utf-8"?>
<calcChain xmlns="http://schemas.openxmlformats.org/spreadsheetml/2006/main">
  <c r="N3" i="1" l="1"/>
  <c r="T3" i="1" l="1"/>
  <c r="N4" i="1"/>
  <c r="T4" i="1"/>
  <c r="N5" i="1"/>
  <c r="T5" i="1"/>
</calcChain>
</file>

<file path=xl/sharedStrings.xml><?xml version="1.0" encoding="utf-8"?>
<sst xmlns="http://schemas.openxmlformats.org/spreadsheetml/2006/main" count="84" uniqueCount="77">
  <si>
    <t/>
  </si>
  <si>
    <t>NIKE METCON 9</t>
  </si>
  <si>
    <t>India</t>
  </si>
  <si>
    <t>V3M30-3</t>
  </si>
  <si>
    <t>V3M30</t>
  </si>
  <si>
    <t>DZ2617-001</t>
  </si>
  <si>
    <t>China</t>
  </si>
  <si>
    <t>AIR FORCE 1 LOW RETRO</t>
  </si>
  <si>
    <t>FN5924-001</t>
  </si>
  <si>
    <t>V3M23</t>
  </si>
  <si>
    <t>V3M23-5</t>
  </si>
  <si>
    <t>V3M22</t>
  </si>
  <si>
    <t>AIR FORCE 1 SP</t>
  </si>
  <si>
    <t>FJ4908-100</t>
  </si>
  <si>
    <t>V3M22-1</t>
  </si>
  <si>
    <t>XXL</t>
  </si>
  <si>
    <t>XL</t>
  </si>
  <si>
    <t>L</t>
  </si>
  <si>
    <t>M</t>
  </si>
  <si>
    <t>S</t>
  </si>
  <si>
    <t>XS</t>
  </si>
  <si>
    <t>XXS</t>
  </si>
  <si>
    <t>3XS</t>
  </si>
  <si>
    <t>4XS</t>
  </si>
  <si>
    <t>5XS</t>
  </si>
  <si>
    <t>6XS</t>
  </si>
  <si>
    <t>7Y</t>
  </si>
  <si>
    <t>6.5Y</t>
  </si>
  <si>
    <t>6Y</t>
  </si>
  <si>
    <t>5.5Y</t>
  </si>
  <si>
    <t>5Y</t>
  </si>
  <si>
    <t>4.5Y</t>
  </si>
  <si>
    <t>4Y</t>
  </si>
  <si>
    <t>3.5Y</t>
  </si>
  <si>
    <t>3Y</t>
  </si>
  <si>
    <t>2.5Y</t>
  </si>
  <si>
    <t>2Y</t>
  </si>
  <si>
    <t>1.5Y</t>
  </si>
  <si>
    <t>1Y</t>
  </si>
  <si>
    <t>13.5C</t>
  </si>
  <si>
    <t>13C</t>
  </si>
  <si>
    <t>12.5C</t>
  </si>
  <si>
    <t>12C</t>
  </si>
  <si>
    <t>11.5C</t>
  </si>
  <si>
    <t>11C</t>
  </si>
  <si>
    <t>10.5C</t>
  </si>
  <si>
    <t>10C</t>
  </si>
  <si>
    <t>9C</t>
  </si>
  <si>
    <t>8C</t>
  </si>
  <si>
    <t>7C</t>
  </si>
  <si>
    <t>6C</t>
  </si>
  <si>
    <t>5C</t>
  </si>
  <si>
    <t>4C</t>
  </si>
  <si>
    <t>3C</t>
  </si>
  <si>
    <t>2C</t>
  </si>
  <si>
    <t>Qty</t>
  </si>
  <si>
    <t>Country</t>
  </si>
  <si>
    <t>SDD</t>
  </si>
  <si>
    <t>Customer PO</t>
  </si>
  <si>
    <t>Plant</t>
  </si>
  <si>
    <t>Diff</t>
  </si>
  <si>
    <t>RC</t>
  </si>
  <si>
    <t>GAC</t>
  </si>
  <si>
    <t>OGAC</t>
  </si>
  <si>
    <t>Lot#</t>
  </si>
  <si>
    <t>MFG</t>
  </si>
  <si>
    <t>Product Name</t>
  </si>
  <si>
    <t>Product Code</t>
  </si>
  <si>
    <t>Doc date</t>
  </si>
  <si>
    <t>Item</t>
  </si>
  <si>
    <t>TC</t>
  </si>
  <si>
    <t>PO</t>
  </si>
  <si>
    <t>Remark</t>
  </si>
  <si>
    <t>Order Reason Code</t>
  </si>
  <si>
    <t>Date</t>
  </si>
  <si>
    <t>DPO 6-14 BUY &amp; 6-28 Buy DETAIL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</si>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</sst>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m/d"/>
  </numFmts>
  <fonts count="10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 applyNumberFormat="0" applyBorder="0" applyAlignment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20">
    <xf numFmtId="0" fontId="0" fillId="0" borderId="0" xfId="0"/>
    <xf numFmtId="0" fontId="0" fillId="0" borderId="0" xfId="0" applyFill="1" applyProtection="1"/>
    <xf numFmtId="14" fontId="0" fillId="0" borderId="0" xfId="0" applyNumberFormat="1" applyFill="1" applyProtection="1"/>
    <xf numFmtId="164" fontId="3" fillId="0" borderId="1" xfId="1" applyNumberFormat="1" applyFont="1" applyFill="1" applyBorder="1"/>
    <xf numFmtId="0" fontId="0" fillId="0" borderId="0" xfId="0" applyFill="1"/>
    <xf numFmtId="14" fontId="0" fillId="0" borderId="0" xfId="0" applyNumberFormat="1" applyFill="1"/>
    <xf numFmtId="0" fontId="4" fillId="0" borderId="0" xfId="0" applyFont="1" applyFill="1"/>
    <xf numFmtId="0" fontId="0" fillId="0" borderId="0" xfId="0" applyNumberFormat="1" applyFill="1" applyProtection="1"/>
    <xf numFmtId="0" fontId="5" fillId="0" borderId="0" xfId="0" applyFont="1" applyFill="1" applyAlignment="1">
      <alignment horizontal="left"/>
    </xf>
    <xf numFmtId="0" fontId="5" fillId="0" borderId="0" xfId="0" applyFont="1" applyFill="1"/>
    <xf numFmtId="14" fontId="5" fillId="0" borderId="0" xfId="0" applyNumberFormat="1" applyFont="1" applyFill="1"/>
    <xf numFmtId="0" fontId="5" fillId="2" borderId="0" xfId="0" applyFont="1" applyFill="1"/>
    <xf numFmtId="0" fontId="6" fillId="0" borderId="0" xfId="0" applyFont="1" applyFill="1"/>
    <xf numFmtId="15" fontId="7" fillId="3" borderId="0" xfId="2" applyNumberFormat="1" applyFont="1" applyFill="1" applyAlignment="1" applyProtection="1">
      <alignment horizontal="left"/>
      <protection locked="0"/>
    </xf>
    <xf numFmtId="0" fontId="1" fillId="0" borderId="0" xfId="0" applyFont="1"/>
    <xf numFmtId="14" fontId="1" fillId="0" borderId="0" xfId="0" applyNumberFormat="1" applyFont="1"/>
    <xf numFmtId="165" fontId="3" fillId="3" borderId="0" xfId="3" applyNumberFormat="1" applyFont="1" applyFill="1" applyAlignment="1" applyProtection="1">
      <alignment horizontal="center"/>
      <protection locked="0"/>
    </xf>
    <xf numFmtId="165" fontId="8" fillId="3" borderId="0" xfId="3" applyNumberFormat="1" applyFont="1" applyFill="1" applyAlignment="1" applyProtection="1">
      <alignment horizontal="center"/>
      <protection locked="0"/>
    </xf>
    <xf numFmtId="0" fontId="9" fillId="0" borderId="0" xfId="3" applyFont="1" applyFill="1" applyAlignment="1" applyProtection="1">
      <alignment horizontal="center"/>
      <protection locked="0"/>
    </xf>
    <xf numFmtId="0" fontId="0" fillId="2" borderId="0" xfId="0" applyFill="1" applyProtection="1"/>
  </cellXfs>
  <cellStyles count="4">
    <cellStyle name="Comma 3 2" xfId="1"/>
    <cellStyle name="Normal" xfId="0" builtinId="0"/>
    <cellStyle name="Normal_Comparison DPO08-08-10detail(07-03) RP." xfId="3"/>
    <cellStyle name="Normal_Comparison July 26'02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5"/>
  <sheetViews>
    <sheetView tabSelected="1" zoomScale="85" zoomScaleNormal="85" workbookViewId="0">
      <pane ySplit="2" topLeftCell="A3" activePane="bottomLeft" state="frozen"/>
      <selection pane="bottomLeft" activeCell="A6" sqref="A6:XFD9"/>
    </sheetView>
  </sheetViews>
  <sheetFormatPr defaultColWidth="9.1328125" defaultRowHeight="14.25" outlineLevelRow="2" x14ac:dyDescent="0.45"/>
  <cols>
    <col min="1" max="1" width="9.1328125" style="1" customWidth="1"/>
    <col min="2" max="2" width="9.73046875" style="1" bestFit="1" customWidth="1"/>
    <col min="3" max="4" width="11" style="1" bestFit="1" customWidth="1"/>
    <col min="5" max="5" width="6.59765625" style="1" bestFit="1" customWidth="1"/>
    <col min="6" max="6" width="15.59765625" style="1" customWidth="1"/>
    <col min="7" max="7" width="17.3984375" style="1" customWidth="1"/>
    <col min="8" max="8" width="30.1328125" style="1" customWidth="1"/>
    <col min="9" max="9" width="9.265625" style="1" bestFit="1" customWidth="1"/>
    <col min="10" max="10" width="15.73046875" style="1" customWidth="1"/>
    <col min="11" max="12" width="10.86328125" style="1" bestFit="1" customWidth="1"/>
    <col min="13" max="13" width="6" style="1" bestFit="1" customWidth="1"/>
    <col min="14" max="14" width="10.19921875" style="1" customWidth="1"/>
    <col min="15" max="15" width="8" style="1" bestFit="1" customWidth="1"/>
    <col min="16" max="16" width="9.86328125" style="1" bestFit="1" customWidth="1"/>
    <col min="17" max="17" width="20.265625" style="1" customWidth="1"/>
    <col min="18" max="18" width="10.86328125" style="2" bestFit="1" customWidth="1"/>
    <col min="19" max="19" width="16" style="1" customWidth="1"/>
    <col min="20" max="20" width="9" style="1" customWidth="1"/>
    <col min="21" max="25" width="7" style="1" customWidth="1"/>
    <col min="26" max="39" width="8" style="1" bestFit="1" customWidth="1"/>
    <col min="40" max="40" width="7" style="1" customWidth="1"/>
    <col min="41" max="41" width="8" style="1" bestFit="1" customWidth="1"/>
    <col min="42" max="77" width="7" style="1" customWidth="1"/>
    <col min="78" max="82" width="8" style="1" bestFit="1" customWidth="1"/>
    <col min="83" max="95" width="7" style="1" customWidth="1"/>
    <col min="96" max="16384" width="9.1328125" style="1"/>
  </cols>
  <sheetData>
    <row r="1" spans="1:95" ht="25.5" x14ac:dyDescent="0.75">
      <c r="A1" s="18" t="s">
        <v>74</v>
      </c>
      <c r="B1" s="17">
        <v>45110</v>
      </c>
      <c r="C1" s="16"/>
      <c r="D1" s="14"/>
      <c r="E1" s="15"/>
      <c r="F1" s="15"/>
      <c r="G1" s="14"/>
      <c r="H1" s="14"/>
      <c r="I1" s="13" t="s">
        <v>75</v>
      </c>
      <c r="J1" s="5"/>
      <c r="K1" s="5"/>
      <c r="L1" s="6"/>
      <c r="M1" s="6"/>
      <c r="N1" s="4"/>
      <c r="O1" s="4"/>
      <c r="P1" s="4"/>
      <c r="Q1" s="5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</row>
    <row r="2" spans="1:95" ht="30" customHeight="1" x14ac:dyDescent="0.45">
      <c r="A2" s="12" t="s">
        <v>73</v>
      </c>
      <c r="B2" s="9" t="s">
        <v>72</v>
      </c>
      <c r="C2" s="9" t="s">
        <v>71</v>
      </c>
      <c r="D2" s="9" t="s">
        <v>70</v>
      </c>
      <c r="E2" s="9" t="s">
        <v>69</v>
      </c>
      <c r="F2" s="10" t="s">
        <v>68</v>
      </c>
      <c r="G2" s="11" t="s">
        <v>67</v>
      </c>
      <c r="H2" s="9" t="s">
        <v>66</v>
      </c>
      <c r="I2" s="9" t="s">
        <v>65</v>
      </c>
      <c r="J2" s="11" t="s">
        <v>64</v>
      </c>
      <c r="K2" s="10" t="s">
        <v>63</v>
      </c>
      <c r="L2" s="10" t="s">
        <v>62</v>
      </c>
      <c r="M2" s="9" t="s">
        <v>61</v>
      </c>
      <c r="N2" s="9" t="s">
        <v>60</v>
      </c>
      <c r="O2" s="9" t="s">
        <v>59</v>
      </c>
      <c r="P2" s="9" t="s">
        <v>76</v>
      </c>
      <c r="Q2" s="9" t="s">
        <v>58</v>
      </c>
      <c r="R2" s="10" t="s">
        <v>57</v>
      </c>
      <c r="S2" s="9" t="s">
        <v>56</v>
      </c>
      <c r="T2" s="9" t="s">
        <v>55</v>
      </c>
      <c r="U2" s="8">
        <v>3</v>
      </c>
      <c r="V2" s="8">
        <v>3.5</v>
      </c>
      <c r="W2" s="8">
        <v>4</v>
      </c>
      <c r="X2" s="8">
        <v>4.5</v>
      </c>
      <c r="Y2" s="8">
        <v>5</v>
      </c>
      <c r="Z2" s="8">
        <v>5.5</v>
      </c>
      <c r="AA2" s="8">
        <v>6</v>
      </c>
      <c r="AB2" s="8">
        <v>6.5</v>
      </c>
      <c r="AC2" s="8">
        <v>7</v>
      </c>
      <c r="AD2" s="8">
        <v>7.5</v>
      </c>
      <c r="AE2" s="8">
        <v>8</v>
      </c>
      <c r="AF2" s="8">
        <v>8.5</v>
      </c>
      <c r="AG2" s="8">
        <v>9</v>
      </c>
      <c r="AH2" s="8">
        <v>9.5</v>
      </c>
      <c r="AI2" s="8">
        <v>10</v>
      </c>
      <c r="AJ2" s="8">
        <v>10.5</v>
      </c>
      <c r="AK2" s="8">
        <v>11</v>
      </c>
      <c r="AL2" s="8">
        <v>11.5</v>
      </c>
      <c r="AM2" s="8">
        <v>12</v>
      </c>
      <c r="AN2" s="8">
        <v>12.5</v>
      </c>
      <c r="AO2" s="8">
        <v>13</v>
      </c>
      <c r="AP2" s="8">
        <v>13.5</v>
      </c>
      <c r="AQ2" s="8">
        <v>14</v>
      </c>
      <c r="AR2" s="8">
        <v>14.5</v>
      </c>
      <c r="AS2" s="8">
        <v>15</v>
      </c>
      <c r="AT2" s="8">
        <v>15.5</v>
      </c>
      <c r="AU2" s="8">
        <v>16</v>
      </c>
      <c r="AV2" s="8">
        <v>16.5</v>
      </c>
      <c r="AW2" s="8">
        <v>17</v>
      </c>
      <c r="AX2" s="8">
        <v>17.5</v>
      </c>
      <c r="AY2" s="8">
        <v>18</v>
      </c>
      <c r="AZ2" s="8">
        <v>19</v>
      </c>
      <c r="BA2" s="8">
        <v>20</v>
      </c>
      <c r="BB2" s="8">
        <v>21</v>
      </c>
      <c r="BC2" s="8">
        <v>22</v>
      </c>
      <c r="BD2" s="8" t="s">
        <v>54</v>
      </c>
      <c r="BE2" s="8" t="s">
        <v>53</v>
      </c>
      <c r="BF2" s="8" t="s">
        <v>52</v>
      </c>
      <c r="BG2" s="8" t="s">
        <v>51</v>
      </c>
      <c r="BH2" s="8" t="s">
        <v>50</v>
      </c>
      <c r="BI2" s="8" t="s">
        <v>49</v>
      </c>
      <c r="BJ2" s="8" t="s">
        <v>48</v>
      </c>
      <c r="BK2" s="8" t="s">
        <v>47</v>
      </c>
      <c r="BL2" s="8" t="s">
        <v>46</v>
      </c>
      <c r="BM2" s="8" t="s">
        <v>45</v>
      </c>
      <c r="BN2" s="8" t="s">
        <v>44</v>
      </c>
      <c r="BO2" s="8" t="s">
        <v>43</v>
      </c>
      <c r="BP2" s="8" t="s">
        <v>42</v>
      </c>
      <c r="BQ2" s="8" t="s">
        <v>41</v>
      </c>
      <c r="BR2" s="8" t="s">
        <v>40</v>
      </c>
      <c r="BS2" s="8" t="s">
        <v>39</v>
      </c>
      <c r="BT2" s="8" t="s">
        <v>38</v>
      </c>
      <c r="BU2" s="8" t="s">
        <v>37</v>
      </c>
      <c r="BV2" s="8" t="s">
        <v>36</v>
      </c>
      <c r="BW2" s="8" t="s">
        <v>35</v>
      </c>
      <c r="BX2" s="8" t="s">
        <v>34</v>
      </c>
      <c r="BY2" s="8" t="s">
        <v>33</v>
      </c>
      <c r="BZ2" s="8" t="s">
        <v>32</v>
      </c>
      <c r="CA2" s="8" t="s">
        <v>31</v>
      </c>
      <c r="CB2" s="8" t="s">
        <v>30</v>
      </c>
      <c r="CC2" s="8" t="s">
        <v>29</v>
      </c>
      <c r="CD2" s="8" t="s">
        <v>28</v>
      </c>
      <c r="CE2" s="8" t="s">
        <v>27</v>
      </c>
      <c r="CF2" s="8" t="s">
        <v>26</v>
      </c>
      <c r="CG2" s="8" t="s">
        <v>25</v>
      </c>
      <c r="CH2" s="8" t="s">
        <v>24</v>
      </c>
      <c r="CI2" s="8" t="s">
        <v>23</v>
      </c>
      <c r="CJ2" s="8" t="s">
        <v>22</v>
      </c>
      <c r="CK2" s="8" t="s">
        <v>21</v>
      </c>
      <c r="CL2" s="8" t="s">
        <v>20</v>
      </c>
      <c r="CM2" s="8" t="s">
        <v>19</v>
      </c>
      <c r="CN2" s="8" t="s">
        <v>18</v>
      </c>
      <c r="CO2" s="8" t="s">
        <v>17</v>
      </c>
      <c r="CP2" s="8" t="s">
        <v>16</v>
      </c>
      <c r="CQ2" s="8" t="s">
        <v>15</v>
      </c>
    </row>
    <row r="3" spans="1:95" ht="30" customHeight="1" outlineLevel="2" x14ac:dyDescent="0.45">
      <c r="C3" s="7">
        <v>6000729778</v>
      </c>
      <c r="D3" s="7">
        <v>2500083933</v>
      </c>
      <c r="E3" s="7">
        <v>100</v>
      </c>
      <c r="F3" s="2">
        <v>45091</v>
      </c>
      <c r="G3" s="19" t="s">
        <v>13</v>
      </c>
      <c r="H3" s="1" t="s">
        <v>12</v>
      </c>
      <c r="I3" s="1" t="s">
        <v>11</v>
      </c>
      <c r="J3" s="19" t="s">
        <v>14</v>
      </c>
      <c r="K3" s="2">
        <v>45213</v>
      </c>
      <c r="L3" s="2">
        <v>45213</v>
      </c>
      <c r="M3" s="1">
        <v>53</v>
      </c>
      <c r="N3" s="3">
        <f>L3-K3</f>
        <v>0</v>
      </c>
      <c r="O3" s="7">
        <v>1025</v>
      </c>
      <c r="P3" s="1" t="s">
        <v>18</v>
      </c>
      <c r="Q3" s="1" t="s">
        <v>0</v>
      </c>
      <c r="R3" s="2">
        <v>45240</v>
      </c>
      <c r="S3" s="1" t="s">
        <v>6</v>
      </c>
      <c r="T3" s="3">
        <f>SUM(U3:CQ3)</f>
        <v>3000</v>
      </c>
      <c r="V3" s="1">
        <v>23</v>
      </c>
      <c r="W3" s="1">
        <v>64</v>
      </c>
      <c r="X3" s="1">
        <v>81</v>
      </c>
      <c r="Y3" s="1">
        <v>138</v>
      </c>
      <c r="Z3" s="1">
        <v>115</v>
      </c>
      <c r="AA3" s="1">
        <v>148</v>
      </c>
      <c r="AB3" s="1">
        <v>139</v>
      </c>
      <c r="AC3" s="1">
        <v>195</v>
      </c>
      <c r="AD3" s="1">
        <v>177</v>
      </c>
      <c r="AE3" s="1">
        <v>379</v>
      </c>
      <c r="AF3" s="1">
        <v>385</v>
      </c>
      <c r="AG3" s="1">
        <v>338</v>
      </c>
      <c r="AH3" s="1">
        <v>324</v>
      </c>
      <c r="AI3" s="1">
        <v>211</v>
      </c>
      <c r="AJ3" s="1">
        <v>136</v>
      </c>
      <c r="AK3" s="1">
        <v>114</v>
      </c>
      <c r="AM3" s="1">
        <v>33</v>
      </c>
    </row>
    <row r="4" spans="1:95" ht="30" customHeight="1" outlineLevel="2" x14ac:dyDescent="0.45">
      <c r="C4" s="7">
        <v>6000729779</v>
      </c>
      <c r="D4" s="7">
        <v>2500083828</v>
      </c>
      <c r="E4" s="7">
        <v>100</v>
      </c>
      <c r="F4" s="2">
        <v>45091</v>
      </c>
      <c r="G4" s="19" t="s">
        <v>8</v>
      </c>
      <c r="H4" s="1" t="s">
        <v>7</v>
      </c>
      <c r="I4" s="1" t="s">
        <v>9</v>
      </c>
      <c r="J4" s="19" t="s">
        <v>10</v>
      </c>
      <c r="K4" s="2">
        <v>45227</v>
      </c>
      <c r="L4" s="2">
        <v>45227</v>
      </c>
      <c r="M4" s="1">
        <v>53</v>
      </c>
      <c r="N4" s="3">
        <f t="shared" ref="N4" si="0">L4-K4</f>
        <v>0</v>
      </c>
      <c r="O4" s="7">
        <v>1025</v>
      </c>
      <c r="P4" s="1" t="s">
        <v>18</v>
      </c>
      <c r="Q4" s="1" t="s">
        <v>0</v>
      </c>
      <c r="R4" s="2">
        <v>45254</v>
      </c>
      <c r="S4" s="1" t="s">
        <v>6</v>
      </c>
      <c r="T4" s="3">
        <f t="shared" ref="T4" si="1">SUM(U4:CQ4)</f>
        <v>1202</v>
      </c>
      <c r="AA4" s="1">
        <v>48</v>
      </c>
      <c r="AB4" s="1">
        <v>48</v>
      </c>
      <c r="AC4" s="1">
        <v>72</v>
      </c>
      <c r="AD4" s="1">
        <v>96</v>
      </c>
      <c r="AE4" s="1">
        <v>120</v>
      </c>
      <c r="AF4" s="1">
        <v>144</v>
      </c>
      <c r="AG4" s="1">
        <v>168</v>
      </c>
      <c r="AH4" s="1">
        <v>168</v>
      </c>
      <c r="AI4" s="1">
        <v>120</v>
      </c>
      <c r="AJ4" s="1">
        <v>96</v>
      </c>
      <c r="AK4" s="1">
        <v>72</v>
      </c>
      <c r="AM4" s="1">
        <v>48</v>
      </c>
      <c r="AO4" s="1">
        <v>2</v>
      </c>
    </row>
    <row r="5" spans="1:95" ht="30" customHeight="1" outlineLevel="2" x14ac:dyDescent="0.45">
      <c r="C5" s="7">
        <v>3503403902</v>
      </c>
      <c r="D5" s="1" t="s">
        <v>0</v>
      </c>
      <c r="E5" s="7">
        <v>10</v>
      </c>
      <c r="F5" s="2">
        <v>45091</v>
      </c>
      <c r="G5" s="19" t="s">
        <v>5</v>
      </c>
      <c r="H5" s="1" t="s">
        <v>1</v>
      </c>
      <c r="I5" s="1" t="s">
        <v>4</v>
      </c>
      <c r="J5" s="19" t="s">
        <v>3</v>
      </c>
      <c r="K5" s="2">
        <v>45213</v>
      </c>
      <c r="L5" s="2">
        <v>45213</v>
      </c>
      <c r="M5" s="1">
        <v>53</v>
      </c>
      <c r="N5" s="3">
        <f>L5-K5</f>
        <v>0</v>
      </c>
      <c r="O5" s="7">
        <v>1089</v>
      </c>
      <c r="P5" s="1" t="s">
        <v>18</v>
      </c>
      <c r="Q5" s="1" t="s">
        <v>0</v>
      </c>
      <c r="R5" s="2">
        <v>45257</v>
      </c>
      <c r="S5" s="1" t="s">
        <v>2</v>
      </c>
      <c r="T5" s="3">
        <f>SUM(U5:CQ5)</f>
        <v>348</v>
      </c>
      <c r="AC5" s="1">
        <v>12</v>
      </c>
      <c r="AE5" s="1">
        <v>48</v>
      </c>
      <c r="AF5" s="1">
        <v>6</v>
      </c>
      <c r="AG5" s="1">
        <v>90</v>
      </c>
      <c r="AI5" s="1">
        <v>90</v>
      </c>
      <c r="AK5" s="1">
        <v>66</v>
      </c>
      <c r="AM5" s="1">
        <v>30</v>
      </c>
      <c r="AO5" s="1">
        <v>6</v>
      </c>
    </row>
  </sheetData>
  <autoFilter ref="A2:CQ5"/>
  <conditionalFormatting sqref="I1">
    <cfRule type="duplicateValues" dxfId="2" priority="2"/>
  </conditionalFormatting>
  <conditionalFormatting sqref="I1">
    <cfRule type="duplicateValues" dxfId="1" priority="3"/>
  </conditionalFormatting>
  <conditionalFormatting sqref="I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Size Run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Ngo@DV (Ngo Thi Thuc Quyen)</dc:creator>
  <cp:lastModifiedBy>Quyen</cp:lastModifiedBy>
  <dcterms:created xsi:type="dcterms:W3CDTF">2023-06-15T04:31:19Z</dcterms:created>
  <dcterms:modified xsi:type="dcterms:W3CDTF">2023-08-07T09:15:37Z</dcterms:modified>
</cp:coreProperties>
</file>