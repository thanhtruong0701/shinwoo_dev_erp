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IA\"/>
    </mc:Choice>
  </mc:AlternateContent>
  <bookViews>
    <workbookView xWindow="-120" yWindow="-120" windowWidth="21840" windowHeight="13140"/>
  </bookViews>
  <sheets>
    <sheet name="size run china gb 11092022" sheetId="7" r:id="rId1"/>
    <sheet name="CHINA LABEL GB 11092022" sheetId="6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6" l="1"/>
  <c r="N8" i="6"/>
  <c r="N9" i="6" s="1"/>
  <c r="P7" i="6"/>
  <c r="M7" i="6"/>
  <c r="P6" i="6"/>
  <c r="M6" i="6"/>
  <c r="P5" i="6"/>
  <c r="M5" i="6"/>
  <c r="N4" i="6"/>
  <c r="P3" i="6"/>
  <c r="M3" i="6"/>
  <c r="P2" i="6"/>
</calcChain>
</file>

<file path=xl/sharedStrings.xml><?xml version="1.0" encoding="utf-8"?>
<sst xmlns="http://schemas.openxmlformats.org/spreadsheetml/2006/main" count="119" uniqueCount="65">
  <si>
    <t>Document Date</t>
  </si>
  <si>
    <t>Purchase Group</t>
  </si>
  <si>
    <t>Total Item Quantity</t>
  </si>
  <si>
    <t>China</t>
  </si>
  <si>
    <t>SU</t>
  </si>
  <si>
    <t>2023</t>
  </si>
  <si>
    <t>Greater China</t>
  </si>
  <si>
    <t>M NIKE VAPOR LITE 2 HC</t>
  </si>
  <si>
    <t>DV2018-100</t>
  </si>
  <si>
    <t>WMNS NIKE WAFFLE DEBUT VNTG</t>
  </si>
  <si>
    <t>DX2931-400</t>
  </si>
  <si>
    <t>DX2931-300</t>
  </si>
  <si>
    <t>03/04/2023</t>
  </si>
  <si>
    <t>03/11/2023</t>
  </si>
  <si>
    <t>03/18/2023</t>
  </si>
  <si>
    <t>OGAC date OCW 11/09</t>
  </si>
  <si>
    <t>OGAC -60 days</t>
  </si>
  <si>
    <t>LW</t>
  </si>
  <si>
    <t>MCL</t>
  </si>
  <si>
    <t>RTA AT ADIS</t>
  </si>
  <si>
    <t>1</t>
  </si>
  <si>
    <t>4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</si>
  <si>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</si>
  <si>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</si>
  <si>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</si>
  <si>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</si>
  <si>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</si>
  <si>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</si>
  <si>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</si>
  <si>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</si>
  <si>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</si>
  <si>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</si>
  <si>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</si>
  <si>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</si>
  <si>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</si>
  <si>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</si>
  <si>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</si>
  <si>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</si>
  <si>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</si>
  <si>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</si>
  <si>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</si>
  <si>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</si>
  <si>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</si>
  <si>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</si>
  <si>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</si>
  <si>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</si>
  <si>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</si>
  <si>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</si>
  <si>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</si>
  <si>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</si>
  <si>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</si>
  <si>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</si>
  <si>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WOMENS</t>
  </si>
  <si>
    <t>MENS</t>
  </si>
  <si>
    <t>PO Number</t>
  </si>
  <si>
    <t>PO Item</t>
  </si>
  <si>
    <t>Material</t>
  </si>
  <si>
    <t>Planning Season</t>
  </si>
  <si>
    <t>Plant</t>
  </si>
  <si>
    <t>Destination Country</t>
  </si>
  <si>
    <t xml:space="preserve">OGAC -30 days </t>
  </si>
  <si>
    <t>Gender Age</t>
  </si>
  <si>
    <t>Year</t>
  </si>
  <si>
    <t>Purchasing Group</t>
  </si>
  <si>
    <t>OGAC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</si>
</sst>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" fillId="0" borderId="0" applyNumberFormat="0" applyBorder="0" applyAlignment="0"/>
  </cellStyleXfs>
  <cellXfs count="23">
    <xf numFmtId="0" fontId="0" fillId="0" borderId="0" xfId="0"/>
    <xf numFmtId="14" fontId="1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14" fontId="2" fillId="0" borderId="0" xfId="0" applyNumberFormat="1" applyFont="1"/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/>
    <xf numFmtId="14" fontId="6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"/>
  <sheetViews>
    <sheetView tabSelected="1" workbookViewId="0">
      <selection activeCell="E33" sqref="E33"/>
    </sheetView>
  </sheetViews>
  <sheetFormatPr defaultColWidth="9.1328125" defaultRowHeight="11.65" x14ac:dyDescent="0.35"/>
  <cols>
    <col min="1" max="1" width="10.73046875" style="6" customWidth="1"/>
    <col min="2" max="3" width="9.1328125" style="6"/>
    <col min="4" max="4" width="9.73046875" style="6" bestFit="1" customWidth="1"/>
    <col min="5" max="5" width="26.73046875" style="6" bestFit="1" customWidth="1"/>
    <col min="6" max="16384" width="9.1328125" style="6"/>
  </cols>
  <sheetData>
    <row r="1" spans="1:61" ht="27" customHeight="1" x14ac:dyDescent="0.35">
      <c r="A1" s="22" t="s">
        <v>54</v>
      </c>
      <c r="B1" s="22" t="s">
        <v>55</v>
      </c>
      <c r="C1" s="22" t="s">
        <v>64</v>
      </c>
      <c r="D1" s="22" t="s">
        <v>56</v>
      </c>
      <c r="E1" s="22" t="s">
        <v>56</v>
      </c>
      <c r="F1" s="22" t="s">
        <v>61</v>
      </c>
      <c r="G1" s="22" t="s">
        <v>57</v>
      </c>
      <c r="H1" s="22" t="s">
        <v>62</v>
      </c>
      <c r="I1" s="22" t="s">
        <v>63</v>
      </c>
      <c r="J1" s="19">
        <v>3.5</v>
      </c>
      <c r="K1" s="19">
        <v>4</v>
      </c>
      <c r="L1" s="19">
        <v>4.5</v>
      </c>
      <c r="M1" s="19">
        <v>5</v>
      </c>
      <c r="N1" s="19">
        <v>5.5</v>
      </c>
      <c r="O1" s="19">
        <v>6</v>
      </c>
      <c r="P1" s="19">
        <v>6.5</v>
      </c>
      <c r="Q1" s="19">
        <v>7</v>
      </c>
      <c r="R1" s="19">
        <v>7.5</v>
      </c>
      <c r="S1" s="19">
        <v>8</v>
      </c>
      <c r="T1" s="19">
        <v>8.5</v>
      </c>
      <c r="U1" s="19">
        <v>9</v>
      </c>
      <c r="V1" s="19">
        <v>9.5</v>
      </c>
      <c r="W1" s="19">
        <v>10</v>
      </c>
      <c r="X1" s="19">
        <v>10.5</v>
      </c>
      <c r="Y1" s="19">
        <v>11</v>
      </c>
      <c r="Z1" s="19">
        <v>11.5</v>
      </c>
      <c r="AA1" s="19">
        <v>12</v>
      </c>
      <c r="AB1" s="19">
        <v>12.5</v>
      </c>
      <c r="AC1" s="19">
        <v>13</v>
      </c>
      <c r="AD1" s="19">
        <v>14</v>
      </c>
      <c r="AE1" s="19">
        <v>15</v>
      </c>
      <c r="AF1" s="19" t="s">
        <v>22</v>
      </c>
      <c r="AG1" s="19" t="s">
        <v>23</v>
      </c>
      <c r="AH1" s="19" t="s">
        <v>24</v>
      </c>
      <c r="AI1" s="19" t="s">
        <v>25</v>
      </c>
      <c r="AJ1" s="19" t="s">
        <v>26</v>
      </c>
      <c r="AK1" s="19" t="s">
        <v>27</v>
      </c>
      <c r="AL1" s="19" t="s">
        <v>28</v>
      </c>
      <c r="AM1" s="19" t="s">
        <v>29</v>
      </c>
      <c r="AN1" s="19" t="s">
        <v>30</v>
      </c>
      <c r="AO1" s="19" t="s">
        <v>31</v>
      </c>
      <c r="AP1" s="19" t="s">
        <v>32</v>
      </c>
      <c r="AQ1" s="19" t="s">
        <v>33</v>
      </c>
      <c r="AR1" s="19" t="s">
        <v>34</v>
      </c>
      <c r="AS1" s="19" t="s">
        <v>35</v>
      </c>
      <c r="AT1" s="19" t="s">
        <v>36</v>
      </c>
      <c r="AU1" s="19" t="s">
        <v>37</v>
      </c>
      <c r="AV1" s="19" t="s">
        <v>38</v>
      </c>
      <c r="AW1" s="19" t="s">
        <v>39</v>
      </c>
      <c r="AX1" s="19" t="s">
        <v>40</v>
      </c>
      <c r="AY1" s="19" t="s">
        <v>41</v>
      </c>
      <c r="AZ1" s="19" t="s">
        <v>42</v>
      </c>
      <c r="BA1" s="19" t="s">
        <v>43</v>
      </c>
      <c r="BB1" s="19" t="s">
        <v>44</v>
      </c>
      <c r="BC1" s="19" t="s">
        <v>45</v>
      </c>
      <c r="BD1" s="19" t="s">
        <v>46</v>
      </c>
      <c r="BE1" s="19" t="s">
        <v>47</v>
      </c>
      <c r="BF1" s="19" t="s">
        <v>48</v>
      </c>
      <c r="BG1" s="19" t="s">
        <v>49</v>
      </c>
      <c r="BH1" s="19" t="s">
        <v>50</v>
      </c>
      <c r="BI1" s="19" t="s">
        <v>51</v>
      </c>
    </row>
    <row r="2" spans="1:61" x14ac:dyDescent="0.35">
      <c r="A2" s="20">
        <v>6000278568</v>
      </c>
      <c r="B2" s="20">
        <v>100</v>
      </c>
      <c r="C2" s="21">
        <v>44874</v>
      </c>
      <c r="D2" s="20" t="s">
        <v>11</v>
      </c>
      <c r="E2" s="20" t="s">
        <v>9</v>
      </c>
      <c r="F2" s="20" t="s">
        <v>52</v>
      </c>
      <c r="G2" s="20" t="s">
        <v>4</v>
      </c>
      <c r="H2" s="20" t="s">
        <v>5</v>
      </c>
      <c r="I2" s="20" t="s">
        <v>3</v>
      </c>
      <c r="J2" s="20"/>
      <c r="K2" s="20"/>
      <c r="L2" s="20"/>
      <c r="M2" s="20">
        <v>94</v>
      </c>
      <c r="N2" s="20">
        <v>199</v>
      </c>
      <c r="O2" s="20">
        <v>297</v>
      </c>
      <c r="P2" s="20">
        <v>389</v>
      </c>
      <c r="Q2" s="20">
        <v>356</v>
      </c>
      <c r="R2" s="20">
        <v>197</v>
      </c>
      <c r="S2" s="20">
        <v>138</v>
      </c>
      <c r="T2" s="20">
        <v>46</v>
      </c>
      <c r="U2" s="20">
        <v>5</v>
      </c>
      <c r="V2" s="20">
        <v>2</v>
      </c>
      <c r="W2" s="20">
        <v>1</v>
      </c>
      <c r="X2" s="20">
        <v>1</v>
      </c>
      <c r="Y2" s="20">
        <v>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</row>
    <row r="3" spans="1:61" x14ac:dyDescent="0.35">
      <c r="A3" s="20">
        <v>6000278568</v>
      </c>
      <c r="B3" s="20">
        <v>200</v>
      </c>
      <c r="C3" s="21">
        <v>44874</v>
      </c>
      <c r="D3" s="20" t="s">
        <v>10</v>
      </c>
      <c r="E3" s="20" t="s">
        <v>9</v>
      </c>
      <c r="F3" s="20" t="s">
        <v>52</v>
      </c>
      <c r="G3" s="20" t="s">
        <v>4</v>
      </c>
      <c r="H3" s="20" t="s">
        <v>5</v>
      </c>
      <c r="I3" s="20" t="s">
        <v>3</v>
      </c>
      <c r="J3" s="20"/>
      <c r="K3" s="20"/>
      <c r="L3" s="20"/>
      <c r="M3" s="20">
        <v>75</v>
      </c>
      <c r="N3" s="20">
        <v>182</v>
      </c>
      <c r="O3" s="20">
        <v>217</v>
      </c>
      <c r="P3" s="20">
        <v>296</v>
      </c>
      <c r="Q3" s="20">
        <v>263</v>
      </c>
      <c r="R3" s="20">
        <v>154</v>
      </c>
      <c r="S3" s="20">
        <v>97</v>
      </c>
      <c r="T3" s="20">
        <v>17</v>
      </c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1:61" x14ac:dyDescent="0.35">
      <c r="A4" s="20">
        <v>6000278566</v>
      </c>
      <c r="B4" s="20">
        <v>100</v>
      </c>
      <c r="C4" s="21">
        <v>44874</v>
      </c>
      <c r="D4" s="20" t="s">
        <v>8</v>
      </c>
      <c r="E4" s="20" t="s">
        <v>7</v>
      </c>
      <c r="F4" s="20" t="s">
        <v>53</v>
      </c>
      <c r="G4" s="20" t="s">
        <v>4</v>
      </c>
      <c r="H4" s="20" t="s">
        <v>5</v>
      </c>
      <c r="I4" s="20" t="s">
        <v>3</v>
      </c>
      <c r="J4" s="20"/>
      <c r="K4" s="20"/>
      <c r="L4" s="20"/>
      <c r="M4" s="20"/>
      <c r="N4" s="20"/>
      <c r="O4" s="20"/>
      <c r="P4" s="20">
        <v>6</v>
      </c>
      <c r="Q4" s="20">
        <v>12</v>
      </c>
      <c r="R4" s="20">
        <v>12</v>
      </c>
      <c r="S4" s="20">
        <v>24</v>
      </c>
      <c r="T4" s="20">
        <v>28</v>
      </c>
      <c r="U4" s="20">
        <v>18</v>
      </c>
      <c r="V4" s="20">
        <v>21</v>
      </c>
      <c r="W4" s="20">
        <v>12</v>
      </c>
      <c r="X4" s="20">
        <v>4</v>
      </c>
      <c r="Y4" s="20">
        <v>9</v>
      </c>
      <c r="Z4" s="20"/>
      <c r="AA4" s="20">
        <v>3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</row>
    <row r="5" spans="1:61" x14ac:dyDescent="0.35">
      <c r="A5" s="20">
        <v>6000278571</v>
      </c>
      <c r="B5" s="20">
        <v>100</v>
      </c>
      <c r="C5" s="21">
        <v>44874</v>
      </c>
      <c r="D5" s="20" t="s">
        <v>8</v>
      </c>
      <c r="E5" s="20" t="s">
        <v>7</v>
      </c>
      <c r="F5" s="20" t="s">
        <v>53</v>
      </c>
      <c r="G5" s="20" t="s">
        <v>4</v>
      </c>
      <c r="H5" s="20" t="s">
        <v>5</v>
      </c>
      <c r="I5" s="20" t="s">
        <v>3</v>
      </c>
      <c r="J5" s="20"/>
      <c r="K5" s="20"/>
      <c r="L5" s="20"/>
      <c r="M5" s="20"/>
      <c r="N5" s="20"/>
      <c r="O5" s="20">
        <v>8</v>
      </c>
      <c r="P5" s="20">
        <v>28</v>
      </c>
      <c r="Q5" s="20">
        <v>70</v>
      </c>
      <c r="R5" s="20">
        <v>67</v>
      </c>
      <c r="S5" s="20">
        <v>201</v>
      </c>
      <c r="T5" s="20">
        <v>201</v>
      </c>
      <c r="U5" s="20">
        <v>144</v>
      </c>
      <c r="V5" s="20">
        <v>125</v>
      </c>
      <c r="W5" s="20">
        <v>57</v>
      </c>
      <c r="X5" s="20">
        <v>30</v>
      </c>
      <c r="Y5" s="20">
        <v>19</v>
      </c>
      <c r="Z5" s="20"/>
      <c r="AA5" s="20">
        <v>9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</row>
    <row r="6" spans="1:61" x14ac:dyDescent="0.35">
      <c r="A6" s="20">
        <v>6000278566</v>
      </c>
      <c r="B6" s="20">
        <v>200</v>
      </c>
      <c r="C6" s="21">
        <v>44874</v>
      </c>
      <c r="D6" s="20" t="s">
        <v>8</v>
      </c>
      <c r="E6" s="20" t="s">
        <v>7</v>
      </c>
      <c r="F6" s="20" t="s">
        <v>53</v>
      </c>
      <c r="G6" s="20" t="s">
        <v>4</v>
      </c>
      <c r="H6" s="20" t="s">
        <v>5</v>
      </c>
      <c r="I6" s="20" t="s">
        <v>3</v>
      </c>
      <c r="J6" s="20"/>
      <c r="K6" s="20"/>
      <c r="L6" s="20"/>
      <c r="M6" s="20"/>
      <c r="N6" s="20"/>
      <c r="O6" s="20"/>
      <c r="P6" s="20">
        <v>14</v>
      </c>
      <c r="Q6" s="20">
        <v>28</v>
      </c>
      <c r="R6" s="20">
        <v>28</v>
      </c>
      <c r="S6" s="20">
        <v>56</v>
      </c>
      <c r="T6" s="20">
        <v>67</v>
      </c>
      <c r="U6" s="20">
        <v>42</v>
      </c>
      <c r="V6" s="20">
        <v>49</v>
      </c>
      <c r="W6" s="20">
        <v>28</v>
      </c>
      <c r="X6" s="20">
        <v>11</v>
      </c>
      <c r="Y6" s="20">
        <v>21</v>
      </c>
      <c r="Z6" s="20"/>
      <c r="AA6" s="20">
        <v>7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xSplit="6" ySplit="1" topLeftCell="G2" activePane="bottomRight" state="frozen"/>
      <selection activeCell="H34" sqref="H34"/>
      <selection pane="topRight" activeCell="H34" sqref="H34"/>
      <selection pane="bottomLeft" activeCell="H34" sqref="H34"/>
      <selection pane="bottomRight" activeCell="D22" sqref="D22"/>
    </sheetView>
  </sheetViews>
  <sheetFormatPr defaultRowHeight="14.25" x14ac:dyDescent="0.45"/>
  <cols>
    <col min="1" max="1" width="11.265625" bestFit="1" customWidth="1"/>
    <col min="2" max="2" width="14" customWidth="1"/>
    <col min="4" max="4" width="9.73046875" bestFit="1" customWidth="1"/>
    <col min="5" max="5" width="26.73046875" bestFit="1" customWidth="1"/>
    <col min="7" max="7" width="11.73046875" bestFit="1" customWidth="1"/>
    <col min="13" max="13" width="8.3984375" bestFit="1" customWidth="1"/>
    <col min="14" max="14" width="8.265625" bestFit="1" customWidth="1"/>
    <col min="16" max="16" width="9.86328125" bestFit="1" customWidth="1"/>
  </cols>
  <sheetData>
    <row r="1" spans="1:16" ht="23.25" x14ac:dyDescent="0.45">
      <c r="A1" s="3" t="s">
        <v>0</v>
      </c>
      <c r="B1" s="3" t="s">
        <v>54</v>
      </c>
      <c r="C1" s="3" t="s">
        <v>55</v>
      </c>
      <c r="D1" s="3" t="s">
        <v>56</v>
      </c>
      <c r="E1" s="3" t="s">
        <v>56</v>
      </c>
      <c r="F1" s="3" t="s">
        <v>18</v>
      </c>
      <c r="G1" s="3" t="s">
        <v>1</v>
      </c>
      <c r="H1" s="3" t="s">
        <v>57</v>
      </c>
      <c r="I1" s="3" t="s">
        <v>58</v>
      </c>
      <c r="J1" s="3" t="s">
        <v>59</v>
      </c>
      <c r="K1" s="1" t="s">
        <v>15</v>
      </c>
      <c r="L1" s="2" t="s">
        <v>60</v>
      </c>
      <c r="M1" s="2" t="s">
        <v>16</v>
      </c>
      <c r="N1" s="3" t="s">
        <v>2</v>
      </c>
      <c r="O1" s="1" t="s">
        <v>17</v>
      </c>
      <c r="P1" s="1" t="s">
        <v>19</v>
      </c>
    </row>
    <row r="2" spans="1:16" x14ac:dyDescent="0.45">
      <c r="A2" s="5">
        <v>44874</v>
      </c>
      <c r="B2" s="4">
        <v>6000278568</v>
      </c>
      <c r="C2" s="4">
        <v>100</v>
      </c>
      <c r="D2" s="4" t="s">
        <v>11</v>
      </c>
      <c r="E2" s="4" t="s">
        <v>9</v>
      </c>
      <c r="F2" s="7" t="s">
        <v>20</v>
      </c>
      <c r="G2" s="4" t="s">
        <v>6</v>
      </c>
      <c r="H2" s="4" t="s">
        <v>4</v>
      </c>
      <c r="I2" s="4"/>
      <c r="J2" s="4" t="s">
        <v>3</v>
      </c>
      <c r="K2" s="5">
        <v>44989</v>
      </c>
      <c r="L2" s="5"/>
      <c r="M2" s="5">
        <f>K2-60</f>
        <v>44929</v>
      </c>
      <c r="N2" s="4">
        <v>1726</v>
      </c>
      <c r="O2" s="5">
        <v>44977</v>
      </c>
      <c r="P2" s="5">
        <f>+O2-28</f>
        <v>44949</v>
      </c>
    </row>
    <row r="3" spans="1:16" ht="14.65" thickBot="1" x14ac:dyDescent="0.5">
      <c r="A3" s="8">
        <v>44874</v>
      </c>
      <c r="B3" s="9">
        <v>6000278568</v>
      </c>
      <c r="C3" s="9">
        <v>200</v>
      </c>
      <c r="D3" s="9" t="s">
        <v>10</v>
      </c>
      <c r="E3" s="9" t="s">
        <v>9</v>
      </c>
      <c r="F3" s="10" t="s">
        <v>20</v>
      </c>
      <c r="G3" s="9" t="s">
        <v>6</v>
      </c>
      <c r="H3" s="9" t="s">
        <v>4</v>
      </c>
      <c r="I3" s="9"/>
      <c r="J3" s="9" t="s">
        <v>3</v>
      </c>
      <c r="K3" s="8" t="s">
        <v>12</v>
      </c>
      <c r="L3" s="8"/>
      <c r="M3" s="8">
        <f>K3-60</f>
        <v>44929</v>
      </c>
      <c r="N3" s="9">
        <v>1301</v>
      </c>
      <c r="O3" s="8">
        <v>44977</v>
      </c>
      <c r="P3" s="5">
        <f>+O3-28</f>
        <v>44949</v>
      </c>
    </row>
    <row r="4" spans="1:16" s="17" customFormat="1" ht="15.75" customHeight="1" thickTop="1" thickBot="1" x14ac:dyDescent="0.5">
      <c r="A4" s="14"/>
      <c r="B4" s="15"/>
      <c r="C4" s="15"/>
      <c r="D4" s="15"/>
      <c r="E4" s="15"/>
      <c r="F4" s="16"/>
      <c r="G4" s="15"/>
      <c r="H4" s="15"/>
      <c r="I4" s="15"/>
      <c r="J4" s="15"/>
      <c r="K4" s="14"/>
      <c r="L4" s="14"/>
      <c r="M4" s="14"/>
      <c r="N4" s="15">
        <f>SUM(N2:N3)</f>
        <v>3027</v>
      </c>
      <c r="O4" s="14"/>
      <c r="P4" s="14"/>
    </row>
    <row r="5" spans="1:16" ht="14.65" thickTop="1" x14ac:dyDescent="0.45">
      <c r="A5" s="11">
        <v>44874</v>
      </c>
      <c r="B5" s="12">
        <v>6000278566</v>
      </c>
      <c r="C5" s="12">
        <v>100</v>
      </c>
      <c r="D5" s="12" t="s">
        <v>8</v>
      </c>
      <c r="E5" s="12" t="s">
        <v>7</v>
      </c>
      <c r="F5" s="13" t="s">
        <v>21</v>
      </c>
      <c r="G5" s="12" t="s">
        <v>6</v>
      </c>
      <c r="H5" s="12" t="s">
        <v>4</v>
      </c>
      <c r="I5" s="12"/>
      <c r="J5" s="12" t="s">
        <v>3</v>
      </c>
      <c r="K5" s="11" t="s">
        <v>13</v>
      </c>
      <c r="L5" s="11"/>
      <c r="M5" s="11">
        <f>K5-60</f>
        <v>44936</v>
      </c>
      <c r="N5" s="12">
        <v>149</v>
      </c>
      <c r="O5" s="11">
        <v>44984</v>
      </c>
      <c r="P5" s="5">
        <f>+O5-28</f>
        <v>44956</v>
      </c>
    </row>
    <row r="6" spans="1:16" x14ac:dyDescent="0.45">
      <c r="A6" s="5">
        <v>44874</v>
      </c>
      <c r="B6" s="4">
        <v>6000278571</v>
      </c>
      <c r="C6" s="4">
        <v>100</v>
      </c>
      <c r="D6" s="4" t="s">
        <v>8</v>
      </c>
      <c r="E6" s="4" t="s">
        <v>7</v>
      </c>
      <c r="F6" s="7" t="s">
        <v>21</v>
      </c>
      <c r="G6" s="4" t="s">
        <v>6</v>
      </c>
      <c r="H6" s="4" t="s">
        <v>4</v>
      </c>
      <c r="I6" s="4"/>
      <c r="J6" s="4" t="s">
        <v>3</v>
      </c>
      <c r="K6" s="5" t="s">
        <v>13</v>
      </c>
      <c r="L6" s="5"/>
      <c r="M6" s="5">
        <f>K6-60</f>
        <v>44936</v>
      </c>
      <c r="N6" s="4">
        <v>959</v>
      </c>
      <c r="O6" s="5">
        <v>44984</v>
      </c>
      <c r="P6" s="5">
        <f>+O6-28</f>
        <v>44956</v>
      </c>
    </row>
    <row r="7" spans="1:16" ht="14.65" thickBot="1" x14ac:dyDescent="0.5">
      <c r="A7" s="5">
        <v>44874</v>
      </c>
      <c r="B7" s="4">
        <v>6000278566</v>
      </c>
      <c r="C7" s="4">
        <v>200</v>
      </c>
      <c r="D7" s="4" t="s">
        <v>8</v>
      </c>
      <c r="E7" s="4" t="s">
        <v>7</v>
      </c>
      <c r="F7" s="7" t="s">
        <v>21</v>
      </c>
      <c r="G7" s="4" t="s">
        <v>6</v>
      </c>
      <c r="H7" s="4" t="s">
        <v>4</v>
      </c>
      <c r="I7" s="4"/>
      <c r="J7" s="4" t="s">
        <v>3</v>
      </c>
      <c r="K7" s="5" t="s">
        <v>14</v>
      </c>
      <c r="L7" s="5"/>
      <c r="M7" s="5">
        <f>K7-60</f>
        <v>44943</v>
      </c>
      <c r="N7" s="4">
        <v>351</v>
      </c>
      <c r="O7" s="5">
        <v>44991</v>
      </c>
      <c r="P7" s="5">
        <f>+O7-28</f>
        <v>44963</v>
      </c>
    </row>
    <row r="8" spans="1:16" s="17" customFormat="1" ht="33.75" customHeight="1" thickTop="1" thickBot="1" x14ac:dyDescent="0.5">
      <c r="A8" s="14"/>
      <c r="B8" s="15"/>
      <c r="C8" s="15"/>
      <c r="D8" s="15"/>
      <c r="E8" s="15"/>
      <c r="F8" s="16"/>
      <c r="G8" s="15"/>
      <c r="H8" s="15"/>
      <c r="I8" s="15"/>
      <c r="J8" s="15"/>
      <c r="K8" s="14"/>
      <c r="L8" s="14"/>
      <c r="M8" s="14"/>
      <c r="N8" s="15">
        <f>SUM(N5:N7)</f>
        <v>1459</v>
      </c>
      <c r="O8" s="14"/>
      <c r="P8" s="14"/>
    </row>
    <row r="9" spans="1:16" ht="14.65" thickTop="1" x14ac:dyDescent="0.45">
      <c r="N9">
        <f>SUM(N8,N4)</f>
        <v>4486</v>
      </c>
      <c r="P9" s="18"/>
    </row>
  </sheetData>
  <sortState ref="A1:P5">
    <sortCondition ref="E1:E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 china gb 11092022</vt:lpstr>
      <vt:lpstr>CHINA LABEL GB 11092022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MercuryIA</dc:creator>
  <cp:lastModifiedBy>Quyen</cp:lastModifiedBy>
  <dcterms:created xsi:type="dcterms:W3CDTF">2022-11-11T06:29:13Z</dcterms:created>
  <dcterms:modified xsi:type="dcterms:W3CDTF">2022-12-23T08:36:03Z</dcterms:modified>
</cp:coreProperties>
</file>