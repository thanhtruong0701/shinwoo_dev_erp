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DATA MRP" sheetId="1" r:id="rId1"/>
    <sheet name="SIZE RUN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CG15" i="2"/>
  <c r="CG25" i="2" l="1"/>
  <c r="CG24" i="2"/>
  <c r="CG23" i="2"/>
  <c r="CG22" i="2"/>
  <c r="CG19" i="2" l="1"/>
  <c r="CG10" i="2"/>
  <c r="CG9" i="2"/>
</calcChain>
</file>

<file path=xl/sharedStrings.xml><?xml version="1.0" encoding="utf-8"?>
<sst xmlns="http://schemas.openxmlformats.org/spreadsheetml/2006/main" count="759" uniqueCount="243">
  <si>
    <t>Packing Instruction 包裝指示 2401B</t>
  </si>
  <si>
    <t>IY/XY GAC 02/26</t>
  </si>
  <si>
    <t>Update February 28, 2024</t>
  </si>
  <si>
    <t>Australia and NZ pakai MCL edit</t>
  </si>
  <si>
    <t>IY/XY</t>
  </si>
  <si>
    <t>Sort</t>
  </si>
  <si>
    <t>SO Number</t>
  </si>
  <si>
    <t>Line</t>
  </si>
  <si>
    <t>SAP Article</t>
  </si>
  <si>
    <t>MATERIAL</t>
  </si>
  <si>
    <t>DESCRIPTION</t>
  </si>
  <si>
    <t>Plant</t>
  </si>
  <si>
    <t>SHIPP ID</t>
  </si>
  <si>
    <t>X-REF</t>
  </si>
  <si>
    <t>QTY</t>
  </si>
  <si>
    <t>Mat Code</t>
  </si>
  <si>
    <t>SPECIAL LABEL &amp; EXTRA ITEM</t>
  </si>
  <si>
    <t>REMARKS</t>
  </si>
  <si>
    <t>Country</t>
  </si>
  <si>
    <t>IY</t>
  </si>
  <si>
    <t>IY08</t>
  </si>
  <si>
    <t>FG0300000009618</t>
  </si>
  <si>
    <t>FB7910-100</t>
  </si>
  <si>
    <t>W NIKE DUNK LOW PRM</t>
  </si>
  <si>
    <t>#</t>
  </si>
  <si>
    <t>ML180000007</t>
  </si>
  <si>
    <t>INDIA STICKER MRP ₹ 10795</t>
  </si>
  <si>
    <t>Pada bagian bawah setiap innerbox</t>
  </si>
  <si>
    <t>India</t>
  </si>
  <si>
    <t>IY10</t>
  </si>
  <si>
    <t>FG0300000009616</t>
  </si>
  <si>
    <t>FV5960-100</t>
  </si>
  <si>
    <t>W NIKE DUNK HIGH NN</t>
  </si>
  <si>
    <t>INDIA STICKER MRP ₹ 11495</t>
  </si>
  <si>
    <t>IY07</t>
  </si>
  <si>
    <t>FG0300000009901</t>
  </si>
  <si>
    <t>HM0987-200</t>
  </si>
  <si>
    <t>NIKE DUNK LOW</t>
  </si>
  <si>
    <t>INDIA STICKER MRP ₹ 11895</t>
  </si>
  <si>
    <t>IY02</t>
  </si>
  <si>
    <t>FG0300000009554</t>
  </si>
  <si>
    <t>CD7069-164</t>
  </si>
  <si>
    <t>AIR JORDAN LEGACY 312 LOW</t>
  </si>
  <si>
    <t>INDIA STICKER MRP ₹ 12995</t>
  </si>
  <si>
    <t>XY</t>
  </si>
  <si>
    <t>IY11</t>
  </si>
  <si>
    <t>FG0300000008113</t>
  </si>
  <si>
    <t>FD4116-001</t>
  </si>
  <si>
    <t>NIKE CALM SLIDE</t>
  </si>
  <si>
    <t>INDIA STICKER MRP ₹ 3895</t>
  </si>
  <si>
    <t>IY15</t>
  </si>
  <si>
    <t>FG0300000008855</t>
  </si>
  <si>
    <t>FD4116-201</t>
  </si>
  <si>
    <t>FG0300000009961</t>
  </si>
  <si>
    <t>HF1067-002</t>
  </si>
  <si>
    <t>NIKE CALM SLIDE PRINT NS</t>
  </si>
  <si>
    <t>INDIA STICKER MRP ₹ 4695</t>
  </si>
  <si>
    <t>FG0300000009620</t>
  </si>
  <si>
    <t>HF1067-400</t>
  </si>
  <si>
    <t>FG0300000009619</t>
  </si>
  <si>
    <t>HF1067-800</t>
  </si>
  <si>
    <t>IY12</t>
  </si>
  <si>
    <t>FG0300000010322</t>
  </si>
  <si>
    <t>DV4337-002</t>
  </si>
  <si>
    <t>LEGEND 10 ACADEMY FG/MG</t>
  </si>
  <si>
    <t>INDIA STICKER MRP ₹ 7495</t>
  </si>
  <si>
    <t>FG0300000010317</t>
  </si>
  <si>
    <t>DV4337-400</t>
  </si>
  <si>
    <t>FG0300000009719</t>
  </si>
  <si>
    <t>FJ2577-002</t>
  </si>
  <si>
    <t>PHANTOM GX II ACADEMY TF</t>
  </si>
  <si>
    <t>INDIA STICKER MRP ₹ 7995</t>
  </si>
  <si>
    <t>FG0300000009689</t>
  </si>
  <si>
    <t>FJ2577-400</t>
  </si>
  <si>
    <t>FG0300000009674</t>
  </si>
  <si>
    <t>FD6723-400</t>
  </si>
  <si>
    <t>PHANTOM GX II ACADEMY FG/MG</t>
  </si>
  <si>
    <t>FG0300000009664</t>
  </si>
  <si>
    <t>FD6725-400</t>
  </si>
  <si>
    <t>PHANTOM LUNA II ACADEMY FG/MG</t>
  </si>
  <si>
    <t>INDIA STICKER MRP ₹ 8995</t>
  </si>
  <si>
    <t>IY06</t>
  </si>
  <si>
    <t>FG0300000010223</t>
  </si>
  <si>
    <t>HQ3905-200</t>
  </si>
  <si>
    <t>W AIR FORCE 1 '07 NEXT NATURE</t>
  </si>
  <si>
    <t>INDIA STICKER MRP ₹ 9695</t>
  </si>
  <si>
    <t>FG0300000010224</t>
  </si>
  <si>
    <t>HQ3905-500</t>
  </si>
  <si>
    <t>TOTAL</t>
  </si>
  <si>
    <t>SO</t>
  </si>
  <si>
    <t>Remarks</t>
  </si>
  <si>
    <t>Vendor Code</t>
  </si>
  <si>
    <t>Document Date</t>
  </si>
  <si>
    <t>Trading Co PO Number</t>
  </si>
  <si>
    <t>Purchase Order Number</t>
  </si>
  <si>
    <t>PO Line Item Number</t>
  </si>
  <si>
    <t>Product Code</t>
  </si>
  <si>
    <t>Product Name</t>
  </si>
  <si>
    <t>PPS Code</t>
  </si>
  <si>
    <t>SAP Mat Code</t>
  </si>
  <si>
    <t>Sandal HT Code</t>
  </si>
  <si>
    <t>Gender Age Description</t>
  </si>
  <si>
    <t>Category Description</t>
  </si>
  <si>
    <t>Color Description</t>
  </si>
  <si>
    <t>Sub Category Description</t>
  </si>
  <si>
    <t>Planning Season Code</t>
  </si>
  <si>
    <t>Planning Season Year</t>
  </si>
  <si>
    <t>Destination Country</t>
  </si>
  <si>
    <t>OGAC</t>
  </si>
  <si>
    <t>GAC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</si>
  <si>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</si>
  <si>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</si>
  <si>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</si>
  <si>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</si>
  <si>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</si>
  <si>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</si>
  <si>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</si>
  <si>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</si>
  <si>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</si>
  <si>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</si>
  <si>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</si>
  <si>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</si>
  <si>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</si>
  <si>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</si>
  <si>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</si>
  <si>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</si>
  <si>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</si>
  <si>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</si>
  <si>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</si>
  <si>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</si>
  <si>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</si>
  <si>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</si>
  <si>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</si>
  <si>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</si>
  <si>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</si>
  <si>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</si>
  <si>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</si>
  <si>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</si>
  <si>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</si>
  <si>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</si>
  <si>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</si>
  <si>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</si>
  <si>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</si>
  <si>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</si>
  <si>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</si>
  <si>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</si>
  <si>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</si>
  <si>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</si>
  <si>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</si>
  <si>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</si>
  <si>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</si>
  <si>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</si>
  <si>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</si>
  <si>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</si>
  <si>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</si>
  <si>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</si>
  <si>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</si>
  <si>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</si>
  <si>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</si>
  <si>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</si>
  <si>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</si>
  <si>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</si>
  <si>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</si>
  <si>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</si>
  <si>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</si>
  <si>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17</t>
  </si>
  <si>
    <t>18</t>
  </si>
  <si>
    <t>Grand Total</t>
  </si>
  <si>
    <t>Priority</t>
  </si>
  <si>
    <t>Mold</t>
  </si>
  <si>
    <t>X-reff</t>
  </si>
  <si>
    <t>BOM</t>
  </si>
  <si>
    <t>PO&amp;Item</t>
  </si>
  <si>
    <t>PO-Item</t>
  </si>
  <si>
    <t>RC</t>
  </si>
  <si>
    <t>Reason</t>
  </si>
  <si>
    <t>ML200002039</t>
  </si>
  <si>
    <t>WOMENS</t>
  </si>
  <si>
    <t>NSW WOMENS</t>
  </si>
  <si>
    <t>WHITE/PHT BL-PHTN DST-STDM GRN</t>
  </si>
  <si>
    <t>NSW BASKETBALL</t>
  </si>
  <si>
    <t>FA</t>
  </si>
  <si>
    <t>SWB-1458WS</t>
  </si>
  <si>
    <t>Upload OK BOM</t>
  </si>
  <si>
    <t>3503534060-10</t>
  </si>
  <si>
    <t>WHITE/GLACIER BLUE-WHITE</t>
  </si>
  <si>
    <t>3503534059-10</t>
  </si>
  <si>
    <t>NSW RUNNING</t>
  </si>
  <si>
    <t>CC  WOW/PL IVRY-PNK FM-UNV RD</t>
  </si>
  <si>
    <t>1</t>
  </si>
  <si>
    <t>3503534060-20</t>
  </si>
  <si>
    <t>ML200002018</t>
  </si>
  <si>
    <t>MENS</t>
  </si>
  <si>
    <t>JORDAN LEGACY</t>
  </si>
  <si>
    <t>WHT/VRSTY RD-MID NVY-WLF GRY</t>
  </si>
  <si>
    <t>JORDAN REMIX</t>
  </si>
  <si>
    <t>0830MS</t>
  </si>
  <si>
    <t>3503534058-30</t>
  </si>
  <si>
    <t>3503534058-10</t>
  </si>
  <si>
    <t>3503534058-20</t>
  </si>
  <si>
    <t>3503534058-40</t>
  </si>
  <si>
    <t>ML200021505</t>
  </si>
  <si>
    <t xml:space="preserve">ML170004115 </t>
  </si>
  <si>
    <t>NSW ELEMENTS SOLAR</t>
  </si>
  <si>
    <t>BLACK/BLACK</t>
  </si>
  <si>
    <t>SWB-1537MS</t>
  </si>
  <si>
    <t>3503537703-20</t>
  </si>
  <si>
    <t>KHAKI/KHAKI</t>
  </si>
  <si>
    <t>3503537703-30</t>
  </si>
  <si>
    <t>BLACK/FOOTBALL GREY-ANTHRACITE</t>
  </si>
  <si>
    <t>3503537703-80</t>
  </si>
  <si>
    <t>3503537703-40</t>
  </si>
  <si>
    <t>RACER BLUE/DK OBSIDIAN-RCR BL</t>
  </si>
  <si>
    <t>3503537703-70</t>
  </si>
  <si>
    <t>3503537703-50</t>
  </si>
  <si>
    <t>TOTAL ORANGE/DK OBSDN-TTL ORNG</t>
  </si>
  <si>
    <t>3503537703-60</t>
  </si>
  <si>
    <t>ML200002031</t>
  </si>
  <si>
    <t>SOCCER</t>
  </si>
  <si>
    <t>BLACK/BLACK-DEEP JUNGLE</t>
  </si>
  <si>
    <t>MENS SOCCER PERFORM</t>
  </si>
  <si>
    <t>SOBT-1657MS</t>
  </si>
  <si>
    <t>3503534061-30</t>
  </si>
  <si>
    <t>3503534061-20</t>
  </si>
  <si>
    <t>SOAR/WHITE</t>
  </si>
  <si>
    <t>3503534061-10</t>
  </si>
  <si>
    <t>MENS SOCCER TURF</t>
  </si>
  <si>
    <t>SOB-1497MS</t>
  </si>
  <si>
    <t>3503534063-10</t>
  </si>
  <si>
    <t>3503534063-20</t>
  </si>
  <si>
    <t>BLUE FURY/WHITE</t>
  </si>
  <si>
    <t>SOB-1553MS</t>
  </si>
  <si>
    <t>3503534062-10</t>
  </si>
  <si>
    <t>2/5 New PO</t>
  </si>
  <si>
    <t>WMNS SOCCER PERFORM</t>
  </si>
  <si>
    <t>3503545397-10</t>
  </si>
  <si>
    <t>ML200002021</t>
  </si>
  <si>
    <t>FLAX/CACAO  WOW-SESAME-WHITE</t>
  </si>
  <si>
    <t>PN-193WS</t>
  </si>
  <si>
    <t>3503534064-10</t>
  </si>
  <si>
    <t>HYDRNGS/BLK RSPBRRY-BRLY GRP-W</t>
  </si>
  <si>
    <t>3503534064-20</t>
  </si>
  <si>
    <t>3503537703-10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</si>
</sst>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2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</font>
    <font>
      <b/>
      <sz val="9"/>
      <name val="Calibri"/>
      <family val="2"/>
      <scheme val="minor"/>
    </font>
    <font>
      <sz val="10"/>
      <name val="Calibri"/>
      <family val="2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name val="新細明體"/>
      <family val="1"/>
      <charset val="136"/>
    </font>
    <font>
      <b/>
      <sz val="10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Calibri"/>
      <family val="2"/>
      <scheme val="minor"/>
    </font>
    <font>
      <sz val="10"/>
      <name val="Arial"/>
      <family val="2"/>
    </font>
    <font>
      <sz val="9"/>
      <name val="Calibri"/>
      <family val="1"/>
      <charset val="136"/>
      <scheme val="minor"/>
    </font>
    <font>
      <b/>
      <sz val="9"/>
      <color indexed="8"/>
      <name val="Calibri"/>
      <family val="2"/>
      <scheme val="minor"/>
    </font>
    <font>
      <b/>
      <sz val="11"/>
      <color indexed="62"/>
      <name val="Calibri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6" fillId="0" borderId="0"/>
    <xf numFmtId="0" fontId="16" fillId="0" borderId="0"/>
    <xf numFmtId="0" fontId="19" fillId="0" borderId="0" applyNumberFormat="0" applyFill="0" applyBorder="0" applyAlignment="0" applyProtection="0"/>
    <xf numFmtId="0" fontId="16" fillId="0" borderId="0"/>
    <xf numFmtId="0" fontId="12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10" fillId="0" borderId="0" xfId="1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6" fillId="2" borderId="2" xfId="2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4" fontId="14" fillId="0" borderId="2" xfId="3" applyNumberFormat="1" applyFont="1" applyBorder="1" applyAlignment="1">
      <alignment horizontal="left" vertical="center"/>
    </xf>
    <xf numFmtId="0" fontId="15" fillId="0" borderId="2" xfId="3" applyFont="1" applyBorder="1" applyAlignment="1">
      <alignment horizontal="center" vertical="center"/>
    </xf>
    <xf numFmtId="1" fontId="15" fillId="0" borderId="2" xfId="3" applyNumberFormat="1" applyFont="1" applyBorder="1" applyAlignment="1">
      <alignment horizontal="center" vertical="center"/>
    </xf>
    <xf numFmtId="3" fontId="15" fillId="0" borderId="2" xfId="3" applyNumberFormat="1" applyFont="1" applyBorder="1" applyAlignment="1">
      <alignment horizontal="center" vertical="center"/>
    </xf>
    <xf numFmtId="0" fontId="17" fillId="0" borderId="2" xfId="4" applyFont="1" applyBorder="1" applyAlignment="1">
      <alignment horizontal="left" vertical="center" wrapText="1"/>
    </xf>
    <xf numFmtId="0" fontId="17" fillId="0" borderId="2" xfId="5" applyFont="1" applyBorder="1" applyAlignment="1">
      <alignment horizontal="left" vertical="center" wrapText="1"/>
    </xf>
    <xf numFmtId="0" fontId="17" fillId="0" borderId="3" xfId="4" applyFont="1" applyBorder="1" applyAlignment="1">
      <alignment horizontal="left" vertical="center" wrapText="1"/>
    </xf>
    <xf numFmtId="0" fontId="17" fillId="0" borderId="4" xfId="4" applyFont="1" applyBorder="1" applyAlignment="1">
      <alignment horizontal="left" vertical="center" wrapText="1"/>
    </xf>
    <xf numFmtId="1" fontId="18" fillId="0" borderId="2" xfId="3" applyNumberFormat="1" applyFont="1" applyBorder="1" applyAlignment="1">
      <alignment horizontal="center" vertical="center"/>
    </xf>
    <xf numFmtId="3" fontId="18" fillId="0" borderId="2" xfId="3" applyNumberFormat="1" applyFont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vertical="center"/>
    </xf>
    <xf numFmtId="1" fontId="0" fillId="3" borderId="0" xfId="0" applyNumberFormat="1" applyFill="1" applyAlignment="1">
      <alignment horizontal="left" vertical="center"/>
    </xf>
    <xf numFmtId="0" fontId="0" fillId="4" borderId="0" xfId="6" applyFont="1" applyFill="1" applyBorder="1" applyAlignment="1">
      <alignment horizontal="left" vertical="center"/>
    </xf>
    <xf numFmtId="164" fontId="20" fillId="3" borderId="0" xfId="0" applyNumberFormat="1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7" applyFont="1" applyFill="1" applyAlignment="1">
      <alignment horizontal="center" vertical="center"/>
    </xf>
    <xf numFmtId="1" fontId="0" fillId="3" borderId="0" xfId="7" applyNumberFormat="1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/>
    </xf>
    <xf numFmtId="0" fontId="16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 vertical="center"/>
    </xf>
    <xf numFmtId="0" fontId="15" fillId="3" borderId="2" xfId="3" applyFont="1" applyFill="1" applyBorder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</cellXfs>
  <cellStyles count="9">
    <cellStyle name="Excel Built-in Normal 1" xfId="5"/>
    <cellStyle name="Excel Built-in Normal 1_OBS 14-12-02 2_OBS 15-11-01 9-23" xfId="7"/>
    <cellStyle name="Heading 4 2 5 2" xfId="6"/>
    <cellStyle name="Normal" xfId="0" builtinId="0"/>
    <cellStyle name="Normal 2 10" xfId="3"/>
    <cellStyle name="Normal 2 5 3" xfId="1"/>
    <cellStyle name="Normal 46" xfId="8"/>
    <cellStyle name="Normal_BY ORDER_305" xfId="4"/>
    <cellStyle name="Normal_OOR Update Oct.24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F12" sqref="F12"/>
    </sheetView>
  </sheetViews>
  <sheetFormatPr defaultRowHeight="14.25"/>
  <cols>
    <col min="5" max="5" width="14.265625" bestFit="1" customWidth="1"/>
    <col min="6" max="6" width="24" bestFit="1" customWidth="1"/>
    <col min="7" max="7" width="28.3984375" bestFit="1" customWidth="1"/>
    <col min="12" max="12" width="13.1328125" customWidth="1"/>
    <col min="13" max="13" width="27" customWidth="1"/>
    <col min="14" max="14" width="21.265625" customWidth="1"/>
  </cols>
  <sheetData>
    <row r="1" spans="1:15" s="6" customFormat="1" ht="18">
      <c r="A1" s="1" t="s">
        <v>0</v>
      </c>
      <c r="B1" s="2"/>
      <c r="C1" s="2"/>
      <c r="D1" s="2"/>
      <c r="E1" s="2"/>
      <c r="F1" s="3" t="s">
        <v>1</v>
      </c>
      <c r="G1" s="52"/>
      <c r="H1" s="52"/>
      <c r="I1" s="52"/>
      <c r="J1" s="52"/>
      <c r="K1" s="52"/>
      <c r="L1" s="52"/>
      <c r="M1" s="52"/>
      <c r="N1" s="4"/>
      <c r="O1" s="5"/>
    </row>
    <row r="2" spans="1:15" s="9" customFormat="1" ht="18">
      <c r="A2" s="7" t="s">
        <v>2</v>
      </c>
      <c r="B2" s="8"/>
      <c r="C2" s="8"/>
      <c r="E2" s="8"/>
      <c r="F2" s="10" t="s">
        <v>3</v>
      </c>
      <c r="G2" s="52"/>
      <c r="H2" s="52"/>
      <c r="I2" s="52"/>
      <c r="J2" s="52"/>
      <c r="K2" s="52"/>
      <c r="L2" s="52"/>
      <c r="M2" s="52"/>
      <c r="N2" s="11"/>
      <c r="O2" s="12"/>
    </row>
    <row r="3" spans="1:15" s="14" customFormat="1" ht="13.15">
      <c r="A3" s="13" t="s">
        <v>4</v>
      </c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3" t="s">
        <v>18</v>
      </c>
    </row>
    <row r="4" spans="1:15" s="9" customFormat="1" ht="23.25">
      <c r="A4" s="15" t="s">
        <v>19</v>
      </c>
      <c r="B4" s="16">
        <v>278</v>
      </c>
      <c r="C4" s="16">
        <v>10565008</v>
      </c>
      <c r="D4" s="16" t="s">
        <v>20</v>
      </c>
      <c r="E4" s="16" t="s">
        <v>21</v>
      </c>
      <c r="F4" s="16" t="s">
        <v>22</v>
      </c>
      <c r="G4" s="16" t="s">
        <v>23</v>
      </c>
      <c r="H4" s="17">
        <v>1089</v>
      </c>
      <c r="I4" s="17" t="s">
        <v>24</v>
      </c>
      <c r="J4" s="17">
        <v>1089</v>
      </c>
      <c r="K4" s="18">
        <v>162</v>
      </c>
      <c r="L4" s="19" t="s">
        <v>25</v>
      </c>
      <c r="M4" s="19" t="s">
        <v>26</v>
      </c>
      <c r="N4" s="20" t="s">
        <v>27</v>
      </c>
      <c r="O4" s="17" t="s">
        <v>28</v>
      </c>
    </row>
    <row r="5" spans="1:15" s="9" customFormat="1" ht="23.25">
      <c r="A5" s="15" t="s">
        <v>19</v>
      </c>
      <c r="B5" s="16">
        <v>284</v>
      </c>
      <c r="C5" s="16">
        <v>10565007</v>
      </c>
      <c r="D5" s="16" t="s">
        <v>29</v>
      </c>
      <c r="E5" s="16" t="s">
        <v>30</v>
      </c>
      <c r="F5" s="16" t="s">
        <v>31</v>
      </c>
      <c r="G5" s="16" t="s">
        <v>32</v>
      </c>
      <c r="H5" s="17">
        <v>1089</v>
      </c>
      <c r="I5" s="17" t="s">
        <v>24</v>
      </c>
      <c r="J5" s="17">
        <v>1089</v>
      </c>
      <c r="K5" s="18">
        <v>246</v>
      </c>
      <c r="L5" s="21" t="s">
        <v>25</v>
      </c>
      <c r="M5" s="21" t="s">
        <v>33</v>
      </c>
      <c r="N5" s="20" t="s">
        <v>27</v>
      </c>
      <c r="O5" s="17" t="s">
        <v>28</v>
      </c>
    </row>
    <row r="6" spans="1:15" s="9" customFormat="1" ht="23.25">
      <c r="A6" s="15" t="s">
        <v>19</v>
      </c>
      <c r="B6" s="16">
        <v>300</v>
      </c>
      <c r="C6" s="16">
        <v>10565010</v>
      </c>
      <c r="D6" s="16" t="s">
        <v>34</v>
      </c>
      <c r="E6" s="16" t="s">
        <v>35</v>
      </c>
      <c r="F6" s="16" t="s">
        <v>36</v>
      </c>
      <c r="G6" s="16" t="s">
        <v>37</v>
      </c>
      <c r="H6" s="17">
        <v>1089</v>
      </c>
      <c r="I6" s="17" t="s">
        <v>24</v>
      </c>
      <c r="J6" s="17">
        <v>1089</v>
      </c>
      <c r="K6" s="18">
        <v>426</v>
      </c>
      <c r="L6" s="19" t="s">
        <v>25</v>
      </c>
      <c r="M6" s="19" t="s">
        <v>38</v>
      </c>
      <c r="N6" s="20" t="s">
        <v>27</v>
      </c>
      <c r="O6" s="17" t="s">
        <v>28</v>
      </c>
    </row>
    <row r="7" spans="1:15" s="9" customFormat="1" ht="23.25">
      <c r="A7" s="15" t="s">
        <v>19</v>
      </c>
      <c r="B7" s="16">
        <v>934</v>
      </c>
      <c r="C7" s="16">
        <v>10565005</v>
      </c>
      <c r="D7" s="16" t="s">
        <v>39</v>
      </c>
      <c r="E7" s="16" t="s">
        <v>40</v>
      </c>
      <c r="F7" s="16" t="s">
        <v>41</v>
      </c>
      <c r="G7" s="16" t="s">
        <v>42</v>
      </c>
      <c r="H7" s="17">
        <v>1089</v>
      </c>
      <c r="I7" s="17" t="s">
        <v>24</v>
      </c>
      <c r="J7" s="17">
        <v>1089</v>
      </c>
      <c r="K7" s="18">
        <v>198</v>
      </c>
      <c r="L7" s="22" t="s">
        <v>25</v>
      </c>
      <c r="M7" s="22" t="s">
        <v>43</v>
      </c>
      <c r="N7" s="20" t="s">
        <v>27</v>
      </c>
      <c r="O7" s="17" t="s">
        <v>28</v>
      </c>
    </row>
    <row r="8" spans="1:15" s="9" customFormat="1" ht="23.25">
      <c r="A8" s="15" t="s">
        <v>19</v>
      </c>
      <c r="B8" s="16">
        <v>939</v>
      </c>
      <c r="C8" s="16">
        <v>10565003</v>
      </c>
      <c r="D8" s="16" t="s">
        <v>39</v>
      </c>
      <c r="E8" s="16" t="s">
        <v>40</v>
      </c>
      <c r="F8" s="16" t="s">
        <v>41</v>
      </c>
      <c r="G8" s="16" t="s">
        <v>42</v>
      </c>
      <c r="H8" s="17">
        <v>1089</v>
      </c>
      <c r="I8" s="17" t="s">
        <v>24</v>
      </c>
      <c r="J8" s="17">
        <v>1089</v>
      </c>
      <c r="K8" s="18">
        <v>636</v>
      </c>
      <c r="L8" s="19" t="s">
        <v>25</v>
      </c>
      <c r="M8" s="19" t="s">
        <v>43</v>
      </c>
      <c r="N8" s="20" t="s">
        <v>27</v>
      </c>
      <c r="O8" s="17" t="s">
        <v>28</v>
      </c>
    </row>
    <row r="9" spans="1:15" s="9" customFormat="1" ht="23.25">
      <c r="A9" s="15" t="s">
        <v>19</v>
      </c>
      <c r="B9" s="16">
        <v>941</v>
      </c>
      <c r="C9" s="16">
        <v>10565004</v>
      </c>
      <c r="D9" s="16" t="s">
        <v>39</v>
      </c>
      <c r="E9" s="16" t="s">
        <v>40</v>
      </c>
      <c r="F9" s="16" t="s">
        <v>41</v>
      </c>
      <c r="G9" s="16" t="s">
        <v>42</v>
      </c>
      <c r="H9" s="17">
        <v>1089</v>
      </c>
      <c r="I9" s="17" t="s">
        <v>24</v>
      </c>
      <c r="J9" s="17">
        <v>1089</v>
      </c>
      <c r="K9" s="18">
        <v>228</v>
      </c>
      <c r="L9" s="22" t="s">
        <v>25</v>
      </c>
      <c r="M9" s="22" t="s">
        <v>43</v>
      </c>
      <c r="N9" s="20" t="s">
        <v>27</v>
      </c>
      <c r="O9" s="17" t="s">
        <v>28</v>
      </c>
    </row>
    <row r="10" spans="1:15" s="9" customFormat="1" ht="23.25">
      <c r="A10" s="15" t="s">
        <v>19</v>
      </c>
      <c r="B10" s="16">
        <v>947</v>
      </c>
      <c r="C10" s="16">
        <v>10565006</v>
      </c>
      <c r="D10" s="16" t="s">
        <v>39</v>
      </c>
      <c r="E10" s="16" t="s">
        <v>40</v>
      </c>
      <c r="F10" s="16" t="s">
        <v>41</v>
      </c>
      <c r="G10" s="16" t="s">
        <v>42</v>
      </c>
      <c r="H10" s="17">
        <v>1089</v>
      </c>
      <c r="I10" s="17" t="s">
        <v>24</v>
      </c>
      <c r="J10" s="17">
        <v>1089</v>
      </c>
      <c r="K10" s="18">
        <v>174</v>
      </c>
      <c r="L10" s="22" t="s">
        <v>25</v>
      </c>
      <c r="M10" s="22" t="s">
        <v>43</v>
      </c>
      <c r="N10" s="20" t="s">
        <v>27</v>
      </c>
      <c r="O10" s="17" t="s">
        <v>28</v>
      </c>
    </row>
    <row r="11" spans="1:15" s="9" customFormat="1" ht="23.25">
      <c r="A11" s="15" t="s">
        <v>44</v>
      </c>
      <c r="B11" s="16">
        <v>1012</v>
      </c>
      <c r="C11" s="16">
        <v>10565117</v>
      </c>
      <c r="D11" s="16" t="s">
        <v>45</v>
      </c>
      <c r="E11" s="16" t="s">
        <v>46</v>
      </c>
      <c r="F11" s="16" t="s">
        <v>47</v>
      </c>
      <c r="G11" s="16" t="s">
        <v>48</v>
      </c>
      <c r="H11" s="17">
        <v>1089</v>
      </c>
      <c r="I11" s="17" t="s">
        <v>24</v>
      </c>
      <c r="J11" s="17">
        <v>1089</v>
      </c>
      <c r="K11" s="18">
        <v>522</v>
      </c>
      <c r="L11" s="22" t="s">
        <v>25</v>
      </c>
      <c r="M11" s="22" t="s">
        <v>49</v>
      </c>
      <c r="N11" s="20" t="s">
        <v>27</v>
      </c>
      <c r="O11" s="17" t="s">
        <v>28</v>
      </c>
    </row>
    <row r="12" spans="1:15" s="9" customFormat="1" ht="23.25">
      <c r="A12" s="15" t="s">
        <v>44</v>
      </c>
      <c r="B12" s="16">
        <v>1147</v>
      </c>
      <c r="C12" s="16">
        <v>10565118</v>
      </c>
      <c r="D12" s="16" t="s">
        <v>50</v>
      </c>
      <c r="E12" s="16" t="s">
        <v>51</v>
      </c>
      <c r="F12" s="16" t="s">
        <v>52</v>
      </c>
      <c r="G12" s="16" t="s">
        <v>48</v>
      </c>
      <c r="H12" s="17">
        <v>1089</v>
      </c>
      <c r="I12" s="17" t="s">
        <v>24</v>
      </c>
      <c r="J12" s="17">
        <v>1089</v>
      </c>
      <c r="K12" s="18">
        <v>276</v>
      </c>
      <c r="L12" s="22" t="s">
        <v>25</v>
      </c>
      <c r="M12" s="22" t="s">
        <v>49</v>
      </c>
      <c r="N12" s="20" t="s">
        <v>27</v>
      </c>
      <c r="O12" s="17" t="s">
        <v>28</v>
      </c>
    </row>
    <row r="13" spans="1:15" s="9" customFormat="1" ht="23.25">
      <c r="A13" s="15" t="s">
        <v>44</v>
      </c>
      <c r="B13" s="16">
        <v>1186</v>
      </c>
      <c r="C13" s="16">
        <v>10565123</v>
      </c>
      <c r="D13" s="16" t="s">
        <v>50</v>
      </c>
      <c r="E13" s="16" t="s">
        <v>53</v>
      </c>
      <c r="F13" s="16" t="s">
        <v>54</v>
      </c>
      <c r="G13" s="16" t="s">
        <v>55</v>
      </c>
      <c r="H13" s="17">
        <v>1089</v>
      </c>
      <c r="I13" s="17" t="s">
        <v>24</v>
      </c>
      <c r="J13" s="17">
        <v>1089</v>
      </c>
      <c r="K13" s="18">
        <v>132</v>
      </c>
      <c r="L13" s="22" t="s">
        <v>25</v>
      </c>
      <c r="M13" s="22" t="s">
        <v>56</v>
      </c>
      <c r="N13" s="20" t="s">
        <v>27</v>
      </c>
      <c r="O13" s="17" t="s">
        <v>28</v>
      </c>
    </row>
    <row r="14" spans="1:15" s="9" customFormat="1" ht="23.25">
      <c r="A14" s="15" t="s">
        <v>44</v>
      </c>
      <c r="B14" s="16">
        <v>1205</v>
      </c>
      <c r="C14" s="16">
        <v>10565119</v>
      </c>
      <c r="D14" s="16" t="s">
        <v>50</v>
      </c>
      <c r="E14" s="16" t="s">
        <v>53</v>
      </c>
      <c r="F14" s="16" t="s">
        <v>54</v>
      </c>
      <c r="G14" s="16" t="s">
        <v>55</v>
      </c>
      <c r="H14" s="17">
        <v>1089</v>
      </c>
      <c r="I14" s="17" t="s">
        <v>24</v>
      </c>
      <c r="J14" s="17">
        <v>1089</v>
      </c>
      <c r="K14" s="18">
        <v>222</v>
      </c>
      <c r="L14" s="22" t="s">
        <v>25</v>
      </c>
      <c r="M14" s="22" t="s">
        <v>56</v>
      </c>
      <c r="N14" s="20" t="s">
        <v>27</v>
      </c>
      <c r="O14" s="17" t="s">
        <v>28</v>
      </c>
    </row>
    <row r="15" spans="1:15" s="9" customFormat="1" ht="23.25">
      <c r="A15" s="15" t="s">
        <v>44</v>
      </c>
      <c r="B15" s="16">
        <v>1212</v>
      </c>
      <c r="C15" s="16">
        <v>10565122</v>
      </c>
      <c r="D15" s="16" t="s">
        <v>50</v>
      </c>
      <c r="E15" s="16" t="s">
        <v>57</v>
      </c>
      <c r="F15" s="16" t="s">
        <v>58</v>
      </c>
      <c r="G15" s="16" t="s">
        <v>55</v>
      </c>
      <c r="H15" s="17">
        <v>1089</v>
      </c>
      <c r="I15" s="17" t="s">
        <v>24</v>
      </c>
      <c r="J15" s="17">
        <v>1089</v>
      </c>
      <c r="K15" s="18">
        <v>198</v>
      </c>
      <c r="L15" s="19" t="s">
        <v>25</v>
      </c>
      <c r="M15" s="22" t="s">
        <v>56</v>
      </c>
      <c r="N15" s="20" t="s">
        <v>27</v>
      </c>
      <c r="O15" s="17" t="s">
        <v>28</v>
      </c>
    </row>
    <row r="16" spans="1:15" s="9" customFormat="1" ht="23.25">
      <c r="A16" s="15" t="s">
        <v>44</v>
      </c>
      <c r="B16" s="16">
        <v>1223</v>
      </c>
      <c r="C16" s="16">
        <v>10565120</v>
      </c>
      <c r="D16" s="16" t="s">
        <v>50</v>
      </c>
      <c r="E16" s="16" t="s">
        <v>57</v>
      </c>
      <c r="F16" s="16" t="s">
        <v>58</v>
      </c>
      <c r="G16" s="16" t="s">
        <v>55</v>
      </c>
      <c r="H16" s="17">
        <v>1089</v>
      </c>
      <c r="I16" s="17" t="s">
        <v>24</v>
      </c>
      <c r="J16" s="17">
        <v>1089</v>
      </c>
      <c r="K16" s="18">
        <v>246</v>
      </c>
      <c r="L16" s="22" t="s">
        <v>25</v>
      </c>
      <c r="M16" s="22" t="s">
        <v>56</v>
      </c>
      <c r="N16" s="20" t="s">
        <v>27</v>
      </c>
      <c r="O16" s="17" t="s">
        <v>28</v>
      </c>
    </row>
    <row r="17" spans="1:15" s="9" customFormat="1" ht="23.25">
      <c r="A17" s="15" t="s">
        <v>44</v>
      </c>
      <c r="B17" s="16">
        <v>1250</v>
      </c>
      <c r="C17" s="16">
        <v>10565116</v>
      </c>
      <c r="D17" s="16" t="s">
        <v>50</v>
      </c>
      <c r="E17" s="16" t="s">
        <v>59</v>
      </c>
      <c r="F17" s="16" t="s">
        <v>60</v>
      </c>
      <c r="G17" s="16" t="s">
        <v>55</v>
      </c>
      <c r="H17" s="17">
        <v>1089</v>
      </c>
      <c r="I17" s="17" t="s">
        <v>24</v>
      </c>
      <c r="J17" s="17">
        <v>1089</v>
      </c>
      <c r="K17" s="18">
        <v>132</v>
      </c>
      <c r="L17" s="19" t="s">
        <v>25</v>
      </c>
      <c r="M17" s="22" t="s">
        <v>56</v>
      </c>
      <c r="N17" s="20" t="s">
        <v>27</v>
      </c>
      <c r="O17" s="17" t="s">
        <v>28</v>
      </c>
    </row>
    <row r="18" spans="1:15" s="9" customFormat="1" ht="23.25">
      <c r="A18" s="15" t="s">
        <v>44</v>
      </c>
      <c r="B18" s="16">
        <v>1255</v>
      </c>
      <c r="C18" s="16">
        <v>10565121</v>
      </c>
      <c r="D18" s="16" t="s">
        <v>50</v>
      </c>
      <c r="E18" s="16" t="s">
        <v>59</v>
      </c>
      <c r="F18" s="16" t="s">
        <v>60</v>
      </c>
      <c r="G18" s="16" t="s">
        <v>55</v>
      </c>
      <c r="H18" s="17">
        <v>1089</v>
      </c>
      <c r="I18" s="17" t="s">
        <v>24</v>
      </c>
      <c r="J18" s="17">
        <v>1089</v>
      </c>
      <c r="K18" s="18">
        <v>252</v>
      </c>
      <c r="L18" s="19" t="s">
        <v>25</v>
      </c>
      <c r="M18" s="22" t="s">
        <v>56</v>
      </c>
      <c r="N18" s="20" t="s">
        <v>27</v>
      </c>
      <c r="O18" s="17" t="s">
        <v>28</v>
      </c>
    </row>
    <row r="19" spans="1:15" s="9" customFormat="1" ht="23.25">
      <c r="A19" s="15" t="s">
        <v>19</v>
      </c>
      <c r="B19" s="16">
        <v>566</v>
      </c>
      <c r="C19" s="16">
        <v>10565013</v>
      </c>
      <c r="D19" s="16" t="s">
        <v>61</v>
      </c>
      <c r="E19" s="16" t="s">
        <v>62</v>
      </c>
      <c r="F19" s="16" t="s">
        <v>63</v>
      </c>
      <c r="G19" s="16" t="s">
        <v>64</v>
      </c>
      <c r="H19" s="17">
        <v>1089</v>
      </c>
      <c r="I19" s="17" t="s">
        <v>24</v>
      </c>
      <c r="J19" s="17">
        <v>1089</v>
      </c>
      <c r="K19" s="18">
        <v>360</v>
      </c>
      <c r="L19" s="22" t="s">
        <v>25</v>
      </c>
      <c r="M19" s="22" t="s">
        <v>65</v>
      </c>
      <c r="N19" s="20" t="s">
        <v>27</v>
      </c>
      <c r="O19" s="17" t="s">
        <v>28</v>
      </c>
    </row>
    <row r="20" spans="1:15" s="9" customFormat="1" ht="23.25">
      <c r="A20" s="15" t="s">
        <v>19</v>
      </c>
      <c r="B20" s="16">
        <v>574</v>
      </c>
      <c r="C20" s="16">
        <v>10565012</v>
      </c>
      <c r="D20" s="16" t="s">
        <v>61</v>
      </c>
      <c r="E20" s="16" t="s">
        <v>62</v>
      </c>
      <c r="F20" s="16" t="s">
        <v>63</v>
      </c>
      <c r="G20" s="16" t="s">
        <v>64</v>
      </c>
      <c r="H20" s="17">
        <v>1089</v>
      </c>
      <c r="I20" s="17" t="s">
        <v>24</v>
      </c>
      <c r="J20" s="17">
        <v>1089</v>
      </c>
      <c r="K20" s="18">
        <v>192</v>
      </c>
      <c r="L20" s="22" t="s">
        <v>25</v>
      </c>
      <c r="M20" s="22" t="s">
        <v>65</v>
      </c>
      <c r="N20" s="20" t="s">
        <v>27</v>
      </c>
      <c r="O20" s="17" t="s">
        <v>28</v>
      </c>
    </row>
    <row r="21" spans="1:15" s="9" customFormat="1" ht="23.25">
      <c r="A21" s="15" t="s">
        <v>19</v>
      </c>
      <c r="B21" s="16">
        <v>607</v>
      </c>
      <c r="C21" s="16">
        <v>10565011</v>
      </c>
      <c r="D21" s="16" t="s">
        <v>61</v>
      </c>
      <c r="E21" s="16" t="s">
        <v>66</v>
      </c>
      <c r="F21" s="16" t="s">
        <v>67</v>
      </c>
      <c r="G21" s="16" t="s">
        <v>64</v>
      </c>
      <c r="H21" s="17">
        <v>1089</v>
      </c>
      <c r="I21" s="17" t="s">
        <v>24</v>
      </c>
      <c r="J21" s="17">
        <v>1089</v>
      </c>
      <c r="K21" s="18">
        <v>852</v>
      </c>
      <c r="L21" s="22" t="s">
        <v>25</v>
      </c>
      <c r="M21" s="22" t="s">
        <v>65</v>
      </c>
      <c r="N21" s="20" t="s">
        <v>27</v>
      </c>
      <c r="O21" s="17" t="s">
        <v>28</v>
      </c>
    </row>
    <row r="22" spans="1:15" s="9" customFormat="1" ht="23.25">
      <c r="A22" s="15" t="s">
        <v>19</v>
      </c>
      <c r="B22" s="16">
        <v>443</v>
      </c>
      <c r="C22" s="16">
        <v>10565015</v>
      </c>
      <c r="D22" s="16" t="s">
        <v>29</v>
      </c>
      <c r="E22" s="16" t="s">
        <v>68</v>
      </c>
      <c r="F22" s="16" t="s">
        <v>69</v>
      </c>
      <c r="G22" s="16" t="s">
        <v>70</v>
      </c>
      <c r="H22" s="17">
        <v>1089</v>
      </c>
      <c r="I22" s="17" t="s">
        <v>24</v>
      </c>
      <c r="J22" s="17">
        <v>1089</v>
      </c>
      <c r="K22" s="18">
        <v>318</v>
      </c>
      <c r="L22" s="22" t="s">
        <v>25</v>
      </c>
      <c r="M22" s="22" t="s">
        <v>71</v>
      </c>
      <c r="N22" s="20" t="s">
        <v>27</v>
      </c>
      <c r="O22" s="17" t="s">
        <v>28</v>
      </c>
    </row>
    <row r="23" spans="1:15" s="9" customFormat="1" ht="23.25">
      <c r="A23" s="15" t="s">
        <v>19</v>
      </c>
      <c r="B23" s="16">
        <v>460</v>
      </c>
      <c r="C23" s="16">
        <v>10565016</v>
      </c>
      <c r="D23" s="16" t="s">
        <v>29</v>
      </c>
      <c r="E23" s="16" t="s">
        <v>68</v>
      </c>
      <c r="F23" s="16" t="s">
        <v>69</v>
      </c>
      <c r="G23" s="16" t="s">
        <v>70</v>
      </c>
      <c r="H23" s="17">
        <v>1089</v>
      </c>
      <c r="I23" s="17" t="s">
        <v>24</v>
      </c>
      <c r="J23" s="17">
        <v>1089</v>
      </c>
      <c r="K23" s="18">
        <v>246</v>
      </c>
      <c r="L23" s="19" t="s">
        <v>25</v>
      </c>
      <c r="M23" s="19" t="s">
        <v>71</v>
      </c>
      <c r="N23" s="20" t="s">
        <v>27</v>
      </c>
      <c r="O23" s="17" t="s">
        <v>28</v>
      </c>
    </row>
    <row r="24" spans="1:15" s="9" customFormat="1" ht="23.25">
      <c r="A24" s="15" t="s">
        <v>19</v>
      </c>
      <c r="B24" s="16">
        <v>490</v>
      </c>
      <c r="C24" s="50">
        <v>10574221</v>
      </c>
      <c r="D24" s="16" t="s">
        <v>29</v>
      </c>
      <c r="E24" s="16" t="s">
        <v>72</v>
      </c>
      <c r="F24" s="16" t="s">
        <v>73</v>
      </c>
      <c r="G24" s="16" t="s">
        <v>70</v>
      </c>
      <c r="H24" s="17">
        <v>1089</v>
      </c>
      <c r="I24" s="17" t="s">
        <v>24</v>
      </c>
      <c r="J24" s="17">
        <v>1089</v>
      </c>
      <c r="K24" s="18">
        <v>120</v>
      </c>
      <c r="L24" s="22" t="s">
        <v>25</v>
      </c>
      <c r="M24" s="22" t="s">
        <v>71</v>
      </c>
      <c r="N24" s="20" t="s">
        <v>27</v>
      </c>
      <c r="O24" s="17" t="s">
        <v>28</v>
      </c>
    </row>
    <row r="25" spans="1:15" s="9" customFormat="1" ht="23.25">
      <c r="A25" s="15" t="s">
        <v>19</v>
      </c>
      <c r="B25" s="16">
        <v>727</v>
      </c>
      <c r="C25" s="16">
        <v>10565014</v>
      </c>
      <c r="D25" s="16" t="s">
        <v>29</v>
      </c>
      <c r="E25" s="16" t="s">
        <v>74</v>
      </c>
      <c r="F25" s="16" t="s">
        <v>75</v>
      </c>
      <c r="G25" s="16" t="s">
        <v>76</v>
      </c>
      <c r="H25" s="17">
        <v>1089</v>
      </c>
      <c r="I25" s="17" t="s">
        <v>24</v>
      </c>
      <c r="J25" s="17">
        <v>1089</v>
      </c>
      <c r="K25" s="18">
        <v>726</v>
      </c>
      <c r="L25" s="22" t="s">
        <v>25</v>
      </c>
      <c r="M25" s="22" t="s">
        <v>71</v>
      </c>
      <c r="N25" s="20" t="s">
        <v>27</v>
      </c>
      <c r="O25" s="17" t="s">
        <v>28</v>
      </c>
    </row>
    <row r="26" spans="1:15" s="9" customFormat="1" ht="23.25">
      <c r="A26" s="15" t="s">
        <v>19</v>
      </c>
      <c r="B26" s="16">
        <v>839</v>
      </c>
      <c r="C26" s="16">
        <v>10569666</v>
      </c>
      <c r="D26" s="16" t="s">
        <v>61</v>
      </c>
      <c r="E26" s="16" t="s">
        <v>77</v>
      </c>
      <c r="F26" s="16" t="s">
        <v>78</v>
      </c>
      <c r="G26" s="16" t="s">
        <v>79</v>
      </c>
      <c r="H26" s="17">
        <v>1089</v>
      </c>
      <c r="I26" s="17" t="s">
        <v>24</v>
      </c>
      <c r="J26" s="17">
        <v>1089</v>
      </c>
      <c r="K26" s="18">
        <v>708</v>
      </c>
      <c r="L26" s="22" t="s">
        <v>25</v>
      </c>
      <c r="M26" s="22" t="s">
        <v>80</v>
      </c>
      <c r="N26" s="20" t="s">
        <v>27</v>
      </c>
      <c r="O26" s="17" t="s">
        <v>28</v>
      </c>
    </row>
    <row r="27" spans="1:15" s="9" customFormat="1" ht="23.25">
      <c r="A27" s="15" t="s">
        <v>19</v>
      </c>
      <c r="B27" s="16">
        <v>54</v>
      </c>
      <c r="C27" s="16">
        <v>10564815</v>
      </c>
      <c r="D27" s="16" t="s">
        <v>81</v>
      </c>
      <c r="E27" s="16" t="s">
        <v>82</v>
      </c>
      <c r="F27" s="16" t="s">
        <v>83</v>
      </c>
      <c r="G27" s="16" t="s">
        <v>84</v>
      </c>
      <c r="H27" s="17">
        <v>1089</v>
      </c>
      <c r="I27" s="17" t="s">
        <v>24</v>
      </c>
      <c r="J27" s="17">
        <v>1089</v>
      </c>
      <c r="K27" s="18">
        <v>348</v>
      </c>
      <c r="L27" s="22" t="s">
        <v>25</v>
      </c>
      <c r="M27" s="22" t="s">
        <v>85</v>
      </c>
      <c r="N27" s="20" t="s">
        <v>27</v>
      </c>
      <c r="O27" s="17" t="s">
        <v>28</v>
      </c>
    </row>
    <row r="28" spans="1:15" s="9" customFormat="1" ht="23.25">
      <c r="A28" s="15" t="s">
        <v>19</v>
      </c>
      <c r="B28" s="16">
        <v>94</v>
      </c>
      <c r="C28" s="16">
        <v>10565017</v>
      </c>
      <c r="D28" s="16" t="s">
        <v>34</v>
      </c>
      <c r="E28" s="16" t="s">
        <v>86</v>
      </c>
      <c r="F28" s="16" t="s">
        <v>87</v>
      </c>
      <c r="G28" s="16" t="s">
        <v>84</v>
      </c>
      <c r="H28" s="17">
        <v>1089</v>
      </c>
      <c r="I28" s="17" t="s">
        <v>24</v>
      </c>
      <c r="J28" s="17">
        <v>1089</v>
      </c>
      <c r="K28" s="18">
        <v>426</v>
      </c>
      <c r="L28" s="19" t="s">
        <v>25</v>
      </c>
      <c r="M28" s="19" t="s">
        <v>85</v>
      </c>
      <c r="N28" s="20" t="s">
        <v>27</v>
      </c>
      <c r="O28" s="17" t="s">
        <v>28</v>
      </c>
    </row>
    <row r="29" spans="1:15" s="9" customFormat="1" ht="13.15">
      <c r="A29" s="15"/>
      <c r="B29" s="16"/>
      <c r="C29" s="16"/>
      <c r="D29" s="16"/>
      <c r="E29" s="16"/>
      <c r="F29" s="16"/>
      <c r="G29" s="16"/>
      <c r="H29" s="17"/>
      <c r="I29" s="17"/>
      <c r="J29" s="23" t="s">
        <v>88</v>
      </c>
      <c r="K29" s="24">
        <f>SUM(K4:K28)</f>
        <v>8346</v>
      </c>
      <c r="L29" s="19"/>
      <c r="M29" s="19"/>
      <c r="N29" s="20"/>
      <c r="O29" s="17"/>
    </row>
  </sheetData>
  <mergeCells count="2">
    <mergeCell ref="G1:M1"/>
    <mergeCell ref="G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28"/>
  <sheetViews>
    <sheetView workbookViewId="0">
      <selection activeCell="B10" sqref="B10"/>
    </sheetView>
  </sheetViews>
  <sheetFormatPr defaultRowHeight="14.25"/>
  <cols>
    <col min="2" max="2" width="16.3984375" bestFit="1" customWidth="1"/>
    <col min="5" max="5" width="14.86328125" bestFit="1" customWidth="1"/>
    <col min="7" max="7" width="22.73046875" bestFit="1" customWidth="1"/>
    <col min="9" max="9" width="12.86328125" bestFit="1" customWidth="1"/>
    <col min="10" max="10" width="22.3984375" bestFit="1" customWidth="1"/>
    <col min="94" max="94" width="6.3984375" bestFit="1" customWidth="1"/>
  </cols>
  <sheetData>
    <row r="1" spans="1:227" s="32" customFormat="1" ht="33.75" customHeight="1">
      <c r="A1" s="25" t="s">
        <v>89</v>
      </c>
      <c r="B1" s="25" t="s">
        <v>8</v>
      </c>
      <c r="C1" s="25" t="s">
        <v>90</v>
      </c>
      <c r="D1" s="25" t="s">
        <v>91</v>
      </c>
      <c r="E1" s="26" t="s">
        <v>92</v>
      </c>
      <c r="F1" s="27" t="s">
        <v>93</v>
      </c>
      <c r="G1" s="25" t="s">
        <v>94</v>
      </c>
      <c r="H1" s="25" t="s">
        <v>95</v>
      </c>
      <c r="I1" s="25" t="s">
        <v>96</v>
      </c>
      <c r="J1" s="28" t="s">
        <v>97</v>
      </c>
      <c r="K1" s="29" t="s">
        <v>98</v>
      </c>
      <c r="L1" s="29" t="s">
        <v>99</v>
      </c>
      <c r="M1" s="29" t="s">
        <v>100</v>
      </c>
      <c r="N1" s="29" t="s">
        <v>99</v>
      </c>
      <c r="O1" s="25" t="s">
        <v>101</v>
      </c>
      <c r="P1" s="25" t="s">
        <v>102</v>
      </c>
      <c r="Q1" s="25" t="s">
        <v>103</v>
      </c>
      <c r="R1" s="25" t="s">
        <v>104</v>
      </c>
      <c r="S1" s="25" t="s">
        <v>105</v>
      </c>
      <c r="T1" s="25" t="s">
        <v>106</v>
      </c>
      <c r="U1" s="25" t="s">
        <v>107</v>
      </c>
      <c r="V1" s="25" t="s">
        <v>11</v>
      </c>
      <c r="W1" s="26" t="s">
        <v>108</v>
      </c>
      <c r="X1" s="30" t="s">
        <v>109</v>
      </c>
      <c r="Y1" s="31" t="s">
        <v>110</v>
      </c>
      <c r="Z1" s="31" t="s">
        <v>111</v>
      </c>
      <c r="AA1" s="31" t="s">
        <v>112</v>
      </c>
      <c r="AB1" s="31" t="s">
        <v>113</v>
      </c>
      <c r="AC1" s="31" t="s">
        <v>114</v>
      </c>
      <c r="AD1" s="31" t="s">
        <v>115</v>
      </c>
      <c r="AE1" s="31" t="s">
        <v>116</v>
      </c>
      <c r="AF1" s="31" t="s">
        <v>117</v>
      </c>
      <c r="AG1" s="31" t="s">
        <v>118</v>
      </c>
      <c r="AH1" s="31" t="s">
        <v>119</v>
      </c>
      <c r="AI1" s="31" t="s">
        <v>120</v>
      </c>
      <c r="AJ1" s="31" t="s">
        <v>121</v>
      </c>
      <c r="AK1" s="31" t="s">
        <v>122</v>
      </c>
      <c r="AL1" s="31" t="s">
        <v>123</v>
      </c>
      <c r="AM1" s="31" t="s">
        <v>124</v>
      </c>
      <c r="AN1" s="31" t="s">
        <v>125</v>
      </c>
      <c r="AO1" s="31" t="s">
        <v>126</v>
      </c>
      <c r="AP1" s="31" t="s">
        <v>127</v>
      </c>
      <c r="AQ1" s="31" t="s">
        <v>128</v>
      </c>
      <c r="AR1" s="31" t="s">
        <v>129</v>
      </c>
      <c r="AS1" s="31" t="s">
        <v>130</v>
      </c>
      <c r="AT1" s="31" t="s">
        <v>131</v>
      </c>
      <c r="AU1" s="31" t="s">
        <v>132</v>
      </c>
      <c r="AV1" s="31" t="s">
        <v>133</v>
      </c>
      <c r="AW1" s="31" t="s">
        <v>134</v>
      </c>
      <c r="AX1" s="31" t="s">
        <v>135</v>
      </c>
      <c r="AY1" s="31" t="s">
        <v>136</v>
      </c>
      <c r="AZ1" s="31" t="s">
        <v>137</v>
      </c>
      <c r="BA1" s="31" t="s">
        <v>138</v>
      </c>
      <c r="BB1" s="31" t="s">
        <v>139</v>
      </c>
      <c r="BC1" s="31">
        <v>3</v>
      </c>
      <c r="BD1" s="31">
        <v>3.5</v>
      </c>
      <c r="BE1" s="31" t="s">
        <v>140</v>
      </c>
      <c r="BF1" s="31" t="s">
        <v>141</v>
      </c>
      <c r="BG1" s="31" t="s">
        <v>142</v>
      </c>
      <c r="BH1" s="31" t="s">
        <v>143</v>
      </c>
      <c r="BI1" s="31" t="s">
        <v>144</v>
      </c>
      <c r="BJ1" s="31" t="s">
        <v>145</v>
      </c>
      <c r="BK1" s="31" t="s">
        <v>146</v>
      </c>
      <c r="BL1" s="31" t="s">
        <v>147</v>
      </c>
      <c r="BM1" s="31" t="s">
        <v>148</v>
      </c>
      <c r="BN1" s="31" t="s">
        <v>149</v>
      </c>
      <c r="BO1" s="31" t="s">
        <v>150</v>
      </c>
      <c r="BP1" s="31" t="s">
        <v>151</v>
      </c>
      <c r="BQ1" s="31" t="s">
        <v>152</v>
      </c>
      <c r="BR1" s="31" t="s">
        <v>153</v>
      </c>
      <c r="BS1" s="31" t="s">
        <v>154</v>
      </c>
      <c r="BT1" s="31" t="s">
        <v>155</v>
      </c>
      <c r="BU1" s="31" t="s">
        <v>156</v>
      </c>
      <c r="BV1" s="31" t="s">
        <v>157</v>
      </c>
      <c r="BW1" s="31" t="s">
        <v>158</v>
      </c>
      <c r="BX1" s="31" t="s">
        <v>159</v>
      </c>
      <c r="BY1" s="31" t="s">
        <v>160</v>
      </c>
      <c r="BZ1" s="31" t="s">
        <v>161</v>
      </c>
      <c r="CA1" s="31" t="s">
        <v>162</v>
      </c>
      <c r="CB1" s="31" t="s">
        <v>163</v>
      </c>
      <c r="CC1" s="31" t="s">
        <v>164</v>
      </c>
      <c r="CD1" s="31" t="s">
        <v>165</v>
      </c>
      <c r="CE1" s="31" t="s">
        <v>166</v>
      </c>
      <c r="CF1" s="25" t="s">
        <v>167</v>
      </c>
      <c r="CG1" s="32" t="s">
        <v>168</v>
      </c>
      <c r="CH1" s="32" t="s">
        <v>169</v>
      </c>
      <c r="CI1" s="32" t="s">
        <v>18</v>
      </c>
      <c r="CJ1" s="33" t="s">
        <v>170</v>
      </c>
      <c r="CK1" s="34" t="s">
        <v>171</v>
      </c>
      <c r="CL1" s="34" t="s">
        <v>172</v>
      </c>
      <c r="CM1" s="34" t="s">
        <v>173</v>
      </c>
      <c r="CN1" s="30" t="s">
        <v>109</v>
      </c>
      <c r="CO1" s="35" t="s">
        <v>174</v>
      </c>
      <c r="CP1" s="32" t="s">
        <v>175</v>
      </c>
    </row>
    <row r="2" spans="1:227" s="36" customFormat="1">
      <c r="A2" s="36">
        <v>10565008</v>
      </c>
      <c r="B2" s="36" t="s">
        <v>21</v>
      </c>
      <c r="C2" s="37"/>
      <c r="D2" s="36" t="s">
        <v>19</v>
      </c>
      <c r="E2" s="38">
        <v>45322</v>
      </c>
      <c r="F2" s="36" t="s">
        <v>24</v>
      </c>
      <c r="G2" s="36">
        <v>3503534060</v>
      </c>
      <c r="H2" s="36">
        <v>10</v>
      </c>
      <c r="I2" s="36" t="s">
        <v>22</v>
      </c>
      <c r="J2" s="36" t="s">
        <v>23</v>
      </c>
      <c r="K2" s="36">
        <v>228123</v>
      </c>
      <c r="L2" s="36" t="s">
        <v>176</v>
      </c>
      <c r="O2" s="36" t="s">
        <v>177</v>
      </c>
      <c r="P2" s="36" t="s">
        <v>178</v>
      </c>
      <c r="Q2" s="36" t="s">
        <v>179</v>
      </c>
      <c r="R2" s="36" t="s">
        <v>180</v>
      </c>
      <c r="S2" s="36" t="s">
        <v>181</v>
      </c>
      <c r="T2" s="36">
        <v>2024</v>
      </c>
      <c r="U2" s="36" t="s">
        <v>28</v>
      </c>
      <c r="V2" s="36">
        <v>1089</v>
      </c>
      <c r="W2" s="38">
        <v>45437</v>
      </c>
      <c r="X2" s="39">
        <v>45434</v>
      </c>
      <c r="BH2" s="36">
        <v>6</v>
      </c>
      <c r="BI2" s="36">
        <v>6</v>
      </c>
      <c r="BJ2" s="36">
        <v>30</v>
      </c>
      <c r="BK2" s="36">
        <v>6</v>
      </c>
      <c r="BL2" s="36">
        <v>42</v>
      </c>
      <c r="BM2" s="36">
        <v>6</v>
      </c>
      <c r="BN2" s="36">
        <v>36</v>
      </c>
      <c r="BP2" s="36">
        <v>18</v>
      </c>
      <c r="BR2" s="36">
        <v>6</v>
      </c>
      <c r="BT2" s="36">
        <v>6</v>
      </c>
      <c r="CE2" s="51"/>
      <c r="CF2" s="40">
        <v>162</v>
      </c>
      <c r="CG2" s="41">
        <v>7</v>
      </c>
      <c r="CH2" s="42" t="s">
        <v>182</v>
      </c>
      <c r="CI2" s="43" t="s">
        <v>28</v>
      </c>
      <c r="CJ2" s="36">
        <v>1089</v>
      </c>
      <c r="CK2" s="42" t="s">
        <v>183</v>
      </c>
      <c r="CL2" s="42">
        <v>350353406010</v>
      </c>
      <c r="CM2" s="42" t="s">
        <v>184</v>
      </c>
      <c r="CN2" s="39">
        <v>45434</v>
      </c>
      <c r="CO2" s="36">
        <v>53</v>
      </c>
      <c r="CP2" s="44"/>
    </row>
    <row r="3" spans="1:227" s="36" customFormat="1">
      <c r="A3" s="36">
        <v>10565007</v>
      </c>
      <c r="B3" s="36" t="s">
        <v>30</v>
      </c>
      <c r="C3" s="37"/>
      <c r="D3" s="36" t="s">
        <v>19</v>
      </c>
      <c r="E3" s="38">
        <v>45322</v>
      </c>
      <c r="F3" s="36" t="s">
        <v>24</v>
      </c>
      <c r="G3" s="36">
        <v>3503534059</v>
      </c>
      <c r="H3" s="36">
        <v>10</v>
      </c>
      <c r="I3" s="36" t="s">
        <v>31</v>
      </c>
      <c r="J3" s="36" t="s">
        <v>32</v>
      </c>
      <c r="K3" s="36">
        <v>228123</v>
      </c>
      <c r="L3" s="36" t="s">
        <v>176</v>
      </c>
      <c r="O3" s="36" t="s">
        <v>177</v>
      </c>
      <c r="P3" s="36" t="s">
        <v>178</v>
      </c>
      <c r="Q3" s="36" t="s">
        <v>185</v>
      </c>
      <c r="R3" s="36" t="s">
        <v>180</v>
      </c>
      <c r="S3" s="36" t="s">
        <v>181</v>
      </c>
      <c r="T3" s="36">
        <v>2024</v>
      </c>
      <c r="U3" s="36" t="s">
        <v>28</v>
      </c>
      <c r="V3" s="36">
        <v>1089</v>
      </c>
      <c r="W3" s="38">
        <v>45430</v>
      </c>
      <c r="X3" s="39">
        <v>45426</v>
      </c>
      <c r="BJ3" s="36">
        <v>24</v>
      </c>
      <c r="BL3" s="36">
        <v>54</v>
      </c>
      <c r="BN3" s="36">
        <v>66</v>
      </c>
      <c r="BP3" s="36">
        <v>54</v>
      </c>
      <c r="BR3" s="36">
        <v>30</v>
      </c>
      <c r="BT3" s="36">
        <v>18</v>
      </c>
      <c r="CE3" s="51"/>
      <c r="CF3" s="45">
        <v>246</v>
      </c>
      <c r="CG3" s="41">
        <v>6</v>
      </c>
      <c r="CH3" s="42" t="s">
        <v>182</v>
      </c>
      <c r="CI3" s="43" t="s">
        <v>28</v>
      </c>
      <c r="CJ3" s="36">
        <v>1089</v>
      </c>
      <c r="CK3" s="42" t="s">
        <v>183</v>
      </c>
      <c r="CL3" s="42">
        <v>350353405910</v>
      </c>
      <c r="CM3" s="42" t="s">
        <v>186</v>
      </c>
      <c r="CN3" s="39">
        <v>45426</v>
      </c>
      <c r="CO3" s="36">
        <v>53</v>
      </c>
      <c r="CP3" s="44"/>
    </row>
    <row r="4" spans="1:227" s="36" customFormat="1">
      <c r="A4" s="36">
        <v>10565010</v>
      </c>
      <c r="B4" s="36" t="s">
        <v>35</v>
      </c>
      <c r="C4" s="37"/>
      <c r="D4" s="36" t="s">
        <v>19</v>
      </c>
      <c r="E4" s="38">
        <v>45322</v>
      </c>
      <c r="F4" s="36" t="s">
        <v>24</v>
      </c>
      <c r="G4" s="36">
        <v>3503534060</v>
      </c>
      <c r="H4" s="46">
        <v>20</v>
      </c>
      <c r="I4" s="36" t="s">
        <v>36</v>
      </c>
      <c r="J4" s="36" t="s">
        <v>37</v>
      </c>
      <c r="K4" s="36">
        <v>228123</v>
      </c>
      <c r="L4" s="36" t="s">
        <v>176</v>
      </c>
      <c r="O4" s="36" t="s">
        <v>177</v>
      </c>
      <c r="P4" s="36" t="s">
        <v>187</v>
      </c>
      <c r="Q4" s="36" t="s">
        <v>188</v>
      </c>
      <c r="R4" s="36" t="s">
        <v>187</v>
      </c>
      <c r="S4" s="36" t="s">
        <v>181</v>
      </c>
      <c r="T4" s="36">
        <v>2024</v>
      </c>
      <c r="U4" s="36" t="s">
        <v>28</v>
      </c>
      <c r="V4" s="36">
        <v>1089</v>
      </c>
      <c r="W4" s="38">
        <v>45416</v>
      </c>
      <c r="X4" s="39">
        <v>45412</v>
      </c>
      <c r="BH4" s="36">
        <v>6</v>
      </c>
      <c r="BI4" s="36">
        <v>6</v>
      </c>
      <c r="BJ4" s="36">
        <v>18</v>
      </c>
      <c r="BK4" s="36">
        <v>12</v>
      </c>
      <c r="BL4" s="36">
        <v>30</v>
      </c>
      <c r="BM4" s="36">
        <v>12</v>
      </c>
      <c r="BN4" s="36">
        <v>30</v>
      </c>
      <c r="BO4" s="36">
        <v>6</v>
      </c>
      <c r="BP4" s="36">
        <v>36</v>
      </c>
      <c r="BR4" s="36">
        <v>84</v>
      </c>
      <c r="BT4" s="36">
        <v>84</v>
      </c>
      <c r="BV4" s="36">
        <v>54</v>
      </c>
      <c r="BX4" s="36">
        <v>30</v>
      </c>
      <c r="BZ4" s="36">
        <v>18</v>
      </c>
      <c r="CE4" s="51"/>
      <c r="CF4" s="45">
        <v>426</v>
      </c>
      <c r="CG4" s="41" t="s">
        <v>189</v>
      </c>
      <c r="CH4" s="42" t="s">
        <v>182</v>
      </c>
      <c r="CI4" s="43" t="s">
        <v>28</v>
      </c>
      <c r="CJ4" s="36">
        <v>1089</v>
      </c>
      <c r="CK4" s="42" t="s">
        <v>183</v>
      </c>
      <c r="CL4" s="42">
        <v>350353406020</v>
      </c>
      <c r="CM4" s="42" t="s">
        <v>190</v>
      </c>
      <c r="CN4" s="39">
        <v>45412</v>
      </c>
      <c r="CO4" s="36">
        <v>53</v>
      </c>
      <c r="CP4" s="44"/>
    </row>
    <row r="5" spans="1:227" s="36" customFormat="1">
      <c r="A5" s="36">
        <v>10565005</v>
      </c>
      <c r="B5" s="36" t="s">
        <v>40</v>
      </c>
      <c r="C5" s="37"/>
      <c r="D5" s="47" t="s">
        <v>19</v>
      </c>
      <c r="E5" s="38">
        <v>45322</v>
      </c>
      <c r="F5" s="36" t="s">
        <v>24</v>
      </c>
      <c r="G5" s="36">
        <v>3503534058</v>
      </c>
      <c r="H5" s="36">
        <v>30</v>
      </c>
      <c r="I5" s="47" t="s">
        <v>41</v>
      </c>
      <c r="J5" s="47" t="s">
        <v>42</v>
      </c>
      <c r="K5" s="36">
        <v>228141</v>
      </c>
      <c r="L5" s="36" t="s">
        <v>191</v>
      </c>
      <c r="M5" s="47"/>
      <c r="N5" s="47"/>
      <c r="O5" s="47" t="s">
        <v>192</v>
      </c>
      <c r="P5" s="47" t="s">
        <v>193</v>
      </c>
      <c r="Q5" s="47" t="s">
        <v>194</v>
      </c>
      <c r="R5" s="47" t="s">
        <v>195</v>
      </c>
      <c r="S5" s="47" t="s">
        <v>181</v>
      </c>
      <c r="T5" s="47">
        <v>2024</v>
      </c>
      <c r="U5" s="47" t="s">
        <v>28</v>
      </c>
      <c r="V5" s="47">
        <v>1089</v>
      </c>
      <c r="W5" s="48">
        <v>45437</v>
      </c>
      <c r="X5" s="39">
        <v>45434</v>
      </c>
      <c r="Z5" s="47"/>
      <c r="AB5" s="47"/>
      <c r="AD5" s="47"/>
      <c r="AE5" s="47"/>
      <c r="AG5" s="47"/>
      <c r="AI5" s="47"/>
      <c r="BM5" s="36">
        <v>36</v>
      </c>
      <c r="BO5" s="36">
        <v>54</v>
      </c>
      <c r="BQ5" s="36">
        <v>60</v>
      </c>
      <c r="BS5" s="36">
        <v>42</v>
      </c>
      <c r="BU5" s="36">
        <v>6</v>
      </c>
      <c r="CE5" s="51"/>
      <c r="CF5" s="40">
        <v>198</v>
      </c>
      <c r="CG5" s="41" t="s">
        <v>189</v>
      </c>
      <c r="CH5" s="42" t="s">
        <v>196</v>
      </c>
      <c r="CI5" s="43" t="s">
        <v>28</v>
      </c>
      <c r="CJ5" s="36">
        <v>1089</v>
      </c>
      <c r="CK5" s="42" t="s">
        <v>183</v>
      </c>
      <c r="CL5" s="42">
        <v>350353405830</v>
      </c>
      <c r="CM5" s="42" t="s">
        <v>197</v>
      </c>
      <c r="CN5" s="39">
        <v>45434</v>
      </c>
      <c r="CO5" s="36">
        <v>53</v>
      </c>
      <c r="CP5" s="44"/>
    </row>
    <row r="6" spans="1:227" s="36" customFormat="1">
      <c r="A6" s="36">
        <v>10565003</v>
      </c>
      <c r="B6" s="36" t="s">
        <v>40</v>
      </c>
      <c r="C6" s="37"/>
      <c r="D6" s="47" t="s">
        <v>19</v>
      </c>
      <c r="E6" s="38">
        <v>45322</v>
      </c>
      <c r="F6" s="36" t="s">
        <v>24</v>
      </c>
      <c r="G6" s="36">
        <v>3503534058</v>
      </c>
      <c r="H6" s="46">
        <v>10</v>
      </c>
      <c r="I6" s="47" t="s">
        <v>41</v>
      </c>
      <c r="J6" s="47" t="s">
        <v>42</v>
      </c>
      <c r="K6" s="36">
        <v>228141</v>
      </c>
      <c r="L6" s="36" t="s">
        <v>191</v>
      </c>
      <c r="M6" s="47"/>
      <c r="N6" s="47"/>
      <c r="O6" s="47" t="s">
        <v>192</v>
      </c>
      <c r="P6" s="47" t="s">
        <v>193</v>
      </c>
      <c r="Q6" s="47" t="s">
        <v>194</v>
      </c>
      <c r="R6" s="47" t="s">
        <v>195</v>
      </c>
      <c r="S6" s="47" t="s">
        <v>181</v>
      </c>
      <c r="T6" s="47">
        <v>2024</v>
      </c>
      <c r="U6" s="47" t="s">
        <v>28</v>
      </c>
      <c r="V6" s="36">
        <v>1089</v>
      </c>
      <c r="W6" s="48">
        <v>45444</v>
      </c>
      <c r="X6" s="39">
        <v>45443</v>
      </c>
      <c r="Y6" s="47"/>
      <c r="Z6" s="47"/>
      <c r="AB6" s="47"/>
      <c r="AD6" s="47"/>
      <c r="AE6" s="47"/>
      <c r="AF6" s="47"/>
      <c r="AG6" s="47"/>
      <c r="AI6" s="47"/>
      <c r="BK6" s="36">
        <v>54</v>
      </c>
      <c r="BM6" s="36">
        <v>108</v>
      </c>
      <c r="BO6" s="36">
        <v>162</v>
      </c>
      <c r="BQ6" s="36">
        <v>168</v>
      </c>
      <c r="BS6" s="36">
        <v>96</v>
      </c>
      <c r="BU6" s="36">
        <v>48</v>
      </c>
      <c r="CE6" s="51"/>
      <c r="CF6" s="40">
        <v>636</v>
      </c>
      <c r="CG6" s="41">
        <v>6</v>
      </c>
      <c r="CH6" s="42" t="s">
        <v>196</v>
      </c>
      <c r="CI6" s="43" t="s">
        <v>28</v>
      </c>
      <c r="CJ6" s="36">
        <v>1089</v>
      </c>
      <c r="CK6" s="42" t="s">
        <v>183</v>
      </c>
      <c r="CL6" s="42">
        <v>350353405810</v>
      </c>
      <c r="CM6" s="42" t="s">
        <v>198</v>
      </c>
      <c r="CN6" s="39">
        <v>45443</v>
      </c>
      <c r="CO6" s="36">
        <v>53</v>
      </c>
      <c r="CP6" s="44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</row>
    <row r="7" spans="1:227" s="36" customFormat="1">
      <c r="A7" s="36">
        <v>10565004</v>
      </c>
      <c r="B7" s="36" t="s">
        <v>40</v>
      </c>
      <c r="C7" s="37"/>
      <c r="D7" s="36" t="s">
        <v>19</v>
      </c>
      <c r="E7" s="38">
        <v>45322</v>
      </c>
      <c r="F7" s="36" t="s">
        <v>24</v>
      </c>
      <c r="G7" s="36">
        <v>3503534058</v>
      </c>
      <c r="H7" s="36">
        <v>20</v>
      </c>
      <c r="I7" s="36" t="s">
        <v>41</v>
      </c>
      <c r="J7" s="36" t="s">
        <v>42</v>
      </c>
      <c r="K7" s="36">
        <v>228141</v>
      </c>
      <c r="L7" s="36" t="s">
        <v>191</v>
      </c>
      <c r="O7" s="36" t="s">
        <v>192</v>
      </c>
      <c r="P7" s="36" t="s">
        <v>193</v>
      </c>
      <c r="Q7" s="36" t="s">
        <v>194</v>
      </c>
      <c r="R7" s="36" t="s">
        <v>195</v>
      </c>
      <c r="S7" s="36" t="s">
        <v>181</v>
      </c>
      <c r="T7" s="36">
        <v>2024</v>
      </c>
      <c r="U7" s="36" t="s">
        <v>28</v>
      </c>
      <c r="V7" s="36">
        <v>1089</v>
      </c>
      <c r="W7" s="38">
        <v>45458</v>
      </c>
      <c r="X7" s="39">
        <v>45454</v>
      </c>
      <c r="BK7" s="36">
        <v>12</v>
      </c>
      <c r="BM7" s="36">
        <v>36</v>
      </c>
      <c r="BO7" s="36">
        <v>60</v>
      </c>
      <c r="BQ7" s="36">
        <v>66</v>
      </c>
      <c r="BS7" s="36">
        <v>36</v>
      </c>
      <c r="BU7" s="36">
        <v>12</v>
      </c>
      <c r="BW7" s="36">
        <v>6</v>
      </c>
      <c r="CE7" s="51"/>
      <c r="CF7" s="40">
        <v>228</v>
      </c>
      <c r="CG7" s="41">
        <v>8</v>
      </c>
      <c r="CH7" s="42" t="s">
        <v>196</v>
      </c>
      <c r="CI7" s="43" t="s">
        <v>28</v>
      </c>
      <c r="CJ7" s="36">
        <v>1089</v>
      </c>
      <c r="CK7" s="42" t="s">
        <v>183</v>
      </c>
      <c r="CL7" s="42">
        <v>350353405820</v>
      </c>
      <c r="CM7" s="42" t="s">
        <v>199</v>
      </c>
      <c r="CN7" s="39">
        <v>45454</v>
      </c>
      <c r="CO7" s="36">
        <v>53</v>
      </c>
      <c r="CP7" s="44"/>
    </row>
    <row r="8" spans="1:227" s="36" customFormat="1">
      <c r="A8" s="36">
        <v>10565006</v>
      </c>
      <c r="B8" s="36" t="s">
        <v>40</v>
      </c>
      <c r="C8" s="37"/>
      <c r="D8" s="47" t="s">
        <v>19</v>
      </c>
      <c r="E8" s="38">
        <v>45322</v>
      </c>
      <c r="F8" s="36" t="s">
        <v>24</v>
      </c>
      <c r="G8" s="36">
        <v>3503534058</v>
      </c>
      <c r="H8" s="36">
        <v>40</v>
      </c>
      <c r="I8" s="47" t="s">
        <v>41</v>
      </c>
      <c r="J8" s="47" t="s">
        <v>42</v>
      </c>
      <c r="K8" s="36">
        <v>228141</v>
      </c>
      <c r="L8" s="36" t="s">
        <v>191</v>
      </c>
      <c r="M8" s="47"/>
      <c r="N8" s="47"/>
      <c r="O8" s="47" t="s">
        <v>192</v>
      </c>
      <c r="P8" s="47" t="s">
        <v>193</v>
      </c>
      <c r="Q8" s="47" t="s">
        <v>194</v>
      </c>
      <c r="R8" s="47" t="s">
        <v>195</v>
      </c>
      <c r="S8" s="47" t="s">
        <v>181</v>
      </c>
      <c r="T8" s="47">
        <v>2024</v>
      </c>
      <c r="U8" s="47" t="s">
        <v>28</v>
      </c>
      <c r="V8" s="47">
        <v>1089</v>
      </c>
      <c r="W8" s="48">
        <v>45472</v>
      </c>
      <c r="X8" s="39">
        <v>45468</v>
      </c>
      <c r="Y8" s="47"/>
      <c r="Z8" s="47"/>
      <c r="AB8" s="47"/>
      <c r="AD8" s="47"/>
      <c r="AE8" s="47"/>
      <c r="AF8" s="47"/>
      <c r="AG8" s="47"/>
      <c r="AI8" s="47"/>
      <c r="BK8" s="36">
        <v>12</v>
      </c>
      <c r="BM8" s="36">
        <v>30</v>
      </c>
      <c r="BO8" s="36">
        <v>42</v>
      </c>
      <c r="BQ8" s="36">
        <v>48</v>
      </c>
      <c r="BS8" s="36">
        <v>30</v>
      </c>
      <c r="BU8" s="36">
        <v>12</v>
      </c>
      <c r="CE8" s="51"/>
      <c r="CF8" s="40">
        <v>174</v>
      </c>
      <c r="CG8" s="41">
        <v>14</v>
      </c>
      <c r="CH8" s="42" t="s">
        <v>196</v>
      </c>
      <c r="CI8" s="43" t="s">
        <v>28</v>
      </c>
      <c r="CJ8" s="36">
        <v>1089</v>
      </c>
      <c r="CK8" s="42" t="s">
        <v>183</v>
      </c>
      <c r="CL8" s="42">
        <v>350353405840</v>
      </c>
      <c r="CM8" s="42" t="s">
        <v>200</v>
      </c>
      <c r="CN8" s="39">
        <v>45468</v>
      </c>
      <c r="CO8" s="36">
        <v>53</v>
      </c>
      <c r="CP8" s="44"/>
    </row>
    <row r="9" spans="1:227" s="36" customFormat="1">
      <c r="A9" s="36">
        <v>10565117</v>
      </c>
      <c r="B9" s="36" t="s">
        <v>46</v>
      </c>
      <c r="C9" s="37"/>
      <c r="D9" s="36" t="s">
        <v>44</v>
      </c>
      <c r="E9" s="38">
        <v>45322</v>
      </c>
      <c r="F9" s="36" t="s">
        <v>24</v>
      </c>
      <c r="G9" s="36">
        <v>3503537703</v>
      </c>
      <c r="H9" s="36">
        <v>20</v>
      </c>
      <c r="I9" s="36" t="s">
        <v>47</v>
      </c>
      <c r="J9" s="36" t="s">
        <v>48</v>
      </c>
      <c r="K9" s="36">
        <v>232266</v>
      </c>
      <c r="L9" s="36" t="s">
        <v>201</v>
      </c>
      <c r="M9" s="36">
        <v>246736</v>
      </c>
      <c r="N9" s="36" t="s">
        <v>202</v>
      </c>
      <c r="O9" s="36" t="s">
        <v>192</v>
      </c>
      <c r="P9" s="36" t="s">
        <v>203</v>
      </c>
      <c r="Q9" s="36" t="s">
        <v>204</v>
      </c>
      <c r="R9" s="36" t="s">
        <v>203</v>
      </c>
      <c r="S9" s="36" t="s">
        <v>181</v>
      </c>
      <c r="T9" s="36">
        <v>2024</v>
      </c>
      <c r="U9" s="36" t="s">
        <v>28</v>
      </c>
      <c r="V9" s="36">
        <v>1089</v>
      </c>
      <c r="W9" s="38">
        <v>45416</v>
      </c>
      <c r="X9" s="39">
        <v>45415</v>
      </c>
      <c r="BI9" s="36">
        <v>6</v>
      </c>
      <c r="BK9" s="36">
        <v>48</v>
      </c>
      <c r="BM9" s="36">
        <v>108</v>
      </c>
      <c r="BO9" s="36">
        <v>114</v>
      </c>
      <c r="BQ9" s="36">
        <v>96</v>
      </c>
      <c r="BS9" s="36">
        <v>84</v>
      </c>
      <c r="BU9" s="36">
        <v>66</v>
      </c>
      <c r="CE9" s="51"/>
      <c r="CF9" s="49">
        <v>522</v>
      </c>
      <c r="CG9" s="41" t="str">
        <f t="shared" ref="CG9:CG10" si="0">IF(I8=I9,CG8+1,"1")</f>
        <v>1</v>
      </c>
      <c r="CH9" s="42" t="s">
        <v>205</v>
      </c>
      <c r="CI9" s="43" t="s">
        <v>28</v>
      </c>
      <c r="CJ9" s="36">
        <v>1089</v>
      </c>
      <c r="CK9" s="42" t="s">
        <v>183</v>
      </c>
      <c r="CL9" s="42">
        <v>350353770320</v>
      </c>
      <c r="CM9" s="42" t="s">
        <v>206</v>
      </c>
      <c r="CN9" s="39">
        <v>45415</v>
      </c>
      <c r="CO9" s="36">
        <v>53</v>
      </c>
    </row>
    <row r="10" spans="1:227" s="36" customFormat="1">
      <c r="A10" s="36">
        <v>10565118</v>
      </c>
      <c r="B10" s="36" t="s">
        <v>51</v>
      </c>
      <c r="C10" s="37"/>
      <c r="D10" s="36" t="s">
        <v>44</v>
      </c>
      <c r="E10" s="38">
        <v>45322</v>
      </c>
      <c r="F10" s="36" t="s">
        <v>24</v>
      </c>
      <c r="G10" s="36">
        <v>3503537703</v>
      </c>
      <c r="H10" s="36">
        <v>30</v>
      </c>
      <c r="I10" s="36" t="s">
        <v>52</v>
      </c>
      <c r="J10" s="36" t="s">
        <v>48</v>
      </c>
      <c r="K10" s="36">
        <v>232266</v>
      </c>
      <c r="L10" s="36" t="s">
        <v>201</v>
      </c>
      <c r="M10" s="36">
        <v>246736</v>
      </c>
      <c r="N10" s="36" t="s">
        <v>202</v>
      </c>
      <c r="O10" s="36" t="s">
        <v>192</v>
      </c>
      <c r="P10" s="36" t="s">
        <v>203</v>
      </c>
      <c r="Q10" s="36" t="s">
        <v>207</v>
      </c>
      <c r="R10" s="36" t="s">
        <v>203</v>
      </c>
      <c r="S10" s="36" t="s">
        <v>181</v>
      </c>
      <c r="T10" s="36">
        <v>2024</v>
      </c>
      <c r="U10" s="36" t="s">
        <v>28</v>
      </c>
      <c r="V10" s="36">
        <v>1089</v>
      </c>
      <c r="W10" s="38">
        <v>45423</v>
      </c>
      <c r="X10" s="39">
        <v>45420</v>
      </c>
      <c r="BI10" s="36">
        <v>6</v>
      </c>
      <c r="BK10" s="36">
        <v>24</v>
      </c>
      <c r="BM10" s="36">
        <v>60</v>
      </c>
      <c r="BO10" s="36">
        <v>60</v>
      </c>
      <c r="BQ10" s="36">
        <v>54</v>
      </c>
      <c r="BS10" s="36">
        <v>42</v>
      </c>
      <c r="BU10" s="36">
        <v>30</v>
      </c>
      <c r="CE10" s="51"/>
      <c r="CF10" s="45">
        <v>276</v>
      </c>
      <c r="CG10" s="41" t="str">
        <f t="shared" si="0"/>
        <v>1</v>
      </c>
      <c r="CH10" s="42" t="s">
        <v>205</v>
      </c>
      <c r="CI10" s="43" t="s">
        <v>28</v>
      </c>
      <c r="CJ10" s="36">
        <v>1089</v>
      </c>
      <c r="CK10" s="42" t="s">
        <v>183</v>
      </c>
      <c r="CL10" s="42">
        <v>350353770330</v>
      </c>
      <c r="CM10" s="42" t="s">
        <v>208</v>
      </c>
      <c r="CN10" s="39">
        <v>45420</v>
      </c>
      <c r="CO10" s="36">
        <v>53</v>
      </c>
      <c r="CP10" s="44"/>
    </row>
    <row r="11" spans="1:227" s="36" customFormat="1">
      <c r="A11" s="36">
        <v>10565123</v>
      </c>
      <c r="B11" s="36" t="s">
        <v>53</v>
      </c>
      <c r="C11" s="37"/>
      <c r="D11" s="36" t="s">
        <v>44</v>
      </c>
      <c r="E11" s="38">
        <v>45322</v>
      </c>
      <c r="F11" s="36" t="s">
        <v>24</v>
      </c>
      <c r="G11" s="36">
        <v>3503537703</v>
      </c>
      <c r="H11" s="36">
        <v>80</v>
      </c>
      <c r="I11" s="36" t="s">
        <v>54</v>
      </c>
      <c r="J11" s="36" t="s">
        <v>55</v>
      </c>
      <c r="K11" s="36">
        <v>232266</v>
      </c>
      <c r="L11" s="36" t="s">
        <v>201</v>
      </c>
      <c r="M11" s="36">
        <v>246736</v>
      </c>
      <c r="N11" s="36" t="s">
        <v>202</v>
      </c>
      <c r="O11" s="36" t="s">
        <v>192</v>
      </c>
      <c r="P11" s="36" t="s">
        <v>203</v>
      </c>
      <c r="Q11" s="36" t="s">
        <v>209</v>
      </c>
      <c r="R11" s="36" t="s">
        <v>203</v>
      </c>
      <c r="S11" s="36" t="s">
        <v>181</v>
      </c>
      <c r="T11" s="36">
        <v>2024</v>
      </c>
      <c r="U11" s="36" t="s">
        <v>28</v>
      </c>
      <c r="V11" s="36">
        <v>1089</v>
      </c>
      <c r="W11" s="38">
        <v>45409</v>
      </c>
      <c r="X11" s="39">
        <v>45406</v>
      </c>
      <c r="BK11" s="36">
        <v>6</v>
      </c>
      <c r="BM11" s="36">
        <v>18</v>
      </c>
      <c r="BO11" s="36">
        <v>36</v>
      </c>
      <c r="BQ11" s="36">
        <v>36</v>
      </c>
      <c r="BS11" s="36">
        <v>24</v>
      </c>
      <c r="BU11" s="36">
        <v>12</v>
      </c>
      <c r="CE11" s="51"/>
      <c r="CF11" s="45">
        <v>132</v>
      </c>
      <c r="CG11" s="41">
        <v>2</v>
      </c>
      <c r="CH11" s="42" t="s">
        <v>205</v>
      </c>
      <c r="CI11" s="43" t="s">
        <v>28</v>
      </c>
      <c r="CJ11" s="36">
        <v>1089</v>
      </c>
      <c r="CK11" s="42" t="s">
        <v>183</v>
      </c>
      <c r="CL11" s="42">
        <v>350353770380</v>
      </c>
      <c r="CM11" s="42" t="s">
        <v>210</v>
      </c>
      <c r="CN11" s="39">
        <v>45406</v>
      </c>
      <c r="CO11" s="36">
        <v>53</v>
      </c>
      <c r="CP11" s="44"/>
    </row>
    <row r="12" spans="1:227" s="36" customFormat="1">
      <c r="A12" s="36">
        <v>10565119</v>
      </c>
      <c r="B12" s="36" t="s">
        <v>53</v>
      </c>
      <c r="C12" s="37"/>
      <c r="D12" s="36" t="s">
        <v>44</v>
      </c>
      <c r="E12" s="38">
        <v>45322</v>
      </c>
      <c r="F12" s="36" t="s">
        <v>24</v>
      </c>
      <c r="G12" s="36">
        <v>3503537703</v>
      </c>
      <c r="H12" s="46">
        <v>40</v>
      </c>
      <c r="I12" s="36" t="s">
        <v>54</v>
      </c>
      <c r="J12" s="36" t="s">
        <v>55</v>
      </c>
      <c r="K12" s="36">
        <v>232266</v>
      </c>
      <c r="L12" s="36" t="s">
        <v>201</v>
      </c>
      <c r="M12" s="36">
        <v>246736</v>
      </c>
      <c r="N12" s="36" t="s">
        <v>202</v>
      </c>
      <c r="O12" s="36" t="s">
        <v>192</v>
      </c>
      <c r="P12" s="36" t="s">
        <v>203</v>
      </c>
      <c r="Q12" s="36" t="s">
        <v>209</v>
      </c>
      <c r="R12" s="36" t="s">
        <v>203</v>
      </c>
      <c r="S12" s="36" t="s">
        <v>181</v>
      </c>
      <c r="T12" s="36">
        <v>2024</v>
      </c>
      <c r="U12" s="36" t="s">
        <v>28</v>
      </c>
      <c r="V12" s="36">
        <v>1089</v>
      </c>
      <c r="W12" s="38">
        <v>45451</v>
      </c>
      <c r="X12" s="39">
        <v>45448</v>
      </c>
      <c r="BK12" s="36">
        <v>18</v>
      </c>
      <c r="BM12" s="36">
        <v>48</v>
      </c>
      <c r="BO12" s="36">
        <v>54</v>
      </c>
      <c r="BQ12" s="36">
        <v>42</v>
      </c>
      <c r="BS12" s="36">
        <v>30</v>
      </c>
      <c r="BU12" s="36">
        <v>30</v>
      </c>
      <c r="CE12" s="51"/>
      <c r="CF12" s="45">
        <v>222</v>
      </c>
      <c r="CG12" s="41">
        <v>21</v>
      </c>
      <c r="CH12" s="42" t="s">
        <v>205</v>
      </c>
      <c r="CI12" s="43" t="s">
        <v>28</v>
      </c>
      <c r="CJ12" s="36">
        <v>1089</v>
      </c>
      <c r="CK12" s="42" t="s">
        <v>183</v>
      </c>
      <c r="CL12" s="42">
        <v>350353770340</v>
      </c>
      <c r="CM12" s="42" t="s">
        <v>211</v>
      </c>
      <c r="CN12" s="39">
        <v>45448</v>
      </c>
      <c r="CO12" s="36">
        <v>53</v>
      </c>
      <c r="CP12" s="44"/>
    </row>
    <row r="13" spans="1:227" s="36" customFormat="1">
      <c r="A13" s="36">
        <v>10565122</v>
      </c>
      <c r="B13" s="36" t="s">
        <v>57</v>
      </c>
      <c r="C13" s="37"/>
      <c r="D13" s="36" t="s">
        <v>44</v>
      </c>
      <c r="E13" s="38">
        <v>45322</v>
      </c>
      <c r="F13" s="36" t="s">
        <v>24</v>
      </c>
      <c r="G13" s="36">
        <v>3503537703</v>
      </c>
      <c r="H13" s="36">
        <v>70</v>
      </c>
      <c r="I13" s="36" t="s">
        <v>58</v>
      </c>
      <c r="J13" s="36" t="s">
        <v>55</v>
      </c>
      <c r="K13" s="36">
        <v>232266</v>
      </c>
      <c r="L13" s="36" t="s">
        <v>201</v>
      </c>
      <c r="M13" s="36">
        <v>246736</v>
      </c>
      <c r="N13" s="36" t="s">
        <v>202</v>
      </c>
      <c r="O13" s="36" t="s">
        <v>192</v>
      </c>
      <c r="P13" s="36" t="s">
        <v>203</v>
      </c>
      <c r="Q13" s="36" t="s">
        <v>212</v>
      </c>
      <c r="R13" s="36" t="s">
        <v>203</v>
      </c>
      <c r="S13" s="36" t="s">
        <v>181</v>
      </c>
      <c r="T13" s="36">
        <v>2024</v>
      </c>
      <c r="U13" s="36" t="s">
        <v>28</v>
      </c>
      <c r="V13" s="36">
        <v>1089</v>
      </c>
      <c r="W13" s="38">
        <v>45409</v>
      </c>
      <c r="X13" s="39">
        <v>45407</v>
      </c>
      <c r="BI13" s="36">
        <v>6</v>
      </c>
      <c r="BK13" s="36">
        <v>12</v>
      </c>
      <c r="BM13" s="36">
        <v>42</v>
      </c>
      <c r="BO13" s="36">
        <v>48</v>
      </c>
      <c r="BQ13" s="36">
        <v>42</v>
      </c>
      <c r="BS13" s="36">
        <v>24</v>
      </c>
      <c r="BU13" s="36">
        <v>24</v>
      </c>
      <c r="CE13" s="51"/>
      <c r="CF13" s="45">
        <v>198</v>
      </c>
      <c r="CG13" s="41">
        <v>3</v>
      </c>
      <c r="CH13" s="42" t="s">
        <v>205</v>
      </c>
      <c r="CI13" s="43" t="s">
        <v>28</v>
      </c>
      <c r="CJ13" s="36">
        <v>1089</v>
      </c>
      <c r="CK13" s="42" t="s">
        <v>183</v>
      </c>
      <c r="CL13" s="42">
        <v>350353770370</v>
      </c>
      <c r="CM13" s="42" t="s">
        <v>213</v>
      </c>
      <c r="CN13" s="39">
        <v>45407</v>
      </c>
      <c r="CO13" s="36">
        <v>53</v>
      </c>
      <c r="CP13" s="44"/>
    </row>
    <row r="14" spans="1:227" s="36" customFormat="1">
      <c r="A14" s="36">
        <v>10565120</v>
      </c>
      <c r="B14" s="36" t="s">
        <v>57</v>
      </c>
      <c r="C14" s="37"/>
      <c r="D14" s="36" t="s">
        <v>44</v>
      </c>
      <c r="E14" s="38">
        <v>45322</v>
      </c>
      <c r="F14" s="36" t="s">
        <v>24</v>
      </c>
      <c r="G14" s="36">
        <v>3503537703</v>
      </c>
      <c r="H14" s="36">
        <v>50</v>
      </c>
      <c r="I14" s="36" t="s">
        <v>58</v>
      </c>
      <c r="J14" s="36" t="s">
        <v>55</v>
      </c>
      <c r="K14" s="36">
        <v>232266</v>
      </c>
      <c r="L14" s="36" t="s">
        <v>201</v>
      </c>
      <c r="M14" s="36">
        <v>246736</v>
      </c>
      <c r="N14" s="36" t="s">
        <v>202</v>
      </c>
      <c r="O14" s="36" t="s">
        <v>192</v>
      </c>
      <c r="P14" s="36" t="s">
        <v>203</v>
      </c>
      <c r="Q14" s="36" t="s">
        <v>212</v>
      </c>
      <c r="R14" s="36" t="s">
        <v>203</v>
      </c>
      <c r="S14" s="36" t="s">
        <v>181</v>
      </c>
      <c r="T14" s="36">
        <v>2024</v>
      </c>
      <c r="U14" s="36" t="s">
        <v>28</v>
      </c>
      <c r="V14" s="36">
        <v>1089</v>
      </c>
      <c r="W14" s="38">
        <v>45430</v>
      </c>
      <c r="X14" s="39">
        <v>45429</v>
      </c>
      <c r="BI14" s="36">
        <v>6</v>
      </c>
      <c r="BK14" s="36">
        <v>18</v>
      </c>
      <c r="BM14" s="36">
        <v>48</v>
      </c>
      <c r="BO14" s="36">
        <v>60</v>
      </c>
      <c r="BQ14" s="36">
        <v>54</v>
      </c>
      <c r="BS14" s="36">
        <v>36</v>
      </c>
      <c r="BU14" s="36">
        <v>24</v>
      </c>
      <c r="CE14" s="51"/>
      <c r="CF14" s="40">
        <v>246</v>
      </c>
      <c r="CG14" s="41">
        <v>14</v>
      </c>
      <c r="CH14" s="42" t="s">
        <v>205</v>
      </c>
      <c r="CI14" s="43" t="s">
        <v>28</v>
      </c>
      <c r="CJ14" s="36">
        <v>1089</v>
      </c>
      <c r="CK14" s="42" t="s">
        <v>183</v>
      </c>
      <c r="CL14" s="42">
        <v>350353770350</v>
      </c>
      <c r="CM14" s="42" t="s">
        <v>214</v>
      </c>
      <c r="CN14" s="39">
        <v>45429</v>
      </c>
      <c r="CO14" s="36">
        <v>53</v>
      </c>
      <c r="CP14" s="44"/>
    </row>
    <row r="15" spans="1:227" s="36" customFormat="1">
      <c r="A15" s="36">
        <v>10565116</v>
      </c>
      <c r="B15" s="36" t="s">
        <v>59</v>
      </c>
      <c r="C15" s="37"/>
      <c r="D15" s="36" t="s">
        <v>44</v>
      </c>
      <c r="E15" s="38">
        <v>45322</v>
      </c>
      <c r="F15" s="36" t="s">
        <v>24</v>
      </c>
      <c r="G15" s="36">
        <v>3503537703</v>
      </c>
      <c r="H15" s="46">
        <v>10</v>
      </c>
      <c r="I15" s="36" t="s">
        <v>60</v>
      </c>
      <c r="J15" s="36" t="s">
        <v>55</v>
      </c>
      <c r="K15" s="36">
        <v>232266</v>
      </c>
      <c r="L15" s="36" t="s">
        <v>201</v>
      </c>
      <c r="M15" s="36">
        <v>246736</v>
      </c>
      <c r="N15" s="36" t="s">
        <v>202</v>
      </c>
      <c r="O15" s="36" t="s">
        <v>192</v>
      </c>
      <c r="P15" s="36" t="s">
        <v>203</v>
      </c>
      <c r="Q15" s="36" t="s">
        <v>215</v>
      </c>
      <c r="R15" s="36" t="s">
        <v>203</v>
      </c>
      <c r="S15" s="36" t="s">
        <v>181</v>
      </c>
      <c r="T15" s="36">
        <v>2024</v>
      </c>
      <c r="U15" s="36" t="s">
        <v>28</v>
      </c>
      <c r="V15" s="36">
        <v>1089</v>
      </c>
      <c r="W15" s="38">
        <v>45409</v>
      </c>
      <c r="X15" s="39">
        <v>45407</v>
      </c>
      <c r="BK15" s="36">
        <v>6</v>
      </c>
      <c r="BM15" s="36">
        <v>18</v>
      </c>
      <c r="BO15" s="36">
        <v>36</v>
      </c>
      <c r="BQ15" s="36">
        <v>42</v>
      </c>
      <c r="BS15" s="36">
        <v>18</v>
      </c>
      <c r="BU15" s="36">
        <v>12</v>
      </c>
      <c r="CF15" s="40">
        <v>132</v>
      </c>
      <c r="CG15" s="41" t="str">
        <f t="shared" ref="CG15" si="1">IF(I14=I15,CG14+1,"1")</f>
        <v>1</v>
      </c>
      <c r="CH15" s="42" t="s">
        <v>205</v>
      </c>
      <c r="CI15" s="43" t="s">
        <v>28</v>
      </c>
      <c r="CJ15" s="36">
        <v>1089</v>
      </c>
      <c r="CK15" s="42" t="s">
        <v>183</v>
      </c>
      <c r="CL15" s="42">
        <v>350353770310</v>
      </c>
      <c r="CM15" s="42" t="s">
        <v>242</v>
      </c>
      <c r="CN15" s="39">
        <v>45407</v>
      </c>
      <c r="CO15" s="36">
        <v>53</v>
      </c>
      <c r="HS15" s="43"/>
    </row>
    <row r="16" spans="1:227" s="36" customFormat="1">
      <c r="A16" s="36">
        <v>10565121</v>
      </c>
      <c r="B16" s="36" t="s">
        <v>59</v>
      </c>
      <c r="C16" s="37"/>
      <c r="D16" s="36" t="s">
        <v>44</v>
      </c>
      <c r="E16" s="38">
        <v>45322</v>
      </c>
      <c r="F16" s="36" t="s">
        <v>24</v>
      </c>
      <c r="G16" s="36">
        <v>3503537703</v>
      </c>
      <c r="H16" s="36">
        <v>60</v>
      </c>
      <c r="I16" s="36" t="s">
        <v>60</v>
      </c>
      <c r="J16" s="36" t="s">
        <v>55</v>
      </c>
      <c r="K16" s="36">
        <v>232266</v>
      </c>
      <c r="L16" s="36" t="s">
        <v>201</v>
      </c>
      <c r="M16" s="36">
        <v>246736</v>
      </c>
      <c r="N16" s="36" t="s">
        <v>202</v>
      </c>
      <c r="O16" s="36" t="s">
        <v>192</v>
      </c>
      <c r="P16" s="36" t="s">
        <v>203</v>
      </c>
      <c r="Q16" s="36" t="s">
        <v>215</v>
      </c>
      <c r="R16" s="36" t="s">
        <v>203</v>
      </c>
      <c r="S16" s="36" t="s">
        <v>181</v>
      </c>
      <c r="T16" s="36">
        <v>2024</v>
      </c>
      <c r="U16" s="36" t="s">
        <v>28</v>
      </c>
      <c r="V16" s="36">
        <v>1089</v>
      </c>
      <c r="W16" s="38">
        <v>45416</v>
      </c>
      <c r="X16" s="39">
        <v>45416</v>
      </c>
      <c r="BI16" s="36">
        <v>6</v>
      </c>
      <c r="BK16" s="36">
        <v>24</v>
      </c>
      <c r="BM16" s="36">
        <v>48</v>
      </c>
      <c r="BO16" s="36">
        <v>60</v>
      </c>
      <c r="BQ16" s="36">
        <v>48</v>
      </c>
      <c r="BS16" s="36">
        <v>36</v>
      </c>
      <c r="BU16" s="36">
        <v>30</v>
      </c>
      <c r="CE16" s="51"/>
      <c r="CF16" s="45">
        <v>252</v>
      </c>
      <c r="CG16" s="41">
        <v>8</v>
      </c>
      <c r="CH16" s="42" t="s">
        <v>205</v>
      </c>
      <c r="CI16" s="43" t="s">
        <v>28</v>
      </c>
      <c r="CJ16" s="36">
        <v>1089</v>
      </c>
      <c r="CK16" s="42" t="s">
        <v>183</v>
      </c>
      <c r="CL16" s="42">
        <v>350353770360</v>
      </c>
      <c r="CM16" s="42" t="s">
        <v>216</v>
      </c>
      <c r="CN16" s="39">
        <v>45416</v>
      </c>
      <c r="CO16" s="36">
        <v>53</v>
      </c>
      <c r="CP16" s="44"/>
    </row>
    <row r="17" spans="1:227" s="36" customFormat="1">
      <c r="A17" s="36">
        <v>10565013</v>
      </c>
      <c r="B17" s="36" t="s">
        <v>62</v>
      </c>
      <c r="C17" s="37"/>
      <c r="D17" s="36" t="s">
        <v>19</v>
      </c>
      <c r="E17" s="38">
        <v>45322</v>
      </c>
      <c r="F17" s="36" t="s">
        <v>24</v>
      </c>
      <c r="G17" s="36">
        <v>3503534061</v>
      </c>
      <c r="H17" s="46">
        <v>30</v>
      </c>
      <c r="I17" s="36" t="s">
        <v>63</v>
      </c>
      <c r="J17" s="36" t="s">
        <v>64</v>
      </c>
      <c r="K17" s="36">
        <v>228104</v>
      </c>
      <c r="L17" s="36" t="s">
        <v>217</v>
      </c>
      <c r="O17" s="36" t="s">
        <v>192</v>
      </c>
      <c r="P17" s="36" t="s">
        <v>218</v>
      </c>
      <c r="Q17" s="36" t="s">
        <v>219</v>
      </c>
      <c r="R17" s="36" t="s">
        <v>220</v>
      </c>
      <c r="S17" s="36" t="s">
        <v>181</v>
      </c>
      <c r="T17" s="36">
        <v>2024</v>
      </c>
      <c r="U17" s="36" t="s">
        <v>28</v>
      </c>
      <c r="V17" s="36">
        <v>1089</v>
      </c>
      <c r="W17" s="38">
        <v>45423</v>
      </c>
      <c r="X17" s="39">
        <v>45420</v>
      </c>
      <c r="BI17" s="36">
        <v>6</v>
      </c>
      <c r="BK17" s="36">
        <v>30</v>
      </c>
      <c r="BL17" s="36">
        <v>6</v>
      </c>
      <c r="BM17" s="36">
        <v>60</v>
      </c>
      <c r="BN17" s="36">
        <v>6</v>
      </c>
      <c r="BO17" s="36">
        <v>84</v>
      </c>
      <c r="BQ17" s="36">
        <v>84</v>
      </c>
      <c r="BS17" s="36">
        <v>54</v>
      </c>
      <c r="BU17" s="36">
        <v>30</v>
      </c>
      <c r="CE17" s="51"/>
      <c r="CF17" s="40">
        <v>360</v>
      </c>
      <c r="CG17" s="41" t="s">
        <v>189</v>
      </c>
      <c r="CH17" s="42" t="s">
        <v>221</v>
      </c>
      <c r="CI17" s="43" t="s">
        <v>28</v>
      </c>
      <c r="CJ17" s="36">
        <v>1089</v>
      </c>
      <c r="CK17" s="42" t="s">
        <v>183</v>
      </c>
      <c r="CL17" s="42">
        <v>350353406130</v>
      </c>
      <c r="CM17" s="42" t="s">
        <v>222</v>
      </c>
      <c r="CN17" s="39">
        <v>45420</v>
      </c>
      <c r="CO17" s="36">
        <v>53</v>
      </c>
      <c r="CP17" s="44"/>
    </row>
    <row r="18" spans="1:227" s="36" customFormat="1">
      <c r="A18" s="36">
        <v>10565012</v>
      </c>
      <c r="B18" s="36" t="s">
        <v>62</v>
      </c>
      <c r="C18" s="37"/>
      <c r="D18" s="47" t="s">
        <v>19</v>
      </c>
      <c r="E18" s="38">
        <v>45322</v>
      </c>
      <c r="F18" s="36" t="s">
        <v>24</v>
      </c>
      <c r="G18" s="36">
        <v>3503534061</v>
      </c>
      <c r="H18" s="36">
        <v>20</v>
      </c>
      <c r="I18" s="47" t="s">
        <v>63</v>
      </c>
      <c r="J18" s="47" t="s">
        <v>64</v>
      </c>
      <c r="K18" s="36">
        <v>228104</v>
      </c>
      <c r="L18" s="36" t="s">
        <v>217</v>
      </c>
      <c r="M18" s="47"/>
      <c r="N18" s="47"/>
      <c r="O18" s="47" t="s">
        <v>192</v>
      </c>
      <c r="P18" s="47" t="s">
        <v>218</v>
      </c>
      <c r="Q18" s="47" t="s">
        <v>219</v>
      </c>
      <c r="R18" s="47" t="s">
        <v>220</v>
      </c>
      <c r="S18" s="47" t="s">
        <v>181</v>
      </c>
      <c r="T18" s="47">
        <v>2024</v>
      </c>
      <c r="U18" s="47" t="s">
        <v>28</v>
      </c>
      <c r="V18" s="47">
        <v>1089</v>
      </c>
      <c r="W18" s="48">
        <v>45430</v>
      </c>
      <c r="X18" s="39">
        <v>45427</v>
      </c>
      <c r="Y18" s="47"/>
      <c r="Z18" s="47"/>
      <c r="AB18" s="47"/>
      <c r="AD18" s="47"/>
      <c r="AE18" s="47"/>
      <c r="AF18" s="47"/>
      <c r="AG18" s="47"/>
      <c r="AI18" s="47"/>
      <c r="BK18" s="36">
        <v>24</v>
      </c>
      <c r="BM18" s="36">
        <v>36</v>
      </c>
      <c r="BO18" s="36">
        <v>48</v>
      </c>
      <c r="BQ18" s="36">
        <v>42</v>
      </c>
      <c r="BS18" s="36">
        <v>24</v>
      </c>
      <c r="BU18" s="36">
        <v>18</v>
      </c>
      <c r="CE18" s="51"/>
      <c r="CF18" s="40">
        <v>192</v>
      </c>
      <c r="CG18" s="41">
        <v>9</v>
      </c>
      <c r="CH18" s="42" t="s">
        <v>221</v>
      </c>
      <c r="CI18" s="43" t="s">
        <v>28</v>
      </c>
      <c r="CJ18" s="36">
        <v>1089</v>
      </c>
      <c r="CK18" s="42" t="s">
        <v>183</v>
      </c>
      <c r="CL18" s="42">
        <v>350353406120</v>
      </c>
      <c r="CM18" s="42" t="s">
        <v>223</v>
      </c>
      <c r="CN18" s="39">
        <v>45427</v>
      </c>
      <c r="CO18" s="36">
        <v>53</v>
      </c>
      <c r="CP18" s="44"/>
    </row>
    <row r="19" spans="1:227" s="36" customFormat="1">
      <c r="A19" s="36">
        <v>10565011</v>
      </c>
      <c r="B19" s="36" t="s">
        <v>66</v>
      </c>
      <c r="C19" s="37"/>
      <c r="D19" s="36" t="s">
        <v>19</v>
      </c>
      <c r="E19" s="38">
        <v>45322</v>
      </c>
      <c r="F19" s="36" t="s">
        <v>24</v>
      </c>
      <c r="G19" s="36">
        <v>3503534061</v>
      </c>
      <c r="H19" s="36">
        <v>10</v>
      </c>
      <c r="I19" s="36" t="s">
        <v>67</v>
      </c>
      <c r="J19" s="36" t="s">
        <v>64</v>
      </c>
      <c r="K19" s="36">
        <v>228104</v>
      </c>
      <c r="L19" s="36" t="s">
        <v>217</v>
      </c>
      <c r="O19" s="36" t="s">
        <v>192</v>
      </c>
      <c r="P19" s="36" t="s">
        <v>218</v>
      </c>
      <c r="Q19" s="36" t="s">
        <v>224</v>
      </c>
      <c r="R19" s="36" t="s">
        <v>220</v>
      </c>
      <c r="S19" s="36" t="s">
        <v>181</v>
      </c>
      <c r="T19" s="36">
        <v>2024</v>
      </c>
      <c r="U19" s="36" t="s">
        <v>28</v>
      </c>
      <c r="V19" s="36">
        <v>1089</v>
      </c>
      <c r="W19" s="38">
        <v>45423</v>
      </c>
      <c r="X19" s="39">
        <v>45420</v>
      </c>
      <c r="BK19" s="36">
        <v>54</v>
      </c>
      <c r="BM19" s="36">
        <v>150</v>
      </c>
      <c r="BO19" s="36">
        <v>210</v>
      </c>
      <c r="BQ19" s="36">
        <v>156</v>
      </c>
      <c r="BS19" s="36">
        <v>180</v>
      </c>
      <c r="BU19" s="36">
        <v>84</v>
      </c>
      <c r="BW19" s="36">
        <v>18</v>
      </c>
      <c r="CE19" s="51"/>
      <c r="CF19" s="45">
        <v>852</v>
      </c>
      <c r="CG19" s="41" t="str">
        <f t="shared" ref="CG19" si="2">IF(I18=I19,CG18+1,"1")</f>
        <v>1</v>
      </c>
      <c r="CH19" s="42" t="s">
        <v>221</v>
      </c>
      <c r="CI19" s="43" t="s">
        <v>28</v>
      </c>
      <c r="CJ19" s="36">
        <v>1089</v>
      </c>
      <c r="CK19" s="42" t="s">
        <v>183</v>
      </c>
      <c r="CL19" s="42">
        <v>350353406110</v>
      </c>
      <c r="CM19" s="42" t="s">
        <v>225</v>
      </c>
      <c r="CN19" s="39">
        <v>45420</v>
      </c>
      <c r="CO19" s="36">
        <v>53</v>
      </c>
      <c r="CP19" s="44"/>
    </row>
    <row r="20" spans="1:227" s="36" customFormat="1">
      <c r="A20" s="36">
        <v>10565015</v>
      </c>
      <c r="B20" s="36" t="s">
        <v>68</v>
      </c>
      <c r="C20" s="37"/>
      <c r="D20" s="36" t="s">
        <v>19</v>
      </c>
      <c r="E20" s="38">
        <v>45322</v>
      </c>
      <c r="F20" s="36" t="s">
        <v>24</v>
      </c>
      <c r="G20" s="36">
        <v>3503534063</v>
      </c>
      <c r="H20" s="36">
        <v>10</v>
      </c>
      <c r="I20" s="36" t="s">
        <v>69</v>
      </c>
      <c r="J20" s="36" t="s">
        <v>70</v>
      </c>
      <c r="K20" s="36">
        <v>228104</v>
      </c>
      <c r="L20" s="36" t="s">
        <v>217</v>
      </c>
      <c r="O20" s="36" t="s">
        <v>192</v>
      </c>
      <c r="P20" s="36" t="s">
        <v>218</v>
      </c>
      <c r="Q20" s="36" t="s">
        <v>219</v>
      </c>
      <c r="R20" s="36" t="s">
        <v>226</v>
      </c>
      <c r="S20" s="36" t="s">
        <v>181</v>
      </c>
      <c r="T20" s="36">
        <v>2024</v>
      </c>
      <c r="U20" s="36" t="s">
        <v>28</v>
      </c>
      <c r="V20" s="36">
        <v>1089</v>
      </c>
      <c r="W20" s="38">
        <v>45416</v>
      </c>
      <c r="X20" s="39">
        <v>45415</v>
      </c>
      <c r="BK20" s="36">
        <v>18</v>
      </c>
      <c r="BM20" s="36">
        <v>54</v>
      </c>
      <c r="BO20" s="36">
        <v>78</v>
      </c>
      <c r="BQ20" s="36">
        <v>60</v>
      </c>
      <c r="BS20" s="36">
        <v>72</v>
      </c>
      <c r="BU20" s="36">
        <v>30</v>
      </c>
      <c r="BW20" s="36">
        <v>6</v>
      </c>
      <c r="CE20" s="51"/>
      <c r="CF20" s="45">
        <v>318</v>
      </c>
      <c r="CG20" s="41" t="s">
        <v>189</v>
      </c>
      <c r="CH20" s="42" t="s">
        <v>227</v>
      </c>
      <c r="CI20" s="43" t="s">
        <v>28</v>
      </c>
      <c r="CJ20" s="36">
        <v>1089</v>
      </c>
      <c r="CK20" s="42" t="s">
        <v>183</v>
      </c>
      <c r="CL20" s="42">
        <v>350353406310</v>
      </c>
      <c r="CM20" s="42" t="s">
        <v>228</v>
      </c>
      <c r="CN20" s="39">
        <v>45415</v>
      </c>
      <c r="CO20" s="36">
        <v>53</v>
      </c>
      <c r="CP20" s="44"/>
    </row>
    <row r="21" spans="1:227" s="36" customFormat="1">
      <c r="A21" s="36">
        <v>10565016</v>
      </c>
      <c r="B21" s="36" t="s">
        <v>68</v>
      </c>
      <c r="C21" s="37"/>
      <c r="D21" s="36" t="s">
        <v>19</v>
      </c>
      <c r="E21" s="38">
        <v>45322</v>
      </c>
      <c r="F21" s="36" t="s">
        <v>24</v>
      </c>
      <c r="G21" s="36">
        <v>3503534063</v>
      </c>
      <c r="H21" s="36">
        <v>20</v>
      </c>
      <c r="I21" s="36" t="s">
        <v>69</v>
      </c>
      <c r="J21" s="36" t="s">
        <v>70</v>
      </c>
      <c r="K21" s="36">
        <v>228104</v>
      </c>
      <c r="L21" s="36" t="s">
        <v>217</v>
      </c>
      <c r="O21" s="36" t="s">
        <v>192</v>
      </c>
      <c r="P21" s="36" t="s">
        <v>218</v>
      </c>
      <c r="Q21" s="36" t="s">
        <v>219</v>
      </c>
      <c r="R21" s="36" t="s">
        <v>226</v>
      </c>
      <c r="S21" s="36" t="s">
        <v>181</v>
      </c>
      <c r="T21" s="36">
        <v>2024</v>
      </c>
      <c r="U21" s="36" t="s">
        <v>28</v>
      </c>
      <c r="V21" s="36">
        <v>1089</v>
      </c>
      <c r="W21" s="38">
        <v>45451</v>
      </c>
      <c r="X21" s="39">
        <v>45448</v>
      </c>
      <c r="BK21" s="36">
        <v>12</v>
      </c>
      <c r="BM21" s="36">
        <v>42</v>
      </c>
      <c r="BO21" s="36">
        <v>60</v>
      </c>
      <c r="BQ21" s="36">
        <v>48</v>
      </c>
      <c r="BS21" s="36">
        <v>54</v>
      </c>
      <c r="BU21" s="36">
        <v>24</v>
      </c>
      <c r="BW21" s="36">
        <v>6</v>
      </c>
      <c r="CE21" s="51"/>
      <c r="CF21" s="45">
        <v>246</v>
      </c>
      <c r="CG21" s="41">
        <v>18</v>
      </c>
      <c r="CH21" s="42" t="s">
        <v>227</v>
      </c>
      <c r="CI21" s="43" t="s">
        <v>28</v>
      </c>
      <c r="CJ21" s="36">
        <v>1089</v>
      </c>
      <c r="CK21" s="42" t="s">
        <v>183</v>
      </c>
      <c r="CL21" s="42">
        <v>350353406320</v>
      </c>
      <c r="CM21" s="42" t="s">
        <v>229</v>
      </c>
      <c r="CN21" s="39">
        <v>45448</v>
      </c>
      <c r="CO21" s="36">
        <v>53</v>
      </c>
      <c r="CP21" s="44"/>
    </row>
    <row r="22" spans="1:227" s="36" customFormat="1">
      <c r="A22" s="36">
        <v>10565014</v>
      </c>
      <c r="B22" s="36" t="s">
        <v>74</v>
      </c>
      <c r="C22" s="37"/>
      <c r="D22" s="36" t="s">
        <v>19</v>
      </c>
      <c r="E22" s="38">
        <v>45322</v>
      </c>
      <c r="F22" s="36" t="s">
        <v>24</v>
      </c>
      <c r="G22" s="36">
        <v>3503534062</v>
      </c>
      <c r="H22" s="46">
        <v>10</v>
      </c>
      <c r="I22" s="36" t="s">
        <v>75</v>
      </c>
      <c r="J22" s="36" t="s">
        <v>76</v>
      </c>
      <c r="K22" s="36">
        <v>228104</v>
      </c>
      <c r="L22" s="36" t="s">
        <v>217</v>
      </c>
      <c r="O22" s="36" t="s">
        <v>192</v>
      </c>
      <c r="P22" s="36" t="s">
        <v>218</v>
      </c>
      <c r="Q22" s="36" t="s">
        <v>230</v>
      </c>
      <c r="R22" s="36" t="s">
        <v>220</v>
      </c>
      <c r="S22" s="36" t="s">
        <v>181</v>
      </c>
      <c r="T22" s="36">
        <v>2024</v>
      </c>
      <c r="U22" s="36" t="s">
        <v>28</v>
      </c>
      <c r="V22" s="36">
        <v>1089</v>
      </c>
      <c r="W22" s="38">
        <v>45416</v>
      </c>
      <c r="X22" s="39">
        <v>45415</v>
      </c>
      <c r="BK22" s="36">
        <v>36</v>
      </c>
      <c r="BM22" s="36">
        <v>126</v>
      </c>
      <c r="BO22" s="36">
        <v>174</v>
      </c>
      <c r="BQ22" s="36">
        <v>120</v>
      </c>
      <c r="BS22" s="36">
        <v>174</v>
      </c>
      <c r="BU22" s="36">
        <v>78</v>
      </c>
      <c r="BW22" s="36">
        <v>18</v>
      </c>
      <c r="CE22" s="51"/>
      <c r="CF22" s="45">
        <v>726</v>
      </c>
      <c r="CG22" s="41" t="str">
        <f t="shared" ref="CG22:CG25" si="3">IF(I21=I22,CG21+1,"1")</f>
        <v>1</v>
      </c>
      <c r="CH22" s="42" t="s">
        <v>231</v>
      </c>
      <c r="CI22" s="43" t="s">
        <v>28</v>
      </c>
      <c r="CJ22" s="36">
        <v>1089</v>
      </c>
      <c r="CK22" s="42" t="s">
        <v>183</v>
      </c>
      <c r="CL22" s="42">
        <v>350353406210</v>
      </c>
      <c r="CM22" s="42" t="s">
        <v>232</v>
      </c>
      <c r="CN22" s="39">
        <v>45415</v>
      </c>
      <c r="CO22" s="36">
        <v>53</v>
      </c>
      <c r="CP22" s="44"/>
    </row>
    <row r="23" spans="1:227" s="36" customFormat="1">
      <c r="A23" s="36">
        <v>10569666</v>
      </c>
      <c r="B23" s="36" t="s">
        <v>77</v>
      </c>
      <c r="C23" s="43" t="s">
        <v>233</v>
      </c>
      <c r="D23" s="36" t="s">
        <v>19</v>
      </c>
      <c r="E23" s="38">
        <v>45324</v>
      </c>
      <c r="F23" s="36" t="s">
        <v>24</v>
      </c>
      <c r="G23" s="36">
        <v>3503545397</v>
      </c>
      <c r="H23" s="36">
        <v>10</v>
      </c>
      <c r="I23" s="36" t="s">
        <v>78</v>
      </c>
      <c r="J23" s="36" t="s">
        <v>79</v>
      </c>
      <c r="K23" s="36">
        <v>228104</v>
      </c>
      <c r="L23" s="36" t="s">
        <v>217</v>
      </c>
      <c r="O23" s="36" t="s">
        <v>192</v>
      </c>
      <c r="P23" s="36" t="s">
        <v>218</v>
      </c>
      <c r="Q23" s="36" t="s">
        <v>230</v>
      </c>
      <c r="R23" s="36" t="s">
        <v>234</v>
      </c>
      <c r="S23" s="36" t="s">
        <v>181</v>
      </c>
      <c r="T23" s="36">
        <v>2024</v>
      </c>
      <c r="U23" s="36" t="s">
        <v>28</v>
      </c>
      <c r="V23" s="36">
        <v>1089</v>
      </c>
      <c r="W23" s="38">
        <v>45416</v>
      </c>
      <c r="X23" s="39">
        <v>45415</v>
      </c>
      <c r="BI23" s="36">
        <v>10</v>
      </c>
      <c r="BK23" s="36">
        <v>46</v>
      </c>
      <c r="BL23" s="36">
        <v>7</v>
      </c>
      <c r="BM23" s="36">
        <v>108</v>
      </c>
      <c r="BN23" s="36">
        <v>1</v>
      </c>
      <c r="BO23" s="36">
        <v>184</v>
      </c>
      <c r="BP23" s="36">
        <v>1</v>
      </c>
      <c r="BQ23" s="36">
        <v>174</v>
      </c>
      <c r="BR23" s="36">
        <v>1</v>
      </c>
      <c r="BS23" s="36">
        <v>114</v>
      </c>
      <c r="BU23" s="36">
        <v>48</v>
      </c>
      <c r="BW23" s="36">
        <v>14</v>
      </c>
      <c r="CE23" s="51"/>
      <c r="CF23" s="45">
        <v>708</v>
      </c>
      <c r="CG23" s="41" t="str">
        <f t="shared" si="3"/>
        <v>1</v>
      </c>
      <c r="CH23" s="42" t="s">
        <v>231</v>
      </c>
      <c r="CI23" s="43" t="s">
        <v>28</v>
      </c>
      <c r="CJ23" s="36">
        <v>1089</v>
      </c>
      <c r="CK23" s="42" t="s">
        <v>183</v>
      </c>
      <c r="CL23" s="42">
        <v>350354539710</v>
      </c>
      <c r="CM23" s="42" t="s">
        <v>235</v>
      </c>
      <c r="CN23" s="39">
        <v>45415</v>
      </c>
      <c r="CO23" s="36">
        <v>53</v>
      </c>
    </row>
    <row r="24" spans="1:227" s="43" customFormat="1">
      <c r="A24" s="36">
        <v>10564815</v>
      </c>
      <c r="B24" s="36" t="s">
        <v>82</v>
      </c>
      <c r="C24" s="37"/>
      <c r="D24" s="36" t="s">
        <v>19</v>
      </c>
      <c r="E24" s="38">
        <v>45322</v>
      </c>
      <c r="F24" s="36" t="s">
        <v>24</v>
      </c>
      <c r="G24" s="36">
        <v>3503534064</v>
      </c>
      <c r="H24" s="46">
        <v>10</v>
      </c>
      <c r="I24" s="36" t="s">
        <v>83</v>
      </c>
      <c r="J24" s="36" t="s">
        <v>84</v>
      </c>
      <c r="K24" s="36">
        <v>228095</v>
      </c>
      <c r="L24" s="36" t="s">
        <v>236</v>
      </c>
      <c r="M24" s="36"/>
      <c r="N24" s="36"/>
      <c r="O24" s="36" t="s">
        <v>177</v>
      </c>
      <c r="P24" s="36" t="s">
        <v>180</v>
      </c>
      <c r="Q24" s="36" t="s">
        <v>237</v>
      </c>
      <c r="R24" s="36" t="s">
        <v>180</v>
      </c>
      <c r="S24" s="36" t="s">
        <v>181</v>
      </c>
      <c r="T24" s="36">
        <v>2024</v>
      </c>
      <c r="U24" s="36" t="s">
        <v>28</v>
      </c>
      <c r="V24" s="36">
        <v>1089</v>
      </c>
      <c r="W24" s="38">
        <v>45437</v>
      </c>
      <c r="X24" s="39">
        <v>45433</v>
      </c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>
        <v>6</v>
      </c>
      <c r="BI24" s="36"/>
      <c r="BJ24" s="36">
        <v>36</v>
      </c>
      <c r="BK24" s="36"/>
      <c r="BL24" s="36">
        <v>66</v>
      </c>
      <c r="BM24" s="36"/>
      <c r="BN24" s="36">
        <v>60</v>
      </c>
      <c r="BO24" s="36"/>
      <c r="BP24" s="36">
        <v>48</v>
      </c>
      <c r="BQ24" s="36">
        <v>6</v>
      </c>
      <c r="BR24" s="36">
        <v>48</v>
      </c>
      <c r="BS24" s="36">
        <v>18</v>
      </c>
      <c r="BT24" s="36">
        <v>42</v>
      </c>
      <c r="BU24" s="36">
        <v>18</v>
      </c>
      <c r="BV24" s="36"/>
      <c r="BW24" s="36"/>
      <c r="BX24" s="36"/>
      <c r="BY24" s="36"/>
      <c r="BZ24" s="36"/>
      <c r="CA24" s="36"/>
      <c r="CB24" s="36"/>
      <c r="CC24" s="36"/>
      <c r="CD24" s="36"/>
      <c r="CE24" s="51"/>
      <c r="CF24" s="45">
        <v>348</v>
      </c>
      <c r="CG24" s="41" t="str">
        <f t="shared" si="3"/>
        <v>1</v>
      </c>
      <c r="CH24" s="42" t="s">
        <v>238</v>
      </c>
      <c r="CI24" s="43" t="s">
        <v>28</v>
      </c>
      <c r="CJ24" s="36">
        <v>1089</v>
      </c>
      <c r="CK24" s="42" t="s">
        <v>183</v>
      </c>
      <c r="CL24" s="42">
        <v>350353406410</v>
      </c>
      <c r="CM24" s="42" t="s">
        <v>239</v>
      </c>
      <c r="CN24" s="39">
        <v>45433</v>
      </c>
      <c r="CO24" s="36">
        <v>53</v>
      </c>
      <c r="CP24" s="44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</row>
    <row r="25" spans="1:227" s="43" customFormat="1">
      <c r="A25" s="36">
        <v>10565017</v>
      </c>
      <c r="B25" s="36" t="s">
        <v>86</v>
      </c>
      <c r="C25" s="37"/>
      <c r="D25" s="36" t="s">
        <v>19</v>
      </c>
      <c r="E25" s="38">
        <v>45322</v>
      </c>
      <c r="F25" s="36" t="s">
        <v>24</v>
      </c>
      <c r="G25" s="36">
        <v>3503534064</v>
      </c>
      <c r="H25" s="36">
        <v>20</v>
      </c>
      <c r="I25" s="36" t="s">
        <v>87</v>
      </c>
      <c r="J25" s="36" t="s">
        <v>84</v>
      </c>
      <c r="K25" s="36">
        <v>228095</v>
      </c>
      <c r="L25" s="36" t="s">
        <v>236</v>
      </c>
      <c r="M25" s="36"/>
      <c r="N25" s="36"/>
      <c r="O25" s="36" t="s">
        <v>177</v>
      </c>
      <c r="P25" s="36" t="s">
        <v>180</v>
      </c>
      <c r="Q25" s="36" t="s">
        <v>240</v>
      </c>
      <c r="R25" s="36" t="s">
        <v>180</v>
      </c>
      <c r="S25" s="36" t="s">
        <v>181</v>
      </c>
      <c r="T25" s="36">
        <v>2024</v>
      </c>
      <c r="U25" s="36" t="s">
        <v>28</v>
      </c>
      <c r="V25" s="36">
        <v>1089</v>
      </c>
      <c r="W25" s="38">
        <v>45430</v>
      </c>
      <c r="X25" s="39">
        <v>45426</v>
      </c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>
        <v>12</v>
      </c>
      <c r="BI25" s="36"/>
      <c r="BJ25" s="36">
        <v>60</v>
      </c>
      <c r="BK25" s="36"/>
      <c r="BL25" s="36">
        <v>138</v>
      </c>
      <c r="BM25" s="36"/>
      <c r="BN25" s="36">
        <v>144</v>
      </c>
      <c r="BO25" s="36"/>
      <c r="BP25" s="36">
        <v>66</v>
      </c>
      <c r="BQ25" s="36"/>
      <c r="BR25" s="36">
        <v>6</v>
      </c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51"/>
      <c r="CF25" s="45">
        <v>426</v>
      </c>
      <c r="CG25" s="41" t="str">
        <f t="shared" si="3"/>
        <v>1</v>
      </c>
      <c r="CH25" s="42" t="s">
        <v>238</v>
      </c>
      <c r="CI25" s="43" t="s">
        <v>28</v>
      </c>
      <c r="CJ25" s="36">
        <v>1089</v>
      </c>
      <c r="CK25" s="42" t="s">
        <v>183</v>
      </c>
      <c r="CL25" s="42">
        <v>350353406420</v>
      </c>
      <c r="CM25" s="42" t="s">
        <v>241</v>
      </c>
      <c r="CN25" s="39">
        <v>45426</v>
      </c>
      <c r="CO25" s="36">
        <v>53</v>
      </c>
      <c r="CP25" s="44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</row>
    <row r="27" spans="1:227">
      <c r="A27" s="36">
        <v>1</v>
      </c>
      <c r="B27" s="36">
        <v>2</v>
      </c>
      <c r="C27" s="36">
        <v>3</v>
      </c>
      <c r="D27" s="36">
        <v>4</v>
      </c>
      <c r="E27" s="36">
        <v>5</v>
      </c>
      <c r="F27" s="36">
        <v>6</v>
      </c>
      <c r="G27" s="36">
        <v>7</v>
      </c>
      <c r="H27" s="36">
        <v>8</v>
      </c>
      <c r="I27" s="36">
        <v>9</v>
      </c>
      <c r="J27" s="36">
        <v>10</v>
      </c>
      <c r="K27" s="36">
        <v>11</v>
      </c>
      <c r="L27" s="36">
        <v>12</v>
      </c>
      <c r="M27" s="36">
        <v>13</v>
      </c>
      <c r="N27" s="36">
        <v>14</v>
      </c>
      <c r="O27" s="36">
        <v>15</v>
      </c>
      <c r="P27" s="36">
        <v>16</v>
      </c>
      <c r="Q27" s="36">
        <v>17</v>
      </c>
      <c r="R27" s="36">
        <v>18</v>
      </c>
      <c r="S27" s="36">
        <v>19</v>
      </c>
      <c r="T27" s="36">
        <v>20</v>
      </c>
      <c r="U27" s="36">
        <v>21</v>
      </c>
      <c r="V27" s="36">
        <v>22</v>
      </c>
      <c r="W27" s="36">
        <v>23</v>
      </c>
      <c r="X27" s="36">
        <v>24</v>
      </c>
      <c r="Y27" s="36">
        <v>25</v>
      </c>
      <c r="Z27" s="36">
        <v>26</v>
      </c>
      <c r="AA27" s="36">
        <v>27</v>
      </c>
      <c r="AB27" s="36">
        <v>28</v>
      </c>
      <c r="AC27" s="36">
        <v>29</v>
      </c>
      <c r="AD27" s="36">
        <v>30</v>
      </c>
      <c r="AE27" s="36">
        <v>31</v>
      </c>
      <c r="AF27" s="36">
        <v>32</v>
      </c>
      <c r="AG27" s="36">
        <v>33</v>
      </c>
      <c r="AH27" s="36">
        <v>34</v>
      </c>
      <c r="AI27" s="36">
        <v>35</v>
      </c>
      <c r="AJ27" s="36">
        <v>36</v>
      </c>
      <c r="AK27" s="36">
        <v>37</v>
      </c>
      <c r="AL27" s="36">
        <v>38</v>
      </c>
      <c r="AM27" s="36">
        <v>39</v>
      </c>
      <c r="AN27" s="36">
        <v>40</v>
      </c>
      <c r="AO27" s="36">
        <v>41</v>
      </c>
      <c r="AP27" s="36">
        <v>42</v>
      </c>
      <c r="AQ27" s="36">
        <v>43</v>
      </c>
      <c r="AR27" s="36">
        <v>44</v>
      </c>
      <c r="AS27" s="36">
        <v>45</v>
      </c>
      <c r="AT27" s="36">
        <v>46</v>
      </c>
      <c r="AU27" s="36">
        <v>47</v>
      </c>
      <c r="AV27" s="36">
        <v>48</v>
      </c>
      <c r="AW27" s="36">
        <v>49</v>
      </c>
      <c r="AX27" s="36">
        <v>50</v>
      </c>
      <c r="AY27" s="36">
        <v>51</v>
      </c>
      <c r="AZ27" s="36">
        <v>52</v>
      </c>
      <c r="BA27" s="36">
        <v>53</v>
      </c>
      <c r="BB27" s="36">
        <v>54</v>
      </c>
      <c r="BC27" s="36">
        <v>55</v>
      </c>
      <c r="BD27" s="36">
        <v>56</v>
      </c>
      <c r="BE27" s="36">
        <v>57</v>
      </c>
      <c r="BF27" s="36">
        <v>58</v>
      </c>
      <c r="BG27" s="36">
        <v>59</v>
      </c>
      <c r="BH27" s="36">
        <v>60</v>
      </c>
      <c r="BI27" s="36">
        <v>61</v>
      </c>
      <c r="BJ27" s="36">
        <v>62</v>
      </c>
      <c r="BK27" s="36">
        <v>63</v>
      </c>
      <c r="BL27" s="36">
        <v>64</v>
      </c>
      <c r="BM27" s="36">
        <v>65</v>
      </c>
      <c r="BN27" s="36">
        <v>66</v>
      </c>
      <c r="BO27" s="36">
        <v>67</v>
      </c>
      <c r="BP27" s="36">
        <v>68</v>
      </c>
      <c r="BQ27" s="36">
        <v>69</v>
      </c>
      <c r="BR27" s="36">
        <v>70</v>
      </c>
      <c r="BS27" s="36">
        <v>71</v>
      </c>
      <c r="BT27" s="36">
        <v>72</v>
      </c>
      <c r="BU27" s="36">
        <v>73</v>
      </c>
      <c r="BV27" s="36">
        <v>74</v>
      </c>
      <c r="BW27" s="36">
        <v>75</v>
      </c>
      <c r="BX27" s="36">
        <v>76</v>
      </c>
      <c r="BY27" s="36">
        <v>77</v>
      </c>
      <c r="BZ27" s="36">
        <v>78</v>
      </c>
      <c r="CA27" s="36">
        <v>79</v>
      </c>
      <c r="CB27" s="36">
        <v>80</v>
      </c>
      <c r="CC27" s="36">
        <v>81</v>
      </c>
      <c r="CD27" s="36">
        <v>82</v>
      </c>
      <c r="CE27" s="36">
        <v>83</v>
      </c>
      <c r="CF27" s="36">
        <v>84</v>
      </c>
      <c r="CG27" s="36">
        <v>85</v>
      </c>
      <c r="CH27" s="36">
        <v>86</v>
      </c>
      <c r="CI27" s="36">
        <v>87</v>
      </c>
      <c r="CJ27" s="36">
        <v>88</v>
      </c>
      <c r="CK27" s="36">
        <v>89</v>
      </c>
      <c r="CL27" s="36">
        <v>90</v>
      </c>
      <c r="CM27" s="36">
        <v>91</v>
      </c>
      <c r="CN27" s="36">
        <v>92</v>
      </c>
      <c r="CO27" s="36">
        <v>93</v>
      </c>
      <c r="CP27" s="36">
        <v>94</v>
      </c>
    </row>
    <row r="28" spans="1:227">
      <c r="Y28">
        <v>1</v>
      </c>
      <c r="Z28">
        <v>2</v>
      </c>
      <c r="AA28">
        <v>3</v>
      </c>
      <c r="AB28">
        <v>4</v>
      </c>
      <c r="AC28">
        <v>5</v>
      </c>
      <c r="AD28">
        <v>6</v>
      </c>
      <c r="AE28">
        <v>7</v>
      </c>
      <c r="AF28">
        <v>8</v>
      </c>
      <c r="AG28">
        <v>9</v>
      </c>
      <c r="AH28">
        <v>10</v>
      </c>
      <c r="AI28">
        <v>11</v>
      </c>
      <c r="AJ28">
        <v>12</v>
      </c>
      <c r="AK28">
        <v>13</v>
      </c>
      <c r="AL28">
        <v>14</v>
      </c>
      <c r="AM28">
        <v>15</v>
      </c>
      <c r="AN28">
        <v>16</v>
      </c>
      <c r="AO28">
        <v>17</v>
      </c>
      <c r="AP28">
        <v>18</v>
      </c>
      <c r="AQ28">
        <v>19</v>
      </c>
      <c r="AR28">
        <v>20</v>
      </c>
      <c r="AS28">
        <v>21</v>
      </c>
      <c r="AT28">
        <v>22</v>
      </c>
      <c r="AU28">
        <v>23</v>
      </c>
      <c r="AV28">
        <v>24</v>
      </c>
      <c r="AW28">
        <v>25</v>
      </c>
      <c r="AX28">
        <v>26</v>
      </c>
      <c r="AY28">
        <v>27</v>
      </c>
      <c r="AZ28">
        <v>28</v>
      </c>
      <c r="BA28">
        <v>29</v>
      </c>
      <c r="BB28">
        <v>30</v>
      </c>
      <c r="BC28">
        <v>31</v>
      </c>
      <c r="BD28">
        <v>32</v>
      </c>
      <c r="BE28">
        <v>33</v>
      </c>
      <c r="BF28">
        <v>34</v>
      </c>
      <c r="BG28">
        <v>35</v>
      </c>
      <c r="BH28">
        <v>36</v>
      </c>
      <c r="BI28">
        <v>37</v>
      </c>
      <c r="BJ28">
        <v>38</v>
      </c>
      <c r="BK28">
        <v>39</v>
      </c>
      <c r="BL28">
        <v>40</v>
      </c>
      <c r="BM28">
        <v>41</v>
      </c>
      <c r="BN28">
        <v>42</v>
      </c>
      <c r="BO28">
        <v>43</v>
      </c>
      <c r="BP28">
        <v>44</v>
      </c>
      <c r="BQ28">
        <v>45</v>
      </c>
      <c r="BR28">
        <v>46</v>
      </c>
      <c r="BS28">
        <v>47</v>
      </c>
      <c r="BT28">
        <v>48</v>
      </c>
      <c r="BU28">
        <v>49</v>
      </c>
      <c r="BV28">
        <v>50</v>
      </c>
      <c r="BW28">
        <v>51</v>
      </c>
      <c r="BX28">
        <v>52</v>
      </c>
      <c r="BY28">
        <v>53</v>
      </c>
      <c r="BZ28">
        <v>54</v>
      </c>
      <c r="CA28">
        <v>55</v>
      </c>
      <c r="CB28">
        <v>56</v>
      </c>
      <c r="CC28">
        <v>57</v>
      </c>
      <c r="CD28">
        <v>58</v>
      </c>
      <c r="CE28">
        <v>59</v>
      </c>
    </row>
  </sheetData>
  <conditionalFormatting sqref="I1">
    <cfRule type="duplicateValues" dxfId="0" priority="1" stopIfTrue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MRP</vt:lpstr>
      <vt:lpstr>SIZE RUN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Nurdiana</dc:creator>
  <cp:lastModifiedBy>Quyen</cp:lastModifiedBy>
  <cp:lastPrinted>2024-03-07T01:21:24Z</cp:lastPrinted>
  <dcterms:created xsi:type="dcterms:W3CDTF">2024-02-29T07:25:36Z</dcterms:created>
  <dcterms:modified xsi:type="dcterms:W3CDTF">2024-06-04T03:38:32Z</dcterms:modified>
</cp:coreProperties>
</file>