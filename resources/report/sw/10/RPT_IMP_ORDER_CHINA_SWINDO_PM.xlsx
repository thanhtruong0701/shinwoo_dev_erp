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yen\Desktop\Mr.Yoo-system\PM\"/>
    </mc:Choice>
  </mc:AlternateContent>
  <bookViews>
    <workbookView xWindow="-120" yWindow="-120" windowWidth="21840" windowHeight="13140" tabRatio="793"/>
  </bookViews>
  <sheets>
    <sheet name="sizerun" sheetId="60" r:id="rId1"/>
    <sheet name="GBD 8-24 (MPO)" sheetId="58" r:id="rId2"/>
  </sheets>
  <definedNames>
    <definedName name="_xlnm._FilterDatabase" localSheetId="1" hidden="1">'GBD 8-24 (MPO)'!$A$2:$AN$4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60" l="1"/>
  <c r="AJ3" i="58"/>
  <c r="AI3" i="58"/>
  <c r="AF3" i="58"/>
  <c r="P3" i="58"/>
  <c r="M3" i="58"/>
</calcChain>
</file>

<file path=xl/sharedStrings.xml><?xml version="1.0" encoding="utf-8"?>
<sst xmlns="http://schemas.openxmlformats.org/spreadsheetml/2006/main" count="80" uniqueCount="75">
  <si>
    <t>PO#</t>
  </si>
  <si>
    <t>PO ITEM</t>
  </si>
  <si>
    <t>INVOICE No</t>
  </si>
  <si>
    <t>STYLE NO.</t>
  </si>
  <si>
    <t>STYLE NAME</t>
  </si>
  <si>
    <t>GENDER</t>
  </si>
  <si>
    <t>PLANT</t>
  </si>
  <si>
    <t>CUST</t>
  </si>
  <si>
    <t>ORI QTY</t>
  </si>
  <si>
    <t>GLOBAL BUY DATE</t>
  </si>
  <si>
    <t>Season</t>
  </si>
  <si>
    <t>Quarter</t>
  </si>
  <si>
    <t>BUS WK START DATE</t>
  </si>
  <si>
    <t>LW</t>
  </si>
  <si>
    <t>OGAC</t>
  </si>
  <si>
    <t>CGAC</t>
  </si>
  <si>
    <t>ACTUAL GAC</t>
  </si>
  <si>
    <t>ACTUAL X/F</t>
  </si>
  <si>
    <t>ORD</t>
  </si>
  <si>
    <t>CR Description</t>
  </si>
  <si>
    <t>CR Date</t>
  </si>
  <si>
    <t>Packing Way</t>
  </si>
  <si>
    <t>Packing Qty</t>
  </si>
  <si>
    <t>Delivery Mode</t>
  </si>
  <si>
    <t>Plant Name</t>
  </si>
  <si>
    <t xml:space="preserve"> LABEL NAME</t>
  </si>
  <si>
    <t>LABEL NO</t>
  </si>
  <si>
    <t>MSRP</t>
  </si>
  <si>
    <t>VAS COUNTRY</t>
  </si>
  <si>
    <t>OTHER</t>
  </si>
  <si>
    <t>Production Date (China/Taiwan/Korea/India)</t>
  </si>
  <si>
    <t>MCL COUNTRY</t>
  </si>
  <si>
    <t>UPDATE</t>
  </si>
  <si>
    <t>KEY 1 ( PO &amp; POI )</t>
  </si>
  <si>
    <t>KEY2 ( STYLE no + MCL COUNTRY+APPROVED+INLINE )</t>
  </si>
  <si>
    <t>SDD</t>
  </si>
  <si>
    <t>Season (System)</t>
  </si>
  <si>
    <t>Dest. Country</t>
  </si>
  <si>
    <t>-</t>
  </si>
  <si>
    <t>MENS</t>
  </si>
  <si>
    <t>S</t>
  </si>
  <si>
    <t>VL</t>
  </si>
  <si>
    <t>#</t>
  </si>
  <si>
    <t>China size sticker + Inner box Sticker</t>
  </si>
  <si>
    <t>CN</t>
  </si>
  <si>
    <t>China</t>
  </si>
  <si>
    <t>NIKE REVOLUTION 6 NN</t>
  </si>
  <si>
    <t>Q42022</t>
  </si>
  <si>
    <t>SP2023</t>
  </si>
  <si>
    <t>Nike China CLC 3rd building</t>
  </si>
  <si>
    <t>SU2023</t>
  </si>
  <si>
    <t>Update : Sept 8, 2022</t>
  </si>
  <si>
    <t>DC3728-003</t>
  </si>
  <si>
    <t>Additional MPO SU 23</t>
  </si>
  <si>
    <r>
      <t>MTZ Innerbox (</t>
    </r>
    <r>
      <rPr>
        <b/>
        <sz val="11"/>
        <rFont val="Calibri"/>
        <family val="2"/>
        <scheme val="minor"/>
      </rPr>
      <t>Tanpa</t>
    </r>
    <r>
      <rPr>
        <sz val="11"/>
        <rFont val="Calibri"/>
        <family val="2"/>
        <scheme val="minor"/>
      </rPr>
      <t xml:space="preserve"> Text) + White UPC</t>
    </r>
  </si>
  <si>
    <t>PM22112401</t>
  </si>
  <si>
    <t>4Y</t>
  </si>
  <si>
    <t>GAC</t>
  </si>
  <si>
    <t>3.5Y</t>
  </si>
  <si>
    <t>4.5Y</t>
  </si>
  <si>
    <t>5Y</t>
  </si>
  <si>
    <t>5.5Y</t>
  </si>
  <si>
    <t>6Y</t>
  </si>
  <si>
    <t>6.5Y</t>
  </si>
  <si>
    <t>7Y</t>
  </si>
  <si>
    <t>PO Number</t>
  </si>
  <si>
    <t>PO</t>
  </si>
  <si>
    <t>Material</t>
  </si>
  <si>
    <t>Gender Age</t>
  </si>
  <si>
    <t>OGAC Date</t>
  </si>
  <si>
    <t>RTA</t>
  </si>
  <si>
    <t>Total Qty</t>
  </si>
  <si>
    <t>PO Item</t>
  </si>
  <si>
    <t>PM2209-0140</t>
  </si>
  <si>
    <t>DIVERT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</si>
</sst>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;@"/>
    <numFmt numFmtId="165" formatCode="[$-F800]dddd\,\ mmmm\ dd\,\ yyyy"/>
    <numFmt numFmtId="166" formatCode="_(* #,##0.00_);_(* \(#,##0.00\);_(* \-??_);_(@_)"/>
    <numFmt numFmtId="167" formatCode="0.0"/>
    <numFmt numFmtId="168" formatCode="_-* #,##0.00_-;\-* #,##0.00_-;_-* \-??_-;_-@_-"/>
    <numFmt numFmtId="169" formatCode="_(* #,##0_);_(* \(#,##0\);_(* \-_);_(@_)"/>
    <numFmt numFmtId="170" formatCode="[$-409]d\-mmm;@"/>
  </numFmts>
  <fonts count="7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indexed="13"/>
      <name val="Calibri"/>
      <family val="2"/>
    </font>
    <font>
      <sz val="11"/>
      <color indexed="9"/>
      <name val="Calibri"/>
      <family val="2"/>
    </font>
    <font>
      <sz val="10"/>
      <color theme="0"/>
      <name val="Calibri"/>
      <family val="2"/>
      <scheme val="minor"/>
    </font>
    <font>
      <sz val="11"/>
      <color indexed="20"/>
      <name val="Calibri"/>
      <family val="2"/>
    </font>
    <font>
      <sz val="10"/>
      <color rgb="FF9C0006"/>
      <name val="Calibri"/>
      <family val="2"/>
      <scheme val="minor"/>
    </font>
    <font>
      <b/>
      <sz val="11"/>
      <color indexed="52"/>
      <name val="Calibri"/>
      <family val="2"/>
    </font>
    <font>
      <b/>
      <sz val="10"/>
      <color rgb="FFFA7D00"/>
      <name val="Calibri"/>
      <family val="2"/>
      <scheme val="minor"/>
    </font>
    <font>
      <b/>
      <sz val="11"/>
      <color indexed="9"/>
      <name val="Calibri"/>
      <family val="2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MS Sans Serif"/>
      <family val="2"/>
    </font>
    <font>
      <u/>
      <sz val="12"/>
      <color indexed="8"/>
      <name val="Arial"/>
      <family val="2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i/>
      <sz val="10"/>
      <color rgb="FF7F7F7F"/>
      <name val="Calibri"/>
      <family val="2"/>
      <scheme val="minor"/>
    </font>
    <font>
      <sz val="11"/>
      <color indexed="17"/>
      <name val="Calibri"/>
      <family val="2"/>
    </font>
    <font>
      <sz val="10"/>
      <color rgb="FF006100"/>
      <name val="Calibri"/>
      <family val="2"/>
      <scheme val="minor"/>
    </font>
    <font>
      <b/>
      <sz val="15"/>
      <color indexed="21"/>
      <name val="Calibri"/>
      <family val="2"/>
    </font>
    <font>
      <b/>
      <sz val="15"/>
      <color indexed="56"/>
      <name val="Calibri"/>
      <family val="2"/>
    </font>
    <font>
      <b/>
      <sz val="13"/>
      <color indexed="21"/>
      <name val="Calibri"/>
      <family val="2"/>
    </font>
    <font>
      <b/>
      <sz val="13"/>
      <color indexed="56"/>
      <name val="Calibri"/>
      <family val="2"/>
    </font>
    <font>
      <b/>
      <sz val="11"/>
      <color indexed="21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rgb="FF3F3F76"/>
      <name val="Calibri"/>
      <family val="2"/>
      <scheme val="minor"/>
    </font>
    <font>
      <sz val="11"/>
      <color indexed="52"/>
      <name val="Calibri"/>
      <family val="2"/>
    </font>
    <font>
      <sz val="10"/>
      <color rgb="FFFA7D00"/>
      <name val="Calibri"/>
      <family val="2"/>
      <scheme val="minor"/>
    </font>
    <font>
      <sz val="11"/>
      <color indexed="60"/>
      <name val="Calibri"/>
      <family val="2"/>
    </font>
    <font>
      <sz val="10"/>
      <color rgb="FF9C6500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</font>
    <font>
      <b/>
      <sz val="9"/>
      <color theme="1"/>
      <name val="Arial"/>
      <family val="2"/>
    </font>
    <font>
      <b/>
      <sz val="11"/>
      <color indexed="63"/>
      <name val="Calibri"/>
      <family val="2"/>
    </font>
    <font>
      <b/>
      <sz val="10"/>
      <color rgb="FF3F3F3F"/>
      <name val="Calibri"/>
      <family val="2"/>
      <scheme val="minor"/>
    </font>
    <font>
      <b/>
      <sz val="11"/>
      <color indexed="18"/>
      <name val="Tahoma"/>
      <family val="2"/>
    </font>
    <font>
      <b/>
      <sz val="18"/>
      <color indexed="21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13"/>
      <name val="Calibri"/>
      <family val="2"/>
    </font>
    <font>
      <sz val="11"/>
      <color indexed="10"/>
      <name val="Calibri"/>
      <family val="2"/>
    </font>
    <font>
      <sz val="10"/>
      <color rgb="FFFF0000"/>
      <name val="Calibri"/>
      <family val="2"/>
      <scheme val="minor"/>
    </font>
    <font>
      <sz val="11"/>
      <name val="돋움"/>
      <family val="3"/>
      <charset val="129"/>
    </font>
    <font>
      <sz val="12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46"/>
      </patternFill>
    </fill>
    <fill>
      <patternFill patternType="solid">
        <fgColor indexed="44"/>
        <bgColor indexed="3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27"/>
        <bgColor indexed="41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31"/>
      </patternFill>
    </fill>
    <fill>
      <patternFill patternType="solid">
        <fgColor indexed="46"/>
      </patternFill>
    </fill>
    <fill>
      <patternFill patternType="solid">
        <fgColor indexed="26"/>
        <bgColor indexed="9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48"/>
        <bgColor indexed="30"/>
      </patternFill>
    </fill>
    <fill>
      <patternFill patternType="solid">
        <fgColor indexed="30"/>
      </patternFill>
    </fill>
    <fill>
      <patternFill patternType="solid">
        <fgColor indexed="15"/>
        <bgColor indexed="35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13"/>
        <bgColor indexed="34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30"/>
      </top>
      <bottom style="double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6">
    <xf numFmtId="0" fontId="0" fillId="0" borderId="0"/>
    <xf numFmtId="0" fontId="20" fillId="0" borderId="0">
      <alignment vertical="center"/>
    </xf>
    <xf numFmtId="0" fontId="20" fillId="0" borderId="0">
      <alignment vertical="center"/>
    </xf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1" fillId="39" borderId="0" applyNumberFormat="0" applyBorder="0" applyAlignment="0" applyProtection="0"/>
    <xf numFmtId="0" fontId="22" fillId="16" borderId="0" applyNumberFormat="0" applyBorder="0" applyAlignment="0" applyProtection="0"/>
    <xf numFmtId="0" fontId="9" fillId="16" borderId="0" applyNumberFormat="0" applyBorder="0" applyAlignment="0" applyProtection="0"/>
    <xf numFmtId="0" fontId="22" fillId="16" borderId="0" applyNumberFormat="0" applyBorder="0" applyAlignment="0" applyProtection="0"/>
    <xf numFmtId="0" fontId="9" fillId="16" borderId="0" applyNumberFormat="0" applyBorder="0" applyAlignment="0" applyProtection="0"/>
    <xf numFmtId="0" fontId="22" fillId="16" borderId="0" applyNumberFormat="0" applyBorder="0" applyAlignment="0" applyProtection="0"/>
    <xf numFmtId="0" fontId="9" fillId="16" borderId="0" applyNumberFormat="0" applyBorder="0" applyAlignment="0" applyProtection="0"/>
    <xf numFmtId="0" fontId="22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2" fillId="16" borderId="0" applyNumberFormat="0" applyBorder="0" applyAlignment="0" applyProtection="0"/>
    <xf numFmtId="0" fontId="21" fillId="41" borderId="0" applyNumberFormat="0" applyBorder="0" applyAlignment="0" applyProtection="0"/>
    <xf numFmtId="0" fontId="21" fillId="39" borderId="0" applyNumberFormat="0" applyBorder="0" applyAlignment="0" applyProtection="0"/>
    <xf numFmtId="0" fontId="22" fillId="1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9" fillId="16" borderId="0" applyNumberFormat="0" applyBorder="0" applyAlignment="0" applyProtection="0"/>
    <xf numFmtId="0" fontId="21" fillId="39" borderId="0" applyNumberFormat="0" applyBorder="0" applyAlignment="0" applyProtection="0"/>
    <xf numFmtId="0" fontId="9" fillId="16" borderId="0" applyNumberFormat="0" applyBorder="0" applyAlignment="0" applyProtection="0"/>
    <xf numFmtId="0" fontId="21" fillId="39" borderId="0" applyNumberFormat="0" applyBorder="0" applyAlignment="0" applyProtection="0"/>
    <xf numFmtId="0" fontId="9" fillId="16" borderId="0" applyNumberFormat="0" applyBorder="0" applyAlignment="0" applyProtection="0"/>
    <xf numFmtId="0" fontId="21" fillId="39" borderId="0" applyNumberFormat="0" applyBorder="0" applyAlignment="0" applyProtection="0"/>
    <xf numFmtId="0" fontId="9" fillId="16" borderId="0" applyNumberFormat="0" applyBorder="0" applyAlignment="0" applyProtection="0"/>
    <xf numFmtId="0" fontId="21" fillId="39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42" borderId="0" applyNumberFormat="0" applyBorder="0" applyAlignment="0" applyProtection="0"/>
    <xf numFmtId="0" fontId="22" fillId="20" borderId="0" applyNumberFormat="0" applyBorder="0" applyAlignment="0" applyProtection="0"/>
    <xf numFmtId="0" fontId="9" fillId="20" borderId="0" applyNumberFormat="0" applyBorder="0" applyAlignment="0" applyProtection="0"/>
    <xf numFmtId="0" fontId="22" fillId="20" borderId="0" applyNumberFormat="0" applyBorder="0" applyAlignment="0" applyProtection="0"/>
    <xf numFmtId="0" fontId="9" fillId="20" borderId="0" applyNumberFormat="0" applyBorder="0" applyAlignment="0" applyProtection="0"/>
    <xf numFmtId="0" fontId="22" fillId="20" borderId="0" applyNumberFormat="0" applyBorder="0" applyAlignment="0" applyProtection="0"/>
    <xf numFmtId="0" fontId="9" fillId="20" borderId="0" applyNumberFormat="0" applyBorder="0" applyAlignment="0" applyProtection="0"/>
    <xf numFmtId="0" fontId="22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2" fillId="20" borderId="0" applyNumberFormat="0" applyBorder="0" applyAlignment="0" applyProtection="0"/>
    <xf numFmtId="0" fontId="21" fillId="44" borderId="0" applyNumberFormat="0" applyBorder="0" applyAlignment="0" applyProtection="0"/>
    <xf numFmtId="0" fontId="21" fillId="42" borderId="0" applyNumberFormat="0" applyBorder="0" applyAlignment="0" applyProtection="0"/>
    <xf numFmtId="0" fontId="22" fillId="20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2" fillId="20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9" fillId="20" borderId="0" applyNumberFormat="0" applyBorder="0" applyAlignment="0" applyProtection="0"/>
    <xf numFmtId="0" fontId="21" fillId="42" borderId="0" applyNumberFormat="0" applyBorder="0" applyAlignment="0" applyProtection="0"/>
    <xf numFmtId="0" fontId="9" fillId="20" borderId="0" applyNumberFormat="0" applyBorder="0" applyAlignment="0" applyProtection="0"/>
    <xf numFmtId="0" fontId="21" fillId="42" borderId="0" applyNumberFormat="0" applyBorder="0" applyAlignment="0" applyProtection="0"/>
    <xf numFmtId="0" fontId="9" fillId="20" borderId="0" applyNumberFormat="0" applyBorder="0" applyAlignment="0" applyProtection="0"/>
    <xf numFmtId="0" fontId="21" fillId="42" borderId="0" applyNumberFormat="0" applyBorder="0" applyAlignment="0" applyProtection="0"/>
    <xf numFmtId="0" fontId="9" fillId="20" borderId="0" applyNumberFormat="0" applyBorder="0" applyAlignment="0" applyProtection="0"/>
    <xf numFmtId="0" fontId="21" fillId="42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1" fillId="45" borderId="0" applyNumberFormat="0" applyBorder="0" applyAlignment="0" applyProtection="0"/>
    <xf numFmtId="0" fontId="22" fillId="24" borderId="0" applyNumberFormat="0" applyBorder="0" applyAlignment="0" applyProtection="0"/>
    <xf numFmtId="0" fontId="9" fillId="24" borderId="0" applyNumberFormat="0" applyBorder="0" applyAlignment="0" applyProtection="0"/>
    <xf numFmtId="0" fontId="22" fillId="24" borderId="0" applyNumberFormat="0" applyBorder="0" applyAlignment="0" applyProtection="0"/>
    <xf numFmtId="0" fontId="9" fillId="24" borderId="0" applyNumberFormat="0" applyBorder="0" applyAlignment="0" applyProtection="0"/>
    <xf numFmtId="0" fontId="22" fillId="24" borderId="0" applyNumberFormat="0" applyBorder="0" applyAlignment="0" applyProtection="0"/>
    <xf numFmtId="0" fontId="9" fillId="24" borderId="0" applyNumberFormat="0" applyBorder="0" applyAlignment="0" applyProtection="0"/>
    <xf numFmtId="0" fontId="22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2" fillId="24" borderId="0" applyNumberFormat="0" applyBorder="0" applyAlignment="0" applyProtection="0"/>
    <xf numFmtId="0" fontId="21" fillId="46" borderId="0" applyNumberFormat="0" applyBorder="0" applyAlignment="0" applyProtection="0"/>
    <xf numFmtId="0" fontId="21" fillId="45" borderId="0" applyNumberFormat="0" applyBorder="0" applyAlignment="0" applyProtection="0"/>
    <xf numFmtId="0" fontId="22" fillId="2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2" fillId="24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9" fillId="24" borderId="0" applyNumberFormat="0" applyBorder="0" applyAlignment="0" applyProtection="0"/>
    <xf numFmtId="0" fontId="21" fillId="45" borderId="0" applyNumberFormat="0" applyBorder="0" applyAlignment="0" applyProtection="0"/>
    <xf numFmtId="0" fontId="9" fillId="24" borderId="0" applyNumberFormat="0" applyBorder="0" applyAlignment="0" applyProtection="0"/>
    <xf numFmtId="0" fontId="21" fillId="45" borderId="0" applyNumberFormat="0" applyBorder="0" applyAlignment="0" applyProtection="0"/>
    <xf numFmtId="0" fontId="9" fillId="24" borderId="0" applyNumberFormat="0" applyBorder="0" applyAlignment="0" applyProtection="0"/>
    <xf numFmtId="0" fontId="21" fillId="45" borderId="0" applyNumberFormat="0" applyBorder="0" applyAlignment="0" applyProtection="0"/>
    <xf numFmtId="0" fontId="9" fillId="24" borderId="0" applyNumberFormat="0" applyBorder="0" applyAlignment="0" applyProtection="0"/>
    <xf numFmtId="0" fontId="21" fillId="45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1" fillId="47" borderId="0" applyNumberFormat="0" applyBorder="0" applyAlignment="0" applyProtection="0"/>
    <xf numFmtId="0" fontId="22" fillId="28" borderId="0" applyNumberFormat="0" applyBorder="0" applyAlignment="0" applyProtection="0"/>
    <xf numFmtId="0" fontId="9" fillId="28" borderId="0" applyNumberFormat="0" applyBorder="0" applyAlignment="0" applyProtection="0"/>
    <xf numFmtId="0" fontId="22" fillId="28" borderId="0" applyNumberFormat="0" applyBorder="0" applyAlignment="0" applyProtection="0"/>
    <xf numFmtId="0" fontId="9" fillId="28" borderId="0" applyNumberFormat="0" applyBorder="0" applyAlignment="0" applyProtection="0"/>
    <xf numFmtId="0" fontId="22" fillId="28" borderId="0" applyNumberFormat="0" applyBorder="0" applyAlignment="0" applyProtection="0"/>
    <xf numFmtId="0" fontId="9" fillId="28" borderId="0" applyNumberFormat="0" applyBorder="0" applyAlignment="0" applyProtection="0"/>
    <xf numFmtId="0" fontId="22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2" fillId="28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2" fillId="28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9" fillId="28" borderId="0" applyNumberFormat="0" applyBorder="0" applyAlignment="0" applyProtection="0"/>
    <xf numFmtId="0" fontId="21" fillId="47" borderId="0" applyNumberFormat="0" applyBorder="0" applyAlignment="0" applyProtection="0"/>
    <xf numFmtId="0" fontId="9" fillId="28" borderId="0" applyNumberFormat="0" applyBorder="0" applyAlignment="0" applyProtection="0"/>
    <xf numFmtId="0" fontId="21" fillId="47" borderId="0" applyNumberFormat="0" applyBorder="0" applyAlignment="0" applyProtection="0"/>
    <xf numFmtId="0" fontId="9" fillId="28" borderId="0" applyNumberFormat="0" applyBorder="0" applyAlignment="0" applyProtection="0"/>
    <xf numFmtId="0" fontId="21" fillId="47" borderId="0" applyNumberFormat="0" applyBorder="0" applyAlignment="0" applyProtection="0"/>
    <xf numFmtId="0" fontId="9" fillId="28" borderId="0" applyNumberFormat="0" applyBorder="0" applyAlignment="0" applyProtection="0"/>
    <xf numFmtId="0" fontId="21" fillId="4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1" fillId="43" borderId="0" applyNumberFormat="0" applyBorder="0" applyAlignment="0" applyProtection="0"/>
    <xf numFmtId="0" fontId="22" fillId="32" borderId="0" applyNumberFormat="0" applyBorder="0" applyAlignment="0" applyProtection="0"/>
    <xf numFmtId="0" fontId="9" fillId="32" borderId="0" applyNumberFormat="0" applyBorder="0" applyAlignment="0" applyProtection="0"/>
    <xf numFmtId="0" fontId="22" fillId="32" borderId="0" applyNumberFormat="0" applyBorder="0" applyAlignment="0" applyProtection="0"/>
    <xf numFmtId="0" fontId="9" fillId="32" borderId="0" applyNumberFormat="0" applyBorder="0" applyAlignment="0" applyProtection="0"/>
    <xf numFmtId="0" fontId="22" fillId="32" borderId="0" applyNumberFormat="0" applyBorder="0" applyAlignment="0" applyProtection="0"/>
    <xf numFmtId="0" fontId="9" fillId="32" borderId="0" applyNumberFormat="0" applyBorder="0" applyAlignment="0" applyProtection="0"/>
    <xf numFmtId="0" fontId="22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3" fillId="49" borderId="0" applyNumberFormat="0" applyBorder="0" applyProtection="0">
      <alignment vertical="center"/>
    </xf>
    <xf numFmtId="0" fontId="22" fillId="32" borderId="0" applyNumberFormat="0" applyBorder="0" applyAlignment="0" applyProtection="0"/>
    <xf numFmtId="0" fontId="21" fillId="50" borderId="0" applyNumberFormat="0" applyBorder="0" applyAlignment="0" applyProtection="0"/>
    <xf numFmtId="0" fontId="21" fillId="43" borderId="0" applyNumberFormat="0" applyBorder="0" applyAlignment="0" applyProtection="0"/>
    <xf numFmtId="0" fontId="22" fillId="3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3" fillId="49" borderId="0" applyNumberFormat="0" applyBorder="0" applyProtection="0">
      <alignment vertical="center"/>
    </xf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49" borderId="0" applyNumberFormat="0" applyBorder="0" applyProtection="0">
      <alignment vertical="center"/>
    </xf>
    <xf numFmtId="0" fontId="9" fillId="32" borderId="0" applyNumberFormat="0" applyBorder="0" applyAlignment="0" applyProtection="0"/>
    <xf numFmtId="0" fontId="21" fillId="43" borderId="0" applyNumberFormat="0" applyBorder="0" applyAlignment="0" applyProtection="0"/>
    <xf numFmtId="0" fontId="9" fillId="32" borderId="0" applyNumberFormat="0" applyBorder="0" applyAlignment="0" applyProtection="0"/>
    <xf numFmtId="0" fontId="21" fillId="43" borderId="0" applyNumberFormat="0" applyBorder="0" applyAlignment="0" applyProtection="0"/>
    <xf numFmtId="0" fontId="9" fillId="32" borderId="0" applyNumberFormat="0" applyBorder="0" applyAlignment="0" applyProtection="0"/>
    <xf numFmtId="0" fontId="21" fillId="43" borderId="0" applyNumberFormat="0" applyBorder="0" applyAlignment="0" applyProtection="0"/>
    <xf numFmtId="0" fontId="9" fillId="32" borderId="0" applyNumberFormat="0" applyBorder="0" applyAlignment="0" applyProtection="0"/>
    <xf numFmtId="0" fontId="21" fillId="43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1" fillId="51" borderId="0" applyNumberFormat="0" applyBorder="0" applyAlignment="0" applyProtection="0"/>
    <xf numFmtId="0" fontId="22" fillId="36" borderId="0" applyNumberFormat="0" applyBorder="0" applyAlignment="0" applyProtection="0"/>
    <xf numFmtId="0" fontId="9" fillId="36" borderId="0" applyNumberFormat="0" applyBorder="0" applyAlignment="0" applyProtection="0"/>
    <xf numFmtId="0" fontId="22" fillId="36" borderId="0" applyNumberFormat="0" applyBorder="0" applyAlignment="0" applyProtection="0"/>
    <xf numFmtId="0" fontId="9" fillId="36" borderId="0" applyNumberFormat="0" applyBorder="0" applyAlignment="0" applyProtection="0"/>
    <xf numFmtId="0" fontId="22" fillId="36" borderId="0" applyNumberFormat="0" applyBorder="0" applyAlignment="0" applyProtection="0"/>
    <xf numFmtId="0" fontId="9" fillId="36" borderId="0" applyNumberFormat="0" applyBorder="0" applyAlignment="0" applyProtection="0"/>
    <xf numFmtId="0" fontId="22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3" fillId="49" borderId="0" applyNumberFormat="0" applyBorder="0" applyProtection="0">
      <alignment vertical="center"/>
    </xf>
    <xf numFmtId="0" fontId="22" fillId="36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2" fillId="36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3" fillId="49" borderId="0" applyNumberFormat="0" applyBorder="0" applyProtection="0">
      <alignment vertical="center"/>
    </xf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2" fillId="36" borderId="0" applyNumberFormat="0" applyBorder="0" applyAlignment="0" applyProtection="0"/>
    <xf numFmtId="0" fontId="23" fillId="49" borderId="0" applyNumberFormat="0" applyBorder="0" applyProtection="0">
      <alignment vertical="center"/>
    </xf>
    <xf numFmtId="0" fontId="9" fillId="36" borderId="0" applyNumberFormat="0" applyBorder="0" applyAlignment="0" applyProtection="0"/>
    <xf numFmtId="0" fontId="21" fillId="51" borderId="0" applyNumberFormat="0" applyBorder="0" applyAlignment="0" applyProtection="0"/>
    <xf numFmtId="0" fontId="9" fillId="36" borderId="0" applyNumberFormat="0" applyBorder="0" applyAlignment="0" applyProtection="0"/>
    <xf numFmtId="0" fontId="21" fillId="51" borderId="0" applyNumberFormat="0" applyBorder="0" applyAlignment="0" applyProtection="0"/>
    <xf numFmtId="0" fontId="9" fillId="36" borderId="0" applyNumberFormat="0" applyBorder="0" applyAlignment="0" applyProtection="0"/>
    <xf numFmtId="0" fontId="21" fillId="51" borderId="0" applyNumberFormat="0" applyBorder="0" applyAlignment="0" applyProtection="0"/>
    <xf numFmtId="0" fontId="9" fillId="36" borderId="0" applyNumberFormat="0" applyBorder="0" applyAlignment="0" applyProtection="0"/>
    <xf numFmtId="0" fontId="21" fillId="5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1" fillId="40" borderId="0" applyNumberFormat="0" applyBorder="0" applyAlignment="0" applyProtection="0"/>
    <xf numFmtId="0" fontId="22" fillId="17" borderId="0" applyNumberFormat="0" applyBorder="0" applyAlignment="0" applyProtection="0"/>
    <xf numFmtId="0" fontId="9" fillId="17" borderId="0" applyNumberFormat="0" applyBorder="0" applyAlignment="0" applyProtection="0"/>
    <xf numFmtId="0" fontId="22" fillId="17" borderId="0" applyNumberFormat="0" applyBorder="0" applyAlignment="0" applyProtection="0"/>
    <xf numFmtId="0" fontId="9" fillId="17" borderId="0" applyNumberFormat="0" applyBorder="0" applyAlignment="0" applyProtection="0"/>
    <xf numFmtId="0" fontId="22" fillId="17" borderId="0" applyNumberFormat="0" applyBorder="0" applyAlignment="0" applyProtection="0"/>
    <xf numFmtId="0" fontId="9" fillId="17" borderId="0" applyNumberFormat="0" applyBorder="0" applyAlignment="0" applyProtection="0"/>
    <xf numFmtId="0" fontId="22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2" fillId="17" borderId="0" applyNumberFormat="0" applyBorder="0" applyAlignment="0" applyProtection="0"/>
    <xf numFmtId="0" fontId="21" fillId="53" borderId="0" applyNumberFormat="0" applyBorder="0" applyAlignment="0" applyProtection="0"/>
    <xf numFmtId="0" fontId="21" fillId="40" borderId="0" applyNumberFormat="0" applyBorder="0" applyAlignment="0" applyProtection="0"/>
    <xf numFmtId="0" fontId="22" fillId="17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2" fillId="17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9" fillId="17" borderId="0" applyNumberFormat="0" applyBorder="0" applyAlignment="0" applyProtection="0"/>
    <xf numFmtId="0" fontId="21" fillId="40" borderId="0" applyNumberFormat="0" applyBorder="0" applyAlignment="0" applyProtection="0"/>
    <xf numFmtId="0" fontId="9" fillId="17" borderId="0" applyNumberFormat="0" applyBorder="0" applyAlignment="0" applyProtection="0"/>
    <xf numFmtId="0" fontId="21" fillId="40" borderId="0" applyNumberFormat="0" applyBorder="0" applyAlignment="0" applyProtection="0"/>
    <xf numFmtId="0" fontId="9" fillId="17" borderId="0" applyNumberFormat="0" applyBorder="0" applyAlignment="0" applyProtection="0"/>
    <xf numFmtId="0" fontId="21" fillId="40" borderId="0" applyNumberFormat="0" applyBorder="0" applyAlignment="0" applyProtection="0"/>
    <xf numFmtId="0" fontId="9" fillId="17" borderId="0" applyNumberFormat="0" applyBorder="0" applyAlignment="0" applyProtection="0"/>
    <xf numFmtId="0" fontId="21" fillId="4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1" fillId="54" borderId="0" applyNumberFormat="0" applyBorder="0" applyAlignment="0" applyProtection="0"/>
    <xf numFmtId="0" fontId="22" fillId="21" borderId="0" applyNumberFormat="0" applyBorder="0" applyAlignment="0" applyProtection="0"/>
    <xf numFmtId="0" fontId="9" fillId="21" borderId="0" applyNumberFormat="0" applyBorder="0" applyAlignment="0" applyProtection="0"/>
    <xf numFmtId="0" fontId="22" fillId="21" borderId="0" applyNumberFormat="0" applyBorder="0" applyAlignment="0" applyProtection="0"/>
    <xf numFmtId="0" fontId="9" fillId="21" borderId="0" applyNumberFormat="0" applyBorder="0" applyAlignment="0" applyProtection="0"/>
    <xf numFmtId="0" fontId="22" fillId="21" borderId="0" applyNumberFormat="0" applyBorder="0" applyAlignment="0" applyProtection="0"/>
    <xf numFmtId="0" fontId="9" fillId="21" borderId="0" applyNumberFormat="0" applyBorder="0" applyAlignment="0" applyProtection="0"/>
    <xf numFmtId="0" fontId="22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2" fillId="21" borderId="0" applyNumberFormat="0" applyBorder="0" applyAlignment="0" applyProtection="0"/>
    <xf numFmtId="0" fontId="21" fillId="55" borderId="0" applyNumberFormat="0" applyBorder="0" applyAlignment="0" applyProtection="0"/>
    <xf numFmtId="0" fontId="21" fillId="54" borderId="0" applyNumberFormat="0" applyBorder="0" applyAlignment="0" applyProtection="0"/>
    <xf numFmtId="0" fontId="22" fillId="21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2" fillId="21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9" fillId="21" borderId="0" applyNumberFormat="0" applyBorder="0" applyAlignment="0" applyProtection="0"/>
    <xf numFmtId="0" fontId="21" fillId="54" borderId="0" applyNumberFormat="0" applyBorder="0" applyAlignment="0" applyProtection="0"/>
    <xf numFmtId="0" fontId="9" fillId="21" borderId="0" applyNumberFormat="0" applyBorder="0" applyAlignment="0" applyProtection="0"/>
    <xf numFmtId="0" fontId="21" fillId="54" borderId="0" applyNumberFormat="0" applyBorder="0" applyAlignment="0" applyProtection="0"/>
    <xf numFmtId="0" fontId="9" fillId="21" borderId="0" applyNumberFormat="0" applyBorder="0" applyAlignment="0" applyProtection="0"/>
    <xf numFmtId="0" fontId="21" fillId="54" borderId="0" applyNumberFormat="0" applyBorder="0" applyAlignment="0" applyProtection="0"/>
    <xf numFmtId="0" fontId="9" fillId="21" borderId="0" applyNumberFormat="0" applyBorder="0" applyAlignment="0" applyProtection="0"/>
    <xf numFmtId="0" fontId="21" fillId="5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1" fillId="56" borderId="0" applyNumberFormat="0" applyBorder="0" applyAlignment="0" applyProtection="0"/>
    <xf numFmtId="0" fontId="22" fillId="25" borderId="0" applyNumberFormat="0" applyBorder="0" applyAlignment="0" applyProtection="0"/>
    <xf numFmtId="0" fontId="9" fillId="25" borderId="0" applyNumberFormat="0" applyBorder="0" applyAlignment="0" applyProtection="0"/>
    <xf numFmtId="0" fontId="22" fillId="25" borderId="0" applyNumberFormat="0" applyBorder="0" applyAlignment="0" applyProtection="0"/>
    <xf numFmtId="0" fontId="9" fillId="25" borderId="0" applyNumberFormat="0" applyBorder="0" applyAlignment="0" applyProtection="0"/>
    <xf numFmtId="0" fontId="22" fillId="25" borderId="0" applyNumberFormat="0" applyBorder="0" applyAlignment="0" applyProtection="0"/>
    <xf numFmtId="0" fontId="9" fillId="25" borderId="0" applyNumberFormat="0" applyBorder="0" applyAlignment="0" applyProtection="0"/>
    <xf numFmtId="0" fontId="22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2" fillId="25" borderId="0" applyNumberFormat="0" applyBorder="0" applyAlignment="0" applyProtection="0"/>
    <xf numFmtId="0" fontId="21" fillId="57" borderId="0" applyNumberFormat="0" applyBorder="0" applyAlignment="0" applyProtection="0"/>
    <xf numFmtId="0" fontId="21" fillId="56" borderId="0" applyNumberFormat="0" applyBorder="0" applyAlignment="0" applyProtection="0"/>
    <xf numFmtId="0" fontId="22" fillId="2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40" borderId="0" applyNumberFormat="0" applyBorder="0" applyProtection="0">
      <alignment vertical="center"/>
    </xf>
    <xf numFmtId="0" fontId="9" fillId="25" borderId="0" applyNumberFormat="0" applyBorder="0" applyAlignment="0" applyProtection="0"/>
    <xf numFmtId="0" fontId="21" fillId="56" borderId="0" applyNumberFormat="0" applyBorder="0" applyAlignment="0" applyProtection="0"/>
    <xf numFmtId="0" fontId="9" fillId="25" borderId="0" applyNumberFormat="0" applyBorder="0" applyAlignment="0" applyProtection="0"/>
    <xf numFmtId="0" fontId="21" fillId="56" borderId="0" applyNumberFormat="0" applyBorder="0" applyAlignment="0" applyProtection="0"/>
    <xf numFmtId="0" fontId="9" fillId="25" borderId="0" applyNumberFormat="0" applyBorder="0" applyAlignment="0" applyProtection="0"/>
    <xf numFmtId="0" fontId="21" fillId="56" borderId="0" applyNumberFormat="0" applyBorder="0" applyAlignment="0" applyProtection="0"/>
    <xf numFmtId="0" fontId="9" fillId="25" borderId="0" applyNumberFormat="0" applyBorder="0" applyAlignment="0" applyProtection="0"/>
    <xf numFmtId="0" fontId="21" fillId="56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1" fillId="47" borderId="0" applyNumberFormat="0" applyBorder="0" applyAlignment="0" applyProtection="0"/>
    <xf numFmtId="0" fontId="22" fillId="29" borderId="0" applyNumberFormat="0" applyBorder="0" applyAlignment="0" applyProtection="0"/>
    <xf numFmtId="0" fontId="9" fillId="29" borderId="0" applyNumberFormat="0" applyBorder="0" applyAlignment="0" applyProtection="0"/>
    <xf numFmtId="0" fontId="22" fillId="29" borderId="0" applyNumberFormat="0" applyBorder="0" applyAlignment="0" applyProtection="0"/>
    <xf numFmtId="0" fontId="9" fillId="29" borderId="0" applyNumberFormat="0" applyBorder="0" applyAlignment="0" applyProtection="0"/>
    <xf numFmtId="0" fontId="22" fillId="29" borderId="0" applyNumberFormat="0" applyBorder="0" applyAlignment="0" applyProtection="0"/>
    <xf numFmtId="0" fontId="9" fillId="29" borderId="0" applyNumberFormat="0" applyBorder="0" applyAlignment="0" applyProtection="0"/>
    <xf numFmtId="0" fontId="22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2" fillId="29" borderId="0" applyNumberFormat="0" applyBorder="0" applyAlignment="0" applyProtection="0"/>
    <xf numFmtId="0" fontId="21" fillId="48" borderId="0" applyNumberFormat="0" applyBorder="0" applyAlignment="0" applyProtection="0"/>
    <xf numFmtId="0" fontId="21" fillId="47" borderId="0" applyNumberFormat="0" applyBorder="0" applyAlignment="0" applyProtection="0"/>
    <xf numFmtId="0" fontId="22" fillId="29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43" borderId="0" applyNumberFormat="0" applyBorder="0" applyProtection="0">
      <alignment vertical="center"/>
    </xf>
    <xf numFmtId="0" fontId="9" fillId="29" borderId="0" applyNumberFormat="0" applyBorder="0" applyAlignment="0" applyProtection="0"/>
    <xf numFmtId="0" fontId="21" fillId="47" borderId="0" applyNumberFormat="0" applyBorder="0" applyAlignment="0" applyProtection="0"/>
    <xf numFmtId="0" fontId="9" fillId="29" borderId="0" applyNumberFormat="0" applyBorder="0" applyAlignment="0" applyProtection="0"/>
    <xf numFmtId="0" fontId="21" fillId="47" borderId="0" applyNumberFormat="0" applyBorder="0" applyAlignment="0" applyProtection="0"/>
    <xf numFmtId="0" fontId="9" fillId="29" borderId="0" applyNumberFormat="0" applyBorder="0" applyAlignment="0" applyProtection="0"/>
    <xf numFmtId="0" fontId="21" fillId="47" borderId="0" applyNumberFormat="0" applyBorder="0" applyAlignment="0" applyProtection="0"/>
    <xf numFmtId="0" fontId="9" fillId="29" borderId="0" applyNumberFormat="0" applyBorder="0" applyAlignment="0" applyProtection="0"/>
    <xf numFmtId="0" fontId="21" fillId="47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1" fillId="40" borderId="0" applyNumberFormat="0" applyBorder="0" applyAlignment="0" applyProtection="0"/>
    <xf numFmtId="0" fontId="22" fillId="33" borderId="0" applyNumberFormat="0" applyBorder="0" applyAlignment="0" applyProtection="0"/>
    <xf numFmtId="0" fontId="9" fillId="33" borderId="0" applyNumberFormat="0" applyBorder="0" applyAlignment="0" applyProtection="0"/>
    <xf numFmtId="0" fontId="22" fillId="33" borderId="0" applyNumberFormat="0" applyBorder="0" applyAlignment="0" applyProtection="0"/>
    <xf numFmtId="0" fontId="9" fillId="33" borderId="0" applyNumberFormat="0" applyBorder="0" applyAlignment="0" applyProtection="0"/>
    <xf numFmtId="0" fontId="22" fillId="33" borderId="0" applyNumberFormat="0" applyBorder="0" applyAlignment="0" applyProtection="0"/>
    <xf numFmtId="0" fontId="9" fillId="33" borderId="0" applyNumberFormat="0" applyBorder="0" applyAlignment="0" applyProtection="0"/>
    <xf numFmtId="0" fontId="22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3" fillId="58" borderId="0" applyNumberFormat="0" applyBorder="0" applyProtection="0">
      <alignment vertical="center"/>
    </xf>
    <xf numFmtId="0" fontId="22" fillId="33" borderId="0" applyNumberFormat="0" applyBorder="0" applyAlignment="0" applyProtection="0"/>
    <xf numFmtId="0" fontId="21" fillId="53" borderId="0" applyNumberFormat="0" applyBorder="0" applyAlignment="0" applyProtection="0"/>
    <xf numFmtId="0" fontId="21" fillId="40" borderId="0" applyNumberFormat="0" applyBorder="0" applyAlignment="0" applyProtection="0"/>
    <xf numFmtId="0" fontId="22" fillId="3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3" fillId="58" borderId="0" applyNumberFormat="0" applyBorder="0" applyProtection="0">
      <alignment vertical="center"/>
    </xf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2" fillId="33" borderId="0" applyNumberFormat="0" applyBorder="0" applyAlignment="0" applyProtection="0"/>
    <xf numFmtId="0" fontId="23" fillId="58" borderId="0" applyNumberFormat="0" applyBorder="0" applyProtection="0">
      <alignment vertical="center"/>
    </xf>
    <xf numFmtId="0" fontId="9" fillId="33" borderId="0" applyNumberFormat="0" applyBorder="0" applyAlignment="0" applyProtection="0"/>
    <xf numFmtId="0" fontId="21" fillId="40" borderId="0" applyNumberFormat="0" applyBorder="0" applyAlignment="0" applyProtection="0"/>
    <xf numFmtId="0" fontId="9" fillId="33" borderId="0" applyNumberFormat="0" applyBorder="0" applyAlignment="0" applyProtection="0"/>
    <xf numFmtId="0" fontId="21" fillId="40" borderId="0" applyNumberFormat="0" applyBorder="0" applyAlignment="0" applyProtection="0"/>
    <xf numFmtId="0" fontId="9" fillId="33" borderId="0" applyNumberFormat="0" applyBorder="0" applyAlignment="0" applyProtection="0"/>
    <xf numFmtId="0" fontId="21" fillId="40" borderId="0" applyNumberFormat="0" applyBorder="0" applyAlignment="0" applyProtection="0"/>
    <xf numFmtId="0" fontId="9" fillId="33" borderId="0" applyNumberFormat="0" applyBorder="0" applyAlignment="0" applyProtection="0"/>
    <xf numFmtId="0" fontId="21" fillId="40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1" fillId="59" borderId="0" applyNumberFormat="0" applyBorder="0" applyAlignment="0" applyProtection="0"/>
    <xf numFmtId="0" fontId="22" fillId="37" borderId="0" applyNumberFormat="0" applyBorder="0" applyAlignment="0" applyProtection="0"/>
    <xf numFmtId="0" fontId="9" fillId="37" borderId="0" applyNumberFormat="0" applyBorder="0" applyAlignment="0" applyProtection="0"/>
    <xf numFmtId="0" fontId="22" fillId="37" borderId="0" applyNumberFormat="0" applyBorder="0" applyAlignment="0" applyProtection="0"/>
    <xf numFmtId="0" fontId="9" fillId="37" borderId="0" applyNumberFormat="0" applyBorder="0" applyAlignment="0" applyProtection="0"/>
    <xf numFmtId="0" fontId="22" fillId="37" borderId="0" applyNumberFormat="0" applyBorder="0" applyAlignment="0" applyProtection="0"/>
    <xf numFmtId="0" fontId="9" fillId="37" borderId="0" applyNumberFormat="0" applyBorder="0" applyAlignment="0" applyProtection="0"/>
    <xf numFmtId="0" fontId="22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3" fillId="58" borderId="0" applyNumberFormat="0" applyBorder="0" applyProtection="0">
      <alignment vertical="center"/>
    </xf>
    <xf numFmtId="0" fontId="22" fillId="37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2" fillId="3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3" fillId="58" borderId="0" applyNumberFormat="0" applyBorder="0" applyProtection="0">
      <alignment vertical="center"/>
    </xf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58" borderId="0" applyNumberFormat="0" applyBorder="0" applyProtection="0">
      <alignment vertical="center"/>
    </xf>
    <xf numFmtId="0" fontId="9" fillId="37" borderId="0" applyNumberFormat="0" applyBorder="0" applyAlignment="0" applyProtection="0"/>
    <xf numFmtId="0" fontId="21" fillId="59" borderId="0" applyNumberFormat="0" applyBorder="0" applyAlignment="0" applyProtection="0"/>
    <xf numFmtId="0" fontId="9" fillId="37" borderId="0" applyNumberFormat="0" applyBorder="0" applyAlignment="0" applyProtection="0"/>
    <xf numFmtId="0" fontId="21" fillId="59" borderId="0" applyNumberFormat="0" applyBorder="0" applyAlignment="0" applyProtection="0"/>
    <xf numFmtId="0" fontId="9" fillId="37" borderId="0" applyNumberFormat="0" applyBorder="0" applyAlignment="0" applyProtection="0"/>
    <xf numFmtId="0" fontId="21" fillId="59" borderId="0" applyNumberFormat="0" applyBorder="0" applyAlignment="0" applyProtection="0"/>
    <xf numFmtId="0" fontId="9" fillId="37" borderId="0" applyNumberFormat="0" applyBorder="0" applyAlignment="0" applyProtection="0"/>
    <xf numFmtId="0" fontId="21" fillId="59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9" fillId="18" borderId="0" applyNumberFormat="0" applyBorder="0" applyAlignment="0" applyProtection="0"/>
    <xf numFmtId="0" fontId="24" fillId="61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62" borderId="0" applyNumberFormat="0" applyBorder="0" applyProtection="0">
      <alignment vertical="center"/>
    </xf>
    <xf numFmtId="0" fontId="25" fillId="18" borderId="0" applyNumberFormat="0" applyBorder="0" applyAlignment="0" applyProtection="0"/>
    <xf numFmtId="0" fontId="24" fillId="63" borderId="0" applyNumberFormat="0" applyBorder="0" applyAlignment="0" applyProtection="0"/>
    <xf numFmtId="0" fontId="24" fillId="61" borderId="0" applyNumberFormat="0" applyBorder="0" applyAlignment="0" applyProtection="0"/>
    <xf numFmtId="0" fontId="25" fillId="18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62" borderId="0" applyNumberFormat="0" applyBorder="0" applyProtection="0">
      <alignment vertical="center"/>
    </xf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5" fillId="18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Protection="0">
      <alignment vertical="center"/>
    </xf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24" fillId="54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4" fillId="62" borderId="0" applyNumberFormat="0" applyBorder="0" applyProtection="0">
      <alignment vertical="center"/>
    </xf>
    <xf numFmtId="0" fontId="25" fillId="22" borderId="0" applyNumberFormat="0" applyBorder="0" applyAlignment="0" applyProtection="0"/>
    <xf numFmtId="0" fontId="24" fillId="55" borderId="0" applyNumberFormat="0" applyBorder="0" applyAlignment="0" applyProtection="0"/>
    <xf numFmtId="0" fontId="24" fillId="54" borderId="0" applyNumberFormat="0" applyBorder="0" applyAlignment="0" applyProtection="0"/>
    <xf numFmtId="0" fontId="25" fillId="22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4" fillId="62" borderId="0" applyNumberFormat="0" applyBorder="0" applyProtection="0">
      <alignment vertical="center"/>
    </xf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5" fillId="22" borderId="0" applyNumberFormat="0" applyBorder="0" applyAlignment="0" applyProtection="0"/>
    <xf numFmtId="0" fontId="24" fillId="54" borderId="0" applyNumberFormat="0" applyBorder="0" applyAlignment="0" applyProtection="0"/>
    <xf numFmtId="0" fontId="24" fillId="62" borderId="0" applyNumberFormat="0" applyBorder="0" applyProtection="0">
      <alignment vertical="center"/>
    </xf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24" fillId="5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5" fillId="26" borderId="0" applyNumberFormat="0" applyBorder="0" applyAlignment="0" applyProtection="0"/>
    <xf numFmtId="0" fontId="24" fillId="57" borderId="0" applyNumberFormat="0" applyBorder="0" applyAlignment="0" applyProtection="0"/>
    <xf numFmtId="0" fontId="24" fillId="56" borderId="0" applyNumberFormat="0" applyBorder="0" applyAlignment="0" applyProtection="0"/>
    <xf numFmtId="0" fontId="25" fillId="2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5" fillId="26" borderId="0" applyNumberFormat="0" applyBorder="0" applyAlignment="0" applyProtection="0"/>
    <xf numFmtId="0" fontId="24" fillId="56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24" fillId="65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5" fillId="30" borderId="0" applyNumberFormat="0" applyBorder="0" applyAlignment="0" applyProtection="0"/>
    <xf numFmtId="0" fontId="24" fillId="66" borderId="0" applyNumberFormat="0" applyBorder="0" applyAlignment="0" applyProtection="0"/>
    <xf numFmtId="0" fontId="24" fillId="65" borderId="0" applyNumberFormat="0" applyBorder="0" applyAlignment="0" applyProtection="0"/>
    <xf numFmtId="0" fontId="25" fillId="30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5" fillId="30" borderId="0" applyNumberFormat="0" applyBorder="0" applyAlignment="0" applyProtection="0"/>
    <xf numFmtId="0" fontId="24" fillId="65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19" fillId="30" borderId="0" applyNumberFormat="0" applyBorder="0" applyAlignment="0" applyProtection="0"/>
    <xf numFmtId="0" fontId="19" fillId="34" borderId="0" applyNumberFormat="0" applyBorder="0" applyAlignment="0" applyProtection="0"/>
    <xf numFmtId="0" fontId="24" fillId="67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4" fillId="58" borderId="0" applyNumberFormat="0" applyBorder="0" applyProtection="0">
      <alignment vertical="center"/>
    </xf>
    <xf numFmtId="0" fontId="25" fillId="34" borderId="0" applyNumberFormat="0" applyBorder="0" applyAlignment="0" applyProtection="0"/>
    <xf numFmtId="0" fontId="24" fillId="68" borderId="0" applyNumberFormat="0" applyBorder="0" applyAlignment="0" applyProtection="0"/>
    <xf numFmtId="0" fontId="24" fillId="67" borderId="0" applyNumberFormat="0" applyBorder="0" applyAlignment="0" applyProtection="0"/>
    <xf numFmtId="0" fontId="25" fillId="34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4" fillId="58" borderId="0" applyNumberFormat="0" applyBorder="0" applyProtection="0">
      <alignment vertical="center"/>
    </xf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5" fillId="34" borderId="0" applyNumberFormat="0" applyBorder="0" applyAlignment="0" applyProtection="0"/>
    <xf numFmtId="0" fontId="24" fillId="67" borderId="0" applyNumberFormat="0" applyBorder="0" applyAlignment="0" applyProtection="0"/>
    <xf numFmtId="0" fontId="24" fillId="58" borderId="0" applyNumberFormat="0" applyBorder="0" applyProtection="0">
      <alignment vertical="center"/>
    </xf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19" fillId="34" borderId="0" applyNumberFormat="0" applyBorder="0" applyAlignment="0" applyProtection="0"/>
    <xf numFmtId="0" fontId="19" fillId="38" borderId="0" applyNumberFormat="0" applyBorder="0" applyAlignment="0" applyProtection="0"/>
    <xf numFmtId="0" fontId="24" fillId="69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58" borderId="0" applyNumberFormat="0" applyBorder="0" applyProtection="0">
      <alignment vertical="center"/>
    </xf>
    <xf numFmtId="0" fontId="25" fillId="38" borderId="0" applyNumberFormat="0" applyBorder="0" applyAlignment="0" applyProtection="0"/>
    <xf numFmtId="0" fontId="24" fillId="70" borderId="0" applyNumberFormat="0" applyBorder="0" applyAlignment="0" applyProtection="0"/>
    <xf numFmtId="0" fontId="24" fillId="69" borderId="0" applyNumberFormat="0" applyBorder="0" applyAlignment="0" applyProtection="0"/>
    <xf numFmtId="0" fontId="25" fillId="38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58" borderId="0" applyNumberFormat="0" applyBorder="0" applyProtection="0">
      <alignment vertical="center"/>
    </xf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5" fillId="38" borderId="0" applyNumberFormat="0" applyBorder="0" applyAlignment="0" applyProtection="0"/>
    <xf numFmtId="0" fontId="24" fillId="69" borderId="0" applyNumberFormat="0" applyBorder="0" applyAlignment="0" applyProtection="0"/>
    <xf numFmtId="0" fontId="24" fillId="58" borderId="0" applyNumberFormat="0" applyBorder="0" applyProtection="0">
      <alignment vertical="center"/>
    </xf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19" fillId="38" borderId="0" applyNumberFormat="0" applyBorder="0" applyAlignment="0" applyProtection="0"/>
    <xf numFmtId="0" fontId="19" fillId="15" borderId="0" applyNumberFormat="0" applyBorder="0" applyAlignment="0" applyProtection="0"/>
    <xf numFmtId="0" fontId="24" fillId="71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61" borderId="0" applyNumberFormat="0" applyBorder="0" applyProtection="0">
      <alignment vertical="center"/>
    </xf>
    <xf numFmtId="0" fontId="25" fillId="15" borderId="0" applyNumberFormat="0" applyBorder="0" applyAlignment="0" applyProtection="0"/>
    <xf numFmtId="0" fontId="24" fillId="72" borderId="0" applyNumberFormat="0" applyBorder="0" applyAlignment="0" applyProtection="0"/>
    <xf numFmtId="0" fontId="24" fillId="71" borderId="0" applyNumberFormat="0" applyBorder="0" applyAlignment="0" applyProtection="0"/>
    <xf numFmtId="0" fontId="25" fillId="15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4" fillId="61" borderId="0" applyNumberFormat="0" applyBorder="0" applyProtection="0">
      <alignment vertical="center"/>
    </xf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5" fillId="15" borderId="0" applyNumberFormat="0" applyBorder="0" applyAlignment="0" applyProtection="0"/>
    <xf numFmtId="0" fontId="24" fillId="71" borderId="0" applyNumberFormat="0" applyBorder="0" applyAlignment="0" applyProtection="0"/>
    <xf numFmtId="0" fontId="24" fillId="61" borderId="0" applyNumberFormat="0" applyBorder="0" applyProtection="0">
      <alignment vertical="center"/>
    </xf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19" fillId="15" borderId="0" applyNumberFormat="0" applyBorder="0" applyAlignment="0" applyProtection="0"/>
    <xf numFmtId="0" fontId="19" fillId="19" borderId="0" applyNumberFormat="0" applyBorder="0" applyAlignment="0" applyProtection="0"/>
    <xf numFmtId="0" fontId="24" fillId="73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4" fillId="61" borderId="0" applyNumberFormat="0" applyBorder="0" applyProtection="0">
      <alignment vertical="center"/>
    </xf>
    <xf numFmtId="0" fontId="25" fillId="19" borderId="0" applyNumberFormat="0" applyBorder="0" applyAlignment="0" applyProtection="0"/>
    <xf numFmtId="0" fontId="24" fillId="74" borderId="0" applyNumberFormat="0" applyBorder="0" applyAlignment="0" applyProtection="0"/>
    <xf numFmtId="0" fontId="24" fillId="73" borderId="0" applyNumberFormat="0" applyBorder="0" applyAlignment="0" applyProtection="0"/>
    <xf numFmtId="0" fontId="25" fillId="19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4" fillId="61" borderId="0" applyNumberFormat="0" applyBorder="0" applyProtection="0">
      <alignment vertical="center"/>
    </xf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5" fillId="19" borderId="0" applyNumberFormat="0" applyBorder="0" applyAlignment="0" applyProtection="0"/>
    <xf numFmtId="0" fontId="24" fillId="73" borderId="0" applyNumberFormat="0" applyBorder="0" applyAlignment="0" applyProtection="0"/>
    <xf numFmtId="0" fontId="24" fillId="61" borderId="0" applyNumberFormat="0" applyBorder="0" applyProtection="0">
      <alignment vertical="center"/>
    </xf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24" fillId="73" borderId="0" applyNumberFormat="0" applyBorder="0" applyAlignment="0" applyProtection="0"/>
    <xf numFmtId="0" fontId="19" fillId="19" borderId="0" applyNumberFormat="0" applyBorder="0" applyAlignment="0" applyProtection="0"/>
    <xf numFmtId="0" fontId="19" fillId="23" borderId="0" applyNumberFormat="0" applyBorder="0" applyAlignment="0" applyProtection="0"/>
    <xf numFmtId="0" fontId="24" fillId="7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5" fillId="23" borderId="0" applyNumberFormat="0" applyBorder="0" applyAlignment="0" applyProtection="0"/>
    <xf numFmtId="0" fontId="24" fillId="76" borderId="0" applyNumberFormat="0" applyBorder="0" applyAlignment="0" applyProtection="0"/>
    <xf numFmtId="0" fontId="24" fillId="75" borderId="0" applyNumberFormat="0" applyBorder="0" applyAlignment="0" applyProtection="0"/>
    <xf numFmtId="0" fontId="25" fillId="23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5" fillId="23" borderId="0" applyNumberFormat="0" applyBorder="0" applyAlignment="0" applyProtection="0"/>
    <xf numFmtId="0" fontId="24" fillId="75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19" fillId="23" borderId="0" applyNumberFormat="0" applyBorder="0" applyAlignment="0" applyProtection="0"/>
    <xf numFmtId="0" fontId="19" fillId="27" borderId="0" applyNumberFormat="0" applyBorder="0" applyAlignment="0" applyProtection="0"/>
    <xf numFmtId="0" fontId="24" fillId="65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5" fillId="27" borderId="0" applyNumberFormat="0" applyBorder="0" applyAlignment="0" applyProtection="0"/>
    <xf numFmtId="0" fontId="24" fillId="66" borderId="0" applyNumberFormat="0" applyBorder="0" applyAlignment="0" applyProtection="0"/>
    <xf numFmtId="0" fontId="24" fillId="65" borderId="0" applyNumberFormat="0" applyBorder="0" applyAlignment="0" applyProtection="0"/>
    <xf numFmtId="0" fontId="25" fillId="27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5" fillId="27" borderId="0" applyNumberFormat="0" applyBorder="0" applyAlignment="0" applyProtection="0"/>
    <xf numFmtId="0" fontId="24" fillId="65" borderId="0" applyNumberFormat="0" applyBorder="0" applyAlignment="0" applyProtection="0"/>
    <xf numFmtId="0" fontId="24" fillId="64" borderId="0" applyNumberFormat="0" applyBorder="0" applyProtection="0">
      <alignment vertical="center"/>
    </xf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24" fillId="65" borderId="0" applyNumberFormat="0" applyBorder="0" applyAlignment="0" applyProtection="0"/>
    <xf numFmtId="0" fontId="19" fillId="27" borderId="0" applyNumberFormat="0" applyBorder="0" applyAlignment="0" applyProtection="0"/>
    <xf numFmtId="0" fontId="19" fillId="31" borderId="0" applyNumberFormat="0" applyBorder="0" applyAlignment="0" applyProtection="0"/>
    <xf numFmtId="0" fontId="24" fillId="67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4" fillId="77" borderId="0" applyNumberFormat="0" applyBorder="0" applyProtection="0">
      <alignment vertical="center"/>
    </xf>
    <xf numFmtId="0" fontId="25" fillId="31" borderId="0" applyNumberFormat="0" applyBorder="0" applyAlignment="0" applyProtection="0"/>
    <xf numFmtId="0" fontId="24" fillId="68" borderId="0" applyNumberFormat="0" applyBorder="0" applyAlignment="0" applyProtection="0"/>
    <xf numFmtId="0" fontId="24" fillId="67" borderId="0" applyNumberFormat="0" applyBorder="0" applyAlignment="0" applyProtection="0"/>
    <xf numFmtId="0" fontId="25" fillId="31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4" fillId="77" borderId="0" applyNumberFormat="0" applyBorder="0" applyProtection="0">
      <alignment vertical="center"/>
    </xf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5" fillId="31" borderId="0" applyNumberFormat="0" applyBorder="0" applyAlignment="0" applyProtection="0"/>
    <xf numFmtId="0" fontId="24" fillId="67" borderId="0" applyNumberFormat="0" applyBorder="0" applyAlignment="0" applyProtection="0"/>
    <xf numFmtId="0" fontId="24" fillId="77" borderId="0" applyNumberFormat="0" applyBorder="0" applyProtection="0">
      <alignment vertical="center"/>
    </xf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24" fillId="67" borderId="0" applyNumberFormat="0" applyBorder="0" applyAlignment="0" applyProtection="0"/>
    <xf numFmtId="0" fontId="19" fillId="31" borderId="0" applyNumberFormat="0" applyBorder="0" applyAlignment="0" applyProtection="0"/>
    <xf numFmtId="0" fontId="19" fillId="35" borderId="0" applyNumberFormat="0" applyBorder="0" applyAlignment="0" applyProtection="0"/>
    <xf numFmtId="0" fontId="24" fillId="78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4" fillId="77" borderId="0" applyNumberFormat="0" applyBorder="0" applyProtection="0">
      <alignment vertical="center"/>
    </xf>
    <xf numFmtId="0" fontId="25" fillId="35" borderId="0" applyNumberFormat="0" applyBorder="0" applyAlignment="0" applyProtection="0"/>
    <xf numFmtId="0" fontId="24" fillId="79" borderId="0" applyNumberFormat="0" applyBorder="0" applyAlignment="0" applyProtection="0"/>
    <xf numFmtId="0" fontId="24" fillId="78" borderId="0" applyNumberFormat="0" applyBorder="0" applyAlignment="0" applyProtection="0"/>
    <xf numFmtId="0" fontId="25" fillId="35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4" fillId="77" borderId="0" applyNumberFormat="0" applyBorder="0" applyProtection="0">
      <alignment vertical="center"/>
    </xf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5" fillId="35" borderId="0" applyNumberFormat="0" applyBorder="0" applyAlignment="0" applyProtection="0"/>
    <xf numFmtId="0" fontId="24" fillId="78" borderId="0" applyNumberFormat="0" applyBorder="0" applyAlignment="0" applyProtection="0"/>
    <xf numFmtId="0" fontId="24" fillId="77" borderId="0" applyNumberFormat="0" applyBorder="0" applyProtection="0">
      <alignment vertical="center"/>
    </xf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24" fillId="78" borderId="0" applyNumberFormat="0" applyBorder="0" applyAlignment="0" applyProtection="0"/>
    <xf numFmtId="0" fontId="19" fillId="35" borderId="0" applyNumberFormat="0" applyBorder="0" applyAlignment="0" applyProtection="0"/>
    <xf numFmtId="0" fontId="11" fillId="9" borderId="0" applyNumberFormat="0" applyBorder="0" applyAlignment="0" applyProtection="0"/>
    <xf numFmtId="0" fontId="26" fillId="42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42" borderId="0" applyNumberFormat="0" applyBorder="0" applyProtection="0">
      <alignment vertical="center"/>
    </xf>
    <xf numFmtId="0" fontId="27" fillId="9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7" fillId="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42" borderId="0" applyNumberFormat="0" applyBorder="0" applyProtection="0">
      <alignment vertical="center"/>
    </xf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Protection="0">
      <alignment vertical="center"/>
    </xf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1" fillId="9" borderId="0" applyNumberFormat="0" applyBorder="0" applyAlignment="0" applyProtection="0"/>
    <xf numFmtId="0" fontId="15" fillId="12" borderId="1" applyNumberFormat="0" applyAlignment="0" applyProtection="0"/>
    <xf numFmtId="0" fontId="28" fillId="80" borderId="7" applyNumberFormat="0" applyAlignment="0" applyProtection="0"/>
    <xf numFmtId="0" fontId="29" fillId="12" borderId="1" applyNumberFormat="0" applyAlignment="0" applyProtection="0"/>
    <xf numFmtId="0" fontId="29" fillId="12" borderId="1" applyNumberFormat="0" applyAlignment="0" applyProtection="0"/>
    <xf numFmtId="0" fontId="29" fillId="12" borderId="1" applyNumberFormat="0" applyAlignment="0" applyProtection="0"/>
    <xf numFmtId="0" fontId="29" fillId="12" borderId="1" applyNumberFormat="0" applyAlignment="0" applyProtection="0"/>
    <xf numFmtId="0" fontId="28" fillId="80" borderId="7" applyNumberFormat="0" applyProtection="0">
      <alignment vertical="center"/>
    </xf>
    <xf numFmtId="0" fontId="29" fillId="12" borderId="1" applyNumberFormat="0" applyAlignment="0" applyProtection="0"/>
    <xf numFmtId="0" fontId="28" fillId="81" borderId="7" applyNumberFormat="0" applyAlignment="0" applyProtection="0"/>
    <xf numFmtId="0" fontId="28" fillId="80" borderId="7" applyNumberFormat="0" applyAlignment="0" applyProtection="0"/>
    <xf numFmtId="0" fontId="29" fillId="12" borderId="1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9" fillId="12" borderId="1" applyNumberFormat="0" applyAlignment="0" applyProtection="0"/>
    <xf numFmtId="0" fontId="29" fillId="12" borderId="1" applyNumberFormat="0" applyAlignment="0" applyProtection="0"/>
    <xf numFmtId="0" fontId="29" fillId="12" borderId="1" applyNumberFormat="0" applyAlignment="0" applyProtection="0"/>
    <xf numFmtId="0" fontId="28" fillId="80" borderId="7" applyNumberFormat="0" applyProtection="0">
      <alignment vertical="center"/>
    </xf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29" fillId="12" borderId="1" applyNumberFormat="0" applyAlignment="0" applyProtection="0"/>
    <xf numFmtId="0" fontId="28" fillId="80" borderId="7" applyNumberFormat="0" applyAlignment="0" applyProtection="0"/>
    <xf numFmtId="0" fontId="28" fillId="80" borderId="7" applyNumberFormat="0" applyProtection="0">
      <alignment vertical="center"/>
    </xf>
    <xf numFmtId="0" fontId="28" fillId="80" borderId="7" applyNumberFormat="0" applyAlignment="0" applyProtection="0"/>
    <xf numFmtId="0" fontId="28" fillId="80" borderId="7" applyNumberFormat="0" applyAlignment="0" applyProtection="0"/>
    <xf numFmtId="0" fontId="28" fillId="80" borderId="7" applyNumberFormat="0" applyAlignment="0" applyProtection="0"/>
    <xf numFmtId="0" fontId="15" fillId="12" borderId="1" applyNumberFormat="0" applyAlignment="0" applyProtection="0"/>
    <xf numFmtId="0" fontId="17" fillId="13" borderId="4" applyNumberFormat="0" applyAlignment="0" applyProtection="0"/>
    <xf numFmtId="0" fontId="30" fillId="82" borderId="8" applyNumberFormat="0" applyAlignment="0" applyProtection="0"/>
    <xf numFmtId="0" fontId="31" fillId="13" borderId="4" applyNumberFormat="0" applyAlignment="0" applyProtection="0"/>
    <xf numFmtId="0" fontId="31" fillId="13" borderId="4" applyNumberFormat="0" applyAlignment="0" applyProtection="0"/>
    <xf numFmtId="0" fontId="31" fillId="13" borderId="4" applyNumberFormat="0" applyAlignment="0" applyProtection="0"/>
    <xf numFmtId="0" fontId="31" fillId="13" borderId="4" applyNumberFormat="0" applyAlignment="0" applyProtection="0"/>
    <xf numFmtId="0" fontId="30" fillId="82" borderId="8" applyNumberFormat="0" applyProtection="0">
      <alignment vertical="center"/>
    </xf>
    <xf numFmtId="0" fontId="31" fillId="13" borderId="4" applyNumberFormat="0" applyAlignment="0" applyProtection="0"/>
    <xf numFmtId="0" fontId="30" fillId="83" borderId="8" applyNumberFormat="0" applyAlignment="0" applyProtection="0"/>
    <xf numFmtId="0" fontId="30" fillId="82" borderId="8" applyNumberFormat="0" applyAlignment="0" applyProtection="0"/>
    <xf numFmtId="0" fontId="31" fillId="13" borderId="4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1" fillId="13" borderId="4" applyNumberFormat="0" applyAlignment="0" applyProtection="0"/>
    <xf numFmtId="0" fontId="31" fillId="13" borderId="4" applyNumberFormat="0" applyAlignment="0" applyProtection="0"/>
    <xf numFmtId="0" fontId="31" fillId="13" borderId="4" applyNumberFormat="0" applyAlignment="0" applyProtection="0"/>
    <xf numFmtId="0" fontId="30" fillId="82" borderId="8" applyNumberFormat="0" applyProtection="0">
      <alignment vertical="center"/>
    </xf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31" fillId="13" borderId="4" applyNumberFormat="0" applyAlignment="0" applyProtection="0"/>
    <xf numFmtId="0" fontId="30" fillId="82" borderId="8" applyNumberFormat="0" applyAlignment="0" applyProtection="0"/>
    <xf numFmtId="0" fontId="30" fillId="82" borderId="8" applyNumberFormat="0" applyProtection="0">
      <alignment vertical="center"/>
    </xf>
    <xf numFmtId="0" fontId="30" fillId="82" borderId="8" applyNumberFormat="0" applyAlignment="0" applyProtection="0"/>
    <xf numFmtId="0" fontId="30" fillId="82" borderId="8" applyNumberFormat="0" applyAlignment="0" applyProtection="0"/>
    <xf numFmtId="0" fontId="30" fillId="82" borderId="8" applyNumberFormat="0" applyAlignment="0" applyProtection="0"/>
    <xf numFmtId="0" fontId="17" fillId="13" borderId="4" applyNumberFormat="0" applyAlignment="0" applyProtection="0"/>
    <xf numFmtId="43" fontId="20" fillId="0" borderId="0" applyFill="0" applyBorder="0" applyAlignment="0" applyProtection="0"/>
    <xf numFmtId="43" fontId="32" fillId="0" borderId="0" applyFont="0" applyFill="0" applyBorder="0" applyAlignment="0" applyProtection="0"/>
    <xf numFmtId="0" fontId="33" fillId="0" borderId="0" applyNumberFormat="0" applyFont="0" applyFill="0" applyBorder="0" applyProtection="0">
      <alignment vertical="center"/>
    </xf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ill="0" applyBorder="0" applyAlignment="0" applyProtection="0"/>
    <xf numFmtId="43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7" fontId="20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32" fillId="0" borderId="0" applyFont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166" fontId="20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4" fillId="0" borderId="0" applyNumberFormat="0" applyFill="0" applyBorder="0" applyProtection="0">
      <alignment horizontal="center" vertical="center"/>
    </xf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5" fillId="0" borderId="0"/>
    <xf numFmtId="0" fontId="1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Protection="0">
      <alignment vertical="center"/>
    </xf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Protection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Protection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38" fillId="45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8" fillId="45" borderId="0" applyNumberFormat="0" applyBorder="0" applyProtection="0">
      <alignment vertical="center"/>
    </xf>
    <xf numFmtId="0" fontId="39" fillId="8" borderId="0" applyNumberFormat="0" applyBorder="0" applyAlignment="0" applyProtection="0"/>
    <xf numFmtId="0" fontId="38" fillId="46" borderId="0" applyNumberFormat="0" applyBorder="0" applyAlignment="0" applyProtection="0"/>
    <xf numFmtId="0" fontId="38" fillId="45" borderId="0" applyNumberFormat="0" applyBorder="0" applyAlignment="0" applyProtection="0"/>
    <xf numFmtId="0" fontId="39" fillId="8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8" fillId="45" borderId="0" applyNumberFormat="0" applyBorder="0" applyProtection="0">
      <alignment vertical="center"/>
    </xf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8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Protection="0">
      <alignment vertical="center"/>
    </xf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0" fillId="8" borderId="0" applyNumberFormat="0" applyBorder="0" applyAlignment="0" applyProtection="0"/>
    <xf numFmtId="0" fontId="20" fillId="56" borderId="0" applyNumberFormat="0" applyBorder="0" applyProtection="0">
      <alignment horizontal="center"/>
    </xf>
    <xf numFmtId="0" fontId="20" fillId="56" borderId="0" applyNumberFormat="0" applyBorder="0" applyProtection="0">
      <alignment horizontal="center"/>
    </xf>
    <xf numFmtId="0" fontId="20" fillId="56" borderId="0" applyNumberFormat="0" applyBorder="0" applyProtection="0">
      <alignment horizontal="center"/>
    </xf>
    <xf numFmtId="0" fontId="20" fillId="56" borderId="0" applyNumberFormat="0" applyBorder="0" applyProtection="0">
      <alignment horizontal="center"/>
    </xf>
    <xf numFmtId="0" fontId="40" fillId="0" borderId="9" applyNumberFormat="0" applyFill="0" applyProtection="0">
      <alignment vertical="center"/>
    </xf>
    <xf numFmtId="0" fontId="41" fillId="0" borderId="10" applyNumberFormat="0" applyFill="0" applyAlignment="0" applyProtection="0"/>
    <xf numFmtId="0" fontId="40" fillId="0" borderId="9" applyNumberFormat="0" applyFill="0" applyProtection="0">
      <alignment vertical="center"/>
    </xf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0" fillId="0" borderId="9" applyNumberFormat="0" applyFill="0" applyProtection="0">
      <alignment vertical="center"/>
    </xf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Protection="0">
      <alignment vertical="center"/>
    </xf>
    <xf numFmtId="0" fontId="43" fillId="0" borderId="12" applyNumberFormat="0" applyFill="0" applyAlignment="0" applyProtection="0"/>
    <xf numFmtId="0" fontId="42" fillId="0" borderId="11" applyNumberFormat="0" applyFill="0" applyProtection="0">
      <alignment vertical="center"/>
    </xf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2" fillId="0" borderId="11" applyNumberFormat="0" applyFill="0" applyProtection="0">
      <alignment vertical="center"/>
    </xf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4" fillId="0" borderId="13" applyNumberFormat="0" applyFill="0" applyProtection="0">
      <alignment vertical="center"/>
    </xf>
    <xf numFmtId="0" fontId="45" fillId="0" borderId="14" applyNumberFormat="0" applyFill="0" applyAlignment="0" applyProtection="0"/>
    <xf numFmtId="0" fontId="44" fillId="0" borderId="13" applyNumberFormat="0" applyFill="0" applyProtection="0">
      <alignment vertical="center"/>
    </xf>
    <xf numFmtId="0" fontId="45" fillId="0" borderId="14" applyNumberFormat="0" applyFill="0" applyAlignment="0" applyProtection="0"/>
    <xf numFmtId="0" fontId="45" fillId="0" borderId="14" applyNumberFormat="0" applyFill="0" applyAlignment="0" applyProtection="0"/>
    <xf numFmtId="0" fontId="44" fillId="0" borderId="13" applyNumberFormat="0" applyFill="0" applyProtection="0">
      <alignment vertical="center"/>
    </xf>
    <xf numFmtId="0" fontId="45" fillId="0" borderId="14" applyNumberFormat="0" applyFill="0" applyAlignment="0" applyProtection="0"/>
    <xf numFmtId="0" fontId="45" fillId="0" borderId="14" applyNumberFormat="0" applyFill="0" applyAlignment="0" applyProtection="0"/>
    <xf numFmtId="0" fontId="45" fillId="0" borderId="14" applyNumberFormat="0" applyFill="0" applyAlignment="0" applyProtection="0"/>
    <xf numFmtId="0" fontId="45" fillId="0" borderId="14" applyNumberFormat="0" applyFill="0" applyAlignment="0" applyProtection="0"/>
    <xf numFmtId="0" fontId="45" fillId="0" borderId="14" applyNumberFormat="0" applyFill="0" applyAlignment="0" applyProtection="0"/>
    <xf numFmtId="0" fontId="44" fillId="0" borderId="0" applyNumberFormat="0" applyFill="0" applyBorder="0" applyProtection="0">
      <alignment vertical="center"/>
    </xf>
    <xf numFmtId="0" fontId="45" fillId="0" borderId="0" applyNumberFormat="0" applyFill="0" applyBorder="0" applyAlignment="0" applyProtection="0"/>
    <xf numFmtId="0" fontId="44" fillId="0" borderId="0" applyNumberFormat="0" applyFill="0" applyBorder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3" fillId="11" borderId="1" applyNumberFormat="0" applyAlignment="0" applyProtection="0"/>
    <xf numFmtId="0" fontId="46" fillId="51" borderId="7" applyNumberFormat="0" applyAlignment="0" applyProtection="0"/>
    <xf numFmtId="0" fontId="47" fillId="11" borderId="1" applyNumberFormat="0" applyAlignment="0" applyProtection="0"/>
    <xf numFmtId="0" fontId="47" fillId="11" borderId="1" applyNumberFormat="0" applyAlignment="0" applyProtection="0"/>
    <xf numFmtId="0" fontId="47" fillId="11" borderId="1" applyNumberFormat="0" applyAlignment="0" applyProtection="0"/>
    <xf numFmtId="0" fontId="47" fillId="11" borderId="1" applyNumberFormat="0" applyAlignment="0" applyProtection="0"/>
    <xf numFmtId="0" fontId="46" fillId="51" borderId="7" applyNumberFormat="0" applyProtection="0">
      <alignment vertical="center"/>
    </xf>
    <xf numFmtId="0" fontId="47" fillId="11" borderId="1" applyNumberFormat="0" applyAlignment="0" applyProtection="0"/>
    <xf numFmtId="0" fontId="46" fillId="52" borderId="7" applyNumberFormat="0" applyAlignment="0" applyProtection="0"/>
    <xf numFmtId="0" fontId="46" fillId="51" borderId="7" applyNumberFormat="0" applyAlignment="0" applyProtection="0"/>
    <xf numFmtId="0" fontId="47" fillId="11" borderId="1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7" fillId="11" borderId="1" applyNumberFormat="0" applyAlignment="0" applyProtection="0"/>
    <xf numFmtId="0" fontId="47" fillId="11" borderId="1" applyNumberFormat="0" applyAlignment="0" applyProtection="0"/>
    <xf numFmtId="0" fontId="47" fillId="11" borderId="1" applyNumberFormat="0" applyAlignment="0" applyProtection="0"/>
    <xf numFmtId="0" fontId="46" fillId="51" borderId="7" applyNumberFormat="0" applyProtection="0">
      <alignment vertical="center"/>
    </xf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47" fillId="11" borderId="1" applyNumberFormat="0" applyAlignment="0" applyProtection="0"/>
    <xf numFmtId="0" fontId="46" fillId="51" borderId="7" applyNumberFormat="0" applyAlignment="0" applyProtection="0"/>
    <xf numFmtId="0" fontId="46" fillId="51" borderId="7" applyNumberFormat="0" applyProtection="0">
      <alignment vertical="center"/>
    </xf>
    <xf numFmtId="0" fontId="46" fillId="51" borderId="7" applyNumberFormat="0" applyAlignment="0" applyProtection="0"/>
    <xf numFmtId="0" fontId="46" fillId="51" borderId="7" applyNumberFormat="0" applyAlignment="0" applyProtection="0"/>
    <xf numFmtId="0" fontId="46" fillId="51" borderId="7" applyNumberFormat="0" applyAlignment="0" applyProtection="0"/>
    <xf numFmtId="0" fontId="13" fillId="11" borderId="1" applyNumberFormat="0" applyAlignment="0" applyProtection="0"/>
    <xf numFmtId="0" fontId="16" fillId="0" borderId="3" applyNumberFormat="0" applyFill="0" applyAlignment="0" applyProtection="0"/>
    <xf numFmtId="0" fontId="48" fillId="0" borderId="15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8" fillId="0" borderId="15" applyNumberFormat="0" applyFill="0" applyProtection="0">
      <alignment vertical="center"/>
    </xf>
    <xf numFmtId="0" fontId="49" fillId="0" borderId="3" applyNumberFormat="0" applyFill="0" applyAlignment="0" applyProtection="0"/>
    <xf numFmtId="0" fontId="48" fillId="0" borderId="15" applyNumberFormat="0" applyFill="0" applyAlignment="0" applyProtection="0"/>
    <xf numFmtId="0" fontId="49" fillId="0" borderId="3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8" fillId="0" borderId="15" applyNumberFormat="0" applyFill="0" applyProtection="0">
      <alignment vertical="center"/>
    </xf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3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Protection="0">
      <alignment vertical="center"/>
    </xf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16" fillId="0" borderId="3" applyNumberFormat="0" applyFill="0" applyAlignment="0" applyProtection="0"/>
    <xf numFmtId="0" fontId="12" fillId="10" borderId="0" applyNumberFormat="0" applyBorder="0" applyAlignment="0" applyProtection="0"/>
    <xf numFmtId="0" fontId="50" fillId="58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0" fillId="58" borderId="0" applyNumberFormat="0" applyBorder="0" applyProtection="0">
      <alignment vertical="center"/>
    </xf>
    <xf numFmtId="0" fontId="51" fillId="10" borderId="0" applyNumberFormat="0" applyBorder="0" applyAlignment="0" applyProtection="0"/>
    <xf numFmtId="0" fontId="50" fillId="84" borderId="0" applyNumberFormat="0" applyBorder="0" applyAlignment="0" applyProtection="0"/>
    <xf numFmtId="0" fontId="50" fillId="58" borderId="0" applyNumberFormat="0" applyBorder="0" applyAlignment="0" applyProtection="0"/>
    <xf numFmtId="0" fontId="51" fillId="10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0" fillId="58" borderId="0" applyNumberFormat="0" applyBorder="0" applyProtection="0">
      <alignment vertical="center"/>
    </xf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1" fillId="10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Protection="0">
      <alignment vertical="center"/>
    </xf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2" fillId="10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2" fillId="0" borderId="0">
      <alignment vertical="center"/>
    </xf>
    <xf numFmtId="0" fontId="9" fillId="0" borderId="0"/>
    <xf numFmtId="0" fontId="53" fillId="0" borderId="0">
      <alignment vertical="center"/>
    </xf>
    <xf numFmtId="0" fontId="9" fillId="0" borderId="0"/>
    <xf numFmtId="0" fontId="9" fillId="0" borderId="0"/>
    <xf numFmtId="0" fontId="53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3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1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21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21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2" fillId="0" borderId="0">
      <alignment vertical="center"/>
    </xf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2" fillId="0" borderId="0">
      <alignment vertical="center"/>
    </xf>
    <xf numFmtId="0" fontId="21" fillId="0" borderId="0"/>
    <xf numFmtId="0" fontId="20" fillId="0" borderId="0"/>
    <xf numFmtId="0" fontId="32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3" fillId="0" borderId="0"/>
    <xf numFmtId="0" fontId="21" fillId="0" borderId="0"/>
    <xf numFmtId="0" fontId="54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21" fillId="0" borderId="0"/>
    <xf numFmtId="0" fontId="5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55" fillId="0" borderId="0">
      <alignment vertical="center"/>
    </xf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>
      <alignment vertical="center"/>
    </xf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5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33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0" fillId="0" borderId="0"/>
    <xf numFmtId="0" fontId="33" fillId="0" borderId="0"/>
    <xf numFmtId="0" fontId="21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20" fillId="0" borderId="0"/>
    <xf numFmtId="0" fontId="9" fillId="0" borderId="0"/>
    <xf numFmtId="0" fontId="5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>
      <alignment vertical="center"/>
    </xf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33" fillId="0" borderId="0"/>
    <xf numFmtId="0" fontId="9" fillId="0" borderId="0"/>
    <xf numFmtId="0" fontId="9" fillId="0" borderId="0"/>
    <xf numFmtId="0" fontId="52" fillId="0" borderId="0">
      <alignment vertical="center"/>
    </xf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>
      <alignment vertical="center"/>
    </xf>
    <xf numFmtId="0" fontId="33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20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>
      <alignment vertical="center"/>
    </xf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9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2" fillId="0" borderId="0"/>
    <xf numFmtId="0" fontId="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32" fillId="14" borderId="5" applyNumberFormat="0" applyFont="0" applyAlignment="0" applyProtection="0"/>
    <xf numFmtId="0" fontId="21" fillId="14" borderId="5" applyNumberFormat="0" applyFont="0" applyAlignment="0" applyProtection="0"/>
    <xf numFmtId="0" fontId="32" fillId="14" borderId="5" applyNumberFormat="0" applyFont="0" applyAlignment="0" applyProtection="0"/>
    <xf numFmtId="0" fontId="21" fillId="14" borderId="5" applyNumberFormat="0" applyFont="0" applyAlignment="0" applyProtection="0"/>
    <xf numFmtId="0" fontId="32" fillId="14" borderId="5" applyNumberFormat="0" applyFont="0" applyAlignment="0" applyProtection="0"/>
    <xf numFmtId="0" fontId="21" fillId="14" borderId="5" applyNumberFormat="0" applyFont="0" applyAlignment="0" applyProtection="0"/>
    <xf numFmtId="0" fontId="32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53" fillId="49" borderId="16" applyNumberFormat="0" applyProtection="0">
      <alignment vertical="center"/>
    </xf>
    <xf numFmtId="0" fontId="20" fillId="49" borderId="16" applyNumberFormat="0" applyAlignment="0" applyProtection="0"/>
    <xf numFmtId="0" fontId="20" fillId="49" borderId="16" applyNumberFormat="0" applyAlignment="0" applyProtection="0"/>
    <xf numFmtId="0" fontId="32" fillId="14" borderId="5" applyNumberFormat="0" applyFont="0" applyAlignment="0" applyProtection="0"/>
    <xf numFmtId="0" fontId="32" fillId="14" borderId="5" applyNumberFormat="0" applyFont="0" applyAlignment="0" applyProtection="0"/>
    <xf numFmtId="0" fontId="32" fillId="14" borderId="5" applyNumberFormat="0" applyFont="0" applyAlignment="0" applyProtection="0"/>
    <xf numFmtId="0" fontId="32" fillId="14" borderId="5" applyNumberFormat="0" applyFont="0" applyAlignment="0" applyProtection="0"/>
    <xf numFmtId="0" fontId="33" fillId="85" borderId="16" applyNumberFormat="0" applyFon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32" fillId="14" borderId="5" applyNumberFormat="0" applyFon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53" fillId="49" borderId="16" applyNumberFormat="0" applyProtection="0">
      <alignment vertical="center"/>
    </xf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21" fillId="14" borderId="5" applyNumberFormat="0" applyFont="0" applyAlignment="0" applyProtection="0"/>
    <xf numFmtId="0" fontId="32" fillId="14" borderId="5" applyNumberFormat="0" applyFont="0" applyAlignment="0" applyProtection="0"/>
    <xf numFmtId="0" fontId="53" fillId="49" borderId="16" applyNumberFormat="0" applyProtection="0">
      <alignment vertical="center"/>
    </xf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21" fillId="14" borderId="5" applyNumberFormat="0" applyFont="0" applyAlignment="0" applyProtection="0"/>
    <xf numFmtId="0" fontId="20" fillId="49" borderId="16" applyNumberFormat="0" applyAlignment="0" applyProtection="0"/>
    <xf numFmtId="0" fontId="14" fillId="12" borderId="2" applyNumberFormat="0" applyAlignment="0" applyProtection="0"/>
    <xf numFmtId="0" fontId="56" fillId="80" borderId="17" applyNumberFormat="0" applyAlignment="0" applyProtection="0"/>
    <xf numFmtId="0" fontId="57" fillId="12" borderId="2" applyNumberFormat="0" applyAlignment="0" applyProtection="0"/>
    <xf numFmtId="0" fontId="57" fillId="12" borderId="2" applyNumberFormat="0" applyAlignment="0" applyProtection="0"/>
    <xf numFmtId="0" fontId="57" fillId="12" borderId="2" applyNumberFormat="0" applyAlignment="0" applyProtection="0"/>
    <xf numFmtId="0" fontId="57" fillId="12" borderId="2" applyNumberFormat="0" applyAlignment="0" applyProtection="0"/>
    <xf numFmtId="0" fontId="56" fillId="80" borderId="17" applyNumberFormat="0" applyProtection="0">
      <alignment vertical="center"/>
    </xf>
    <xf numFmtId="0" fontId="57" fillId="12" borderId="2" applyNumberFormat="0" applyAlignment="0" applyProtection="0"/>
    <xf numFmtId="0" fontId="56" fillId="81" borderId="17" applyNumberFormat="0" applyAlignment="0" applyProtection="0"/>
    <xf numFmtId="0" fontId="56" fillId="80" borderId="17" applyNumberFormat="0" applyAlignment="0" applyProtection="0"/>
    <xf numFmtId="0" fontId="57" fillId="12" borderId="2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7" fillId="12" borderId="2" applyNumberFormat="0" applyAlignment="0" applyProtection="0"/>
    <xf numFmtId="0" fontId="57" fillId="12" borderId="2" applyNumberFormat="0" applyAlignment="0" applyProtection="0"/>
    <xf numFmtId="0" fontId="57" fillId="12" borderId="2" applyNumberFormat="0" applyAlignment="0" applyProtection="0"/>
    <xf numFmtId="0" fontId="56" fillId="80" borderId="17" applyNumberFormat="0" applyProtection="0">
      <alignment vertical="center"/>
    </xf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57" fillId="12" borderId="2" applyNumberFormat="0" applyAlignment="0" applyProtection="0"/>
    <xf numFmtId="0" fontId="56" fillId="80" borderId="17" applyNumberFormat="0" applyAlignment="0" applyProtection="0"/>
    <xf numFmtId="0" fontId="56" fillId="80" borderId="17" applyNumberFormat="0" applyProtection="0">
      <alignment vertical="center"/>
    </xf>
    <xf numFmtId="0" fontId="56" fillId="80" borderId="17" applyNumberFormat="0" applyAlignment="0" applyProtection="0"/>
    <xf numFmtId="0" fontId="56" fillId="80" borderId="17" applyNumberFormat="0" applyAlignment="0" applyProtection="0"/>
    <xf numFmtId="0" fontId="56" fillId="80" borderId="17" applyNumberFormat="0" applyAlignment="0" applyProtection="0"/>
    <xf numFmtId="0" fontId="14" fillId="12" borderId="2" applyNumberFormat="0" applyAlignment="0" applyProtection="0"/>
    <xf numFmtId="4" fontId="58" fillId="61" borderId="18">
      <alignment horizontal="left" vertical="center" indent="1"/>
    </xf>
    <xf numFmtId="0" fontId="59" fillId="0" borderId="0" applyNumberFormat="0" applyFill="0" applyBorder="0" applyProtection="0">
      <alignment vertical="center"/>
    </xf>
    <xf numFmtId="0" fontId="60" fillId="0" borderId="0" applyNumberFormat="0" applyFill="0" applyBorder="0" applyAlignment="0" applyProtection="0"/>
    <xf numFmtId="0" fontId="59" fillId="0" borderId="0" applyNumberFormat="0" applyFill="0" applyBorder="0" applyProtection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9" fillId="0" borderId="0" applyNumberFormat="0" applyFill="0" applyBorder="0" applyProtection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" fillId="0" borderId="6" applyNumberFormat="0" applyFill="0" applyAlignment="0" applyProtection="0"/>
    <xf numFmtId="0" fontId="61" fillId="0" borderId="19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62" fillId="0" borderId="20" applyNumberFormat="0" applyFill="0" applyProtection="0">
      <alignment vertical="center"/>
    </xf>
    <xf numFmtId="0" fontId="5" fillId="0" borderId="6" applyNumberFormat="0" applyFill="0" applyAlignment="0" applyProtection="0"/>
    <xf numFmtId="0" fontId="61" fillId="0" borderId="19" applyNumberFormat="0" applyFill="0" applyAlignment="0" applyProtection="0"/>
    <xf numFmtId="0" fontId="5" fillId="0" borderId="6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62" fillId="0" borderId="20" applyNumberFormat="0" applyFill="0" applyProtection="0">
      <alignment vertical="center"/>
    </xf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5" fillId="0" borderId="6" applyNumberFormat="0" applyFill="0" applyAlignment="0" applyProtection="0"/>
    <xf numFmtId="0" fontId="61" fillId="0" borderId="19" applyNumberFormat="0" applyFill="0" applyAlignment="0" applyProtection="0"/>
    <xf numFmtId="0" fontId="62" fillId="0" borderId="20" applyNumberFormat="0" applyFill="0" applyProtection="0">
      <alignment vertical="center"/>
    </xf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2" fillId="0" borderId="6" applyNumberFormat="0" applyFill="0" applyAlignment="0" applyProtection="0"/>
    <xf numFmtId="0" fontId="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Protection="0">
      <alignment vertical="center"/>
    </xf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Protection="0">
      <alignment vertical="center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Protection="0">
      <alignment vertical="center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8" fontId="20" fillId="0" borderId="0" applyFill="0" applyBorder="0" applyAlignment="0" applyProtection="0"/>
    <xf numFmtId="0" fontId="65" fillId="0" borderId="0"/>
    <xf numFmtId="0" fontId="20" fillId="0" borderId="0"/>
    <xf numFmtId="169" fontId="66" fillId="0" borderId="0" applyFill="0" applyBorder="0" applyProtection="0">
      <alignment vertical="center"/>
    </xf>
    <xf numFmtId="0" fontId="33" fillId="0" borderId="0"/>
  </cellStyleXfs>
  <cellXfs count="75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64" fontId="7" fillId="6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164" fontId="0" fillId="0" borderId="0" xfId="0" applyNumberForma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165" fontId="7" fillId="6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center" vertical="center" wrapText="1"/>
    </xf>
    <xf numFmtId="164" fontId="2" fillId="3" borderId="21" xfId="0" applyNumberFormat="1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164" fontId="2" fillId="4" borderId="21" xfId="0" applyNumberFormat="1" applyFont="1" applyFill="1" applyBorder="1" applyAlignment="1">
      <alignment horizontal="center" vertical="center" wrapText="1"/>
    </xf>
    <xf numFmtId="164" fontId="2" fillId="5" borderId="21" xfId="0" applyNumberFormat="1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4" fontId="2" fillId="3" borderId="21" xfId="0" applyNumberFormat="1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/>
    </xf>
    <xf numFmtId="164" fontId="3" fillId="7" borderId="21" xfId="0" applyNumberFormat="1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left" vertical="center"/>
    </xf>
    <xf numFmtId="0" fontId="0" fillId="7" borderId="21" xfId="0" applyFill="1" applyBorder="1" applyAlignment="1">
      <alignment horizontal="center" vertical="center"/>
    </xf>
    <xf numFmtId="164" fontId="0" fillId="7" borderId="21" xfId="0" applyNumberForma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/>
    </xf>
    <xf numFmtId="0" fontId="67" fillId="7" borderId="21" xfId="0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67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0" fillId="7" borderId="21" xfId="0" applyNumberFormat="1" applyFill="1" applyBorder="1" applyAlignment="1">
      <alignment horizontal="center" vertical="center"/>
    </xf>
    <xf numFmtId="165" fontId="0" fillId="7" borderId="21" xfId="0" applyNumberFormat="1" applyFill="1" applyBorder="1" applyAlignment="1">
      <alignment horizontal="center" vertical="center"/>
    </xf>
    <xf numFmtId="0" fontId="7" fillId="6" borderId="0" xfId="0" applyNumberFormat="1" applyFont="1" applyFill="1" applyBorder="1" applyAlignment="1">
      <alignment horizontal="center" vertical="center"/>
    </xf>
    <xf numFmtId="165" fontId="0" fillId="7" borderId="0" xfId="0" applyNumberFormat="1" applyFill="1" applyBorder="1" applyAlignment="1">
      <alignment horizontal="center" vertical="center"/>
    </xf>
    <xf numFmtId="0" fontId="7" fillId="6" borderId="0" xfId="0" applyFont="1" applyFill="1" applyBorder="1" applyAlignment="1" applyProtection="1">
      <alignment horizontal="center" vertical="center"/>
    </xf>
    <xf numFmtId="0" fontId="69" fillId="6" borderId="0" xfId="0" applyFont="1" applyFill="1" applyBorder="1" applyAlignment="1">
      <alignment horizontal="center" vertical="center"/>
    </xf>
    <xf numFmtId="0" fontId="0" fillId="7" borderId="0" xfId="0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0" fontId="69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69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165" fontId="67" fillId="0" borderId="0" xfId="0" applyNumberFormat="1" applyFont="1" applyFill="1" applyBorder="1" applyAlignment="1">
      <alignment horizontal="center" vertical="center"/>
    </xf>
    <xf numFmtId="165" fontId="69" fillId="0" borderId="0" xfId="0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left" vertical="center" wrapText="1"/>
    </xf>
    <xf numFmtId="0" fontId="68" fillId="0" borderId="0" xfId="0" applyFont="1" applyFill="1" applyBorder="1" applyAlignment="1">
      <alignment horizontal="left" vertical="center" wrapText="1"/>
    </xf>
    <xf numFmtId="0" fontId="1" fillId="7" borderId="21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4" fontId="71" fillId="0" borderId="0" xfId="0" applyNumberFormat="1" applyFont="1" applyFill="1" applyBorder="1" applyAlignment="1">
      <alignment horizontal="center" vertical="center"/>
    </xf>
    <xf numFmtId="0" fontId="71" fillId="0" borderId="0" xfId="0" applyNumberFormat="1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170" fontId="7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</cellXfs>
  <cellStyles count="3006">
    <cellStyle name="_AF tracking Rpt-0421_SU10-03-05 RPM XP_FA10-04-06 RPM XP廠_HO10-07-09 RPM-OGAC A" xfId="1"/>
    <cellStyle name="_AF tracking Rpt-0421_SU10-03-05 RPM XP_FA10-04-06 RPM XP廠_HO10-07-09 RPM-OGAC A 2" xfId="2"/>
    <cellStyle name="20% - Accent1 10" xfId="3"/>
    <cellStyle name="20% - Accent1 10 2" xfId="4"/>
    <cellStyle name="20% - Accent1 11" xfId="5"/>
    <cellStyle name="20% - Accent1 11 2" xfId="6"/>
    <cellStyle name="20% - Accent1 12" xfId="7"/>
    <cellStyle name="20% - Accent1 12 2" xfId="8"/>
    <cellStyle name="20% - Accent1 13" xfId="9"/>
    <cellStyle name="20% - Accent1 13 2" xfId="10"/>
    <cellStyle name="20% - Accent1 14" xfId="11"/>
    <cellStyle name="20% - Accent1 14 2" xfId="12"/>
    <cellStyle name="20% - Accent1 15" xfId="13"/>
    <cellStyle name="20% - Accent1 15 2" xfId="14"/>
    <cellStyle name="20% - Accent1 16" xfId="15"/>
    <cellStyle name="20% - Accent1 16 2" xfId="16"/>
    <cellStyle name="20% - Accent1 17" xfId="17"/>
    <cellStyle name="20% - Accent1 17 2" xfId="18"/>
    <cellStyle name="20% - Accent1 18" xfId="19"/>
    <cellStyle name="20% - Accent1 18 2" xfId="20"/>
    <cellStyle name="20% - Accent1 19" xfId="21"/>
    <cellStyle name="20% - Accent1 19 2" xfId="22"/>
    <cellStyle name="20% - Accent1 2" xfId="23"/>
    <cellStyle name="20% - Accent1 2 10" xfId="24"/>
    <cellStyle name="20% - Accent1 2 2" xfId="25"/>
    <cellStyle name="20% - Accent1 2 2 2" xfId="26"/>
    <cellStyle name="20% - Accent1 2 2 2 2" xfId="27"/>
    <cellStyle name="20% - Accent1 2 2 2 2 2" xfId="28"/>
    <cellStyle name="20% - Accent1 2 2 3" xfId="29"/>
    <cellStyle name="20% - Accent1 2 2 4" xfId="30"/>
    <cellStyle name="20% - Accent1 2 2 5" xfId="31"/>
    <cellStyle name="20% - Accent1 2 2 6" xfId="32"/>
    <cellStyle name="20% - Accent1 2 3" xfId="33"/>
    <cellStyle name="20% - Accent1 2 4" xfId="34"/>
    <cellStyle name="20% - Accent1 2 5" xfId="35"/>
    <cellStyle name="20% - Accent1 2 6" xfId="36"/>
    <cellStyle name="20% - Accent1 2 7" xfId="37"/>
    <cellStyle name="20% - Accent1 2 8" xfId="38"/>
    <cellStyle name="20% - Accent1 2 9" xfId="39"/>
    <cellStyle name="20% - Accent1 20" xfId="40"/>
    <cellStyle name="20% - Accent1 20 2" xfId="41"/>
    <cellStyle name="20% - Accent1 21" xfId="42"/>
    <cellStyle name="20% - Accent1 21 2" xfId="43"/>
    <cellStyle name="20% - Accent1 22" xfId="44"/>
    <cellStyle name="20% - Accent1 22 2" xfId="45"/>
    <cellStyle name="20% - Accent1 23" xfId="46"/>
    <cellStyle name="20% - Accent1 23 2" xfId="47"/>
    <cellStyle name="20% - Accent1 24" xfId="48"/>
    <cellStyle name="20% - Accent1 24 2" xfId="49"/>
    <cellStyle name="20% - Accent1 25" xfId="50"/>
    <cellStyle name="20% - Accent1 25 2" xfId="51"/>
    <cellStyle name="20% - Accent1 26" xfId="52"/>
    <cellStyle name="20% - Accent1 26 2" xfId="53"/>
    <cellStyle name="20% - Accent1 27" xfId="54"/>
    <cellStyle name="20% - Accent1 27 2" xfId="55"/>
    <cellStyle name="20% - Accent1 28" xfId="56"/>
    <cellStyle name="20% - Accent1 28 2" xfId="57"/>
    <cellStyle name="20% - Accent1 29" xfId="58"/>
    <cellStyle name="20% - Accent1 29 2" xfId="59"/>
    <cellStyle name="20% - Accent1 3" xfId="60"/>
    <cellStyle name="20% - Accent1 3 2" xfId="61"/>
    <cellStyle name="20% - Accent1 3 3" xfId="62"/>
    <cellStyle name="20% - Accent1 3 4" xfId="63"/>
    <cellStyle name="20% - Accent1 3 5" xfId="64"/>
    <cellStyle name="20% - Accent1 3 6" xfId="65"/>
    <cellStyle name="20% - Accent1 30" xfId="66"/>
    <cellStyle name="20% - Accent1 30 2" xfId="67"/>
    <cellStyle name="20% - Accent1 31" xfId="68"/>
    <cellStyle name="20% - Accent1 31 2" xfId="69"/>
    <cellStyle name="20% - Accent1 32" xfId="70"/>
    <cellStyle name="20% - Accent1 32 2" xfId="71"/>
    <cellStyle name="20% - Accent1 33" xfId="72"/>
    <cellStyle name="20% - Accent1 33 2" xfId="73"/>
    <cellStyle name="20% - Accent1 34" xfId="74"/>
    <cellStyle name="20% - Accent1 34 2" xfId="75"/>
    <cellStyle name="20% - Accent1 35" xfId="76"/>
    <cellStyle name="20% - Accent1 35 2" xfId="77"/>
    <cellStyle name="20% - Accent1 36" xfId="78"/>
    <cellStyle name="20% - Accent1 36 2" xfId="79"/>
    <cellStyle name="20% - Accent1 37" xfId="80"/>
    <cellStyle name="20% - Accent1 37 2" xfId="81"/>
    <cellStyle name="20% - Accent1 38" xfId="82"/>
    <cellStyle name="20% - Accent1 39" xfId="83"/>
    <cellStyle name="20% - Accent1 4" xfId="84"/>
    <cellStyle name="20% - Accent1 4 2" xfId="85"/>
    <cellStyle name="20% - Accent1 40" xfId="86"/>
    <cellStyle name="20% - Accent1 41" xfId="87"/>
    <cellStyle name="20% - Accent1 42" xfId="88"/>
    <cellStyle name="20% - Accent1 43" xfId="89"/>
    <cellStyle name="20% - Accent1 5" xfId="90"/>
    <cellStyle name="20% - Accent1 5 2" xfId="91"/>
    <cellStyle name="20% - Accent1 6" xfId="92"/>
    <cellStyle name="20% - Accent1 6 2" xfId="93"/>
    <cellStyle name="20% - Accent1 7" xfId="94"/>
    <cellStyle name="20% - Accent1 7 2" xfId="95"/>
    <cellStyle name="20% - Accent1 8" xfId="96"/>
    <cellStyle name="20% - Accent1 8 2" xfId="97"/>
    <cellStyle name="20% - Accent1 9" xfId="98"/>
    <cellStyle name="20% - Accent1 9 2" xfId="99"/>
    <cellStyle name="20% - Accent2 10" xfId="100"/>
    <cellStyle name="20% - Accent2 10 2" xfId="101"/>
    <cellStyle name="20% - Accent2 11" xfId="102"/>
    <cellStyle name="20% - Accent2 11 2" xfId="103"/>
    <cellStyle name="20% - Accent2 12" xfId="104"/>
    <cellStyle name="20% - Accent2 12 2" xfId="105"/>
    <cellStyle name="20% - Accent2 13" xfId="106"/>
    <cellStyle name="20% - Accent2 13 2" xfId="107"/>
    <cellStyle name="20% - Accent2 14" xfId="108"/>
    <cellStyle name="20% - Accent2 14 2" xfId="109"/>
    <cellStyle name="20% - Accent2 15" xfId="110"/>
    <cellStyle name="20% - Accent2 15 2" xfId="111"/>
    <cellStyle name="20% - Accent2 16" xfId="112"/>
    <cellStyle name="20% - Accent2 16 2" xfId="113"/>
    <cellStyle name="20% - Accent2 17" xfId="114"/>
    <cellStyle name="20% - Accent2 17 2" xfId="115"/>
    <cellStyle name="20% - Accent2 18" xfId="116"/>
    <cellStyle name="20% - Accent2 18 2" xfId="117"/>
    <cellStyle name="20% - Accent2 19" xfId="118"/>
    <cellStyle name="20% - Accent2 19 2" xfId="119"/>
    <cellStyle name="20% - Accent2 2" xfId="120"/>
    <cellStyle name="20% - Accent2 2 10" xfId="121"/>
    <cellStyle name="20% - Accent2 2 2" xfId="122"/>
    <cellStyle name="20% - Accent2 2 2 2" xfId="123"/>
    <cellStyle name="20% - Accent2 2 2 2 2" xfId="124"/>
    <cellStyle name="20% - Accent2 2 2 2 2 2" xfId="125"/>
    <cellStyle name="20% - Accent2 2 2 3" xfId="126"/>
    <cellStyle name="20% - Accent2 2 2 4" xfId="127"/>
    <cellStyle name="20% - Accent2 2 2 5" xfId="128"/>
    <cellStyle name="20% - Accent2 2 2 6" xfId="129"/>
    <cellStyle name="20% - Accent2 2 3" xfId="130"/>
    <cellStyle name="20% - Accent2 2 4" xfId="131"/>
    <cellStyle name="20% - Accent2 2 5" xfId="132"/>
    <cellStyle name="20% - Accent2 2 6" xfId="133"/>
    <cellStyle name="20% - Accent2 2 7" xfId="134"/>
    <cellStyle name="20% - Accent2 2 8" xfId="135"/>
    <cellStyle name="20% - Accent2 2 9" xfId="136"/>
    <cellStyle name="20% - Accent2 20" xfId="137"/>
    <cellStyle name="20% - Accent2 20 2" xfId="138"/>
    <cellStyle name="20% - Accent2 21" xfId="139"/>
    <cellStyle name="20% - Accent2 21 2" xfId="140"/>
    <cellStyle name="20% - Accent2 22" xfId="141"/>
    <cellStyle name="20% - Accent2 22 2" xfId="142"/>
    <cellStyle name="20% - Accent2 23" xfId="143"/>
    <cellStyle name="20% - Accent2 23 2" xfId="144"/>
    <cellStyle name="20% - Accent2 24" xfId="145"/>
    <cellStyle name="20% - Accent2 24 2" xfId="146"/>
    <cellStyle name="20% - Accent2 25" xfId="147"/>
    <cellStyle name="20% - Accent2 25 2" xfId="148"/>
    <cellStyle name="20% - Accent2 26" xfId="149"/>
    <cellStyle name="20% - Accent2 26 2" xfId="150"/>
    <cellStyle name="20% - Accent2 27" xfId="151"/>
    <cellStyle name="20% - Accent2 27 2" xfId="152"/>
    <cellStyle name="20% - Accent2 28" xfId="153"/>
    <cellStyle name="20% - Accent2 28 2" xfId="154"/>
    <cellStyle name="20% - Accent2 29" xfId="155"/>
    <cellStyle name="20% - Accent2 29 2" xfId="156"/>
    <cellStyle name="20% - Accent2 3" xfId="157"/>
    <cellStyle name="20% - Accent2 3 2" xfId="158"/>
    <cellStyle name="20% - Accent2 3 3" xfId="159"/>
    <cellStyle name="20% - Accent2 3 4" xfId="160"/>
    <cellStyle name="20% - Accent2 3 5" xfId="161"/>
    <cellStyle name="20% - Accent2 3 6" xfId="162"/>
    <cellStyle name="20% - Accent2 30" xfId="163"/>
    <cellStyle name="20% - Accent2 30 2" xfId="164"/>
    <cellStyle name="20% - Accent2 31" xfId="165"/>
    <cellStyle name="20% - Accent2 31 2" xfId="166"/>
    <cellStyle name="20% - Accent2 32" xfId="167"/>
    <cellStyle name="20% - Accent2 32 2" xfId="168"/>
    <cellStyle name="20% - Accent2 33" xfId="169"/>
    <cellStyle name="20% - Accent2 33 2" xfId="170"/>
    <cellStyle name="20% - Accent2 34" xfId="171"/>
    <cellStyle name="20% - Accent2 34 2" xfId="172"/>
    <cellStyle name="20% - Accent2 35" xfId="173"/>
    <cellStyle name="20% - Accent2 35 2" xfId="174"/>
    <cellStyle name="20% - Accent2 36" xfId="175"/>
    <cellStyle name="20% - Accent2 36 2" xfId="176"/>
    <cellStyle name="20% - Accent2 37" xfId="177"/>
    <cellStyle name="20% - Accent2 37 2" xfId="178"/>
    <cellStyle name="20% - Accent2 38" xfId="179"/>
    <cellStyle name="20% - Accent2 39" xfId="180"/>
    <cellStyle name="20% - Accent2 4" xfId="181"/>
    <cellStyle name="20% - Accent2 4 2" xfId="182"/>
    <cellStyle name="20% - Accent2 40" xfId="183"/>
    <cellStyle name="20% - Accent2 41" xfId="184"/>
    <cellStyle name="20% - Accent2 42" xfId="185"/>
    <cellStyle name="20% - Accent2 43" xfId="186"/>
    <cellStyle name="20% - Accent2 5" xfId="187"/>
    <cellStyle name="20% - Accent2 5 2" xfId="188"/>
    <cellStyle name="20% - Accent2 6" xfId="189"/>
    <cellStyle name="20% - Accent2 6 2" xfId="190"/>
    <cellStyle name="20% - Accent2 7" xfId="191"/>
    <cellStyle name="20% - Accent2 7 2" xfId="192"/>
    <cellStyle name="20% - Accent2 8" xfId="193"/>
    <cellStyle name="20% - Accent2 8 2" xfId="194"/>
    <cellStyle name="20% - Accent2 9" xfId="195"/>
    <cellStyle name="20% - Accent2 9 2" xfId="196"/>
    <cellStyle name="20% - Accent3 10" xfId="197"/>
    <cellStyle name="20% - Accent3 10 2" xfId="198"/>
    <cellStyle name="20% - Accent3 11" xfId="199"/>
    <cellStyle name="20% - Accent3 11 2" xfId="200"/>
    <cellStyle name="20% - Accent3 12" xfId="201"/>
    <cellStyle name="20% - Accent3 12 2" xfId="202"/>
    <cellStyle name="20% - Accent3 13" xfId="203"/>
    <cellStyle name="20% - Accent3 13 2" xfId="204"/>
    <cellStyle name="20% - Accent3 14" xfId="205"/>
    <cellStyle name="20% - Accent3 14 2" xfId="206"/>
    <cellStyle name="20% - Accent3 15" xfId="207"/>
    <cellStyle name="20% - Accent3 15 2" xfId="208"/>
    <cellStyle name="20% - Accent3 16" xfId="209"/>
    <cellStyle name="20% - Accent3 16 2" xfId="210"/>
    <cellStyle name="20% - Accent3 17" xfId="211"/>
    <cellStyle name="20% - Accent3 17 2" xfId="212"/>
    <cellStyle name="20% - Accent3 18" xfId="213"/>
    <cellStyle name="20% - Accent3 18 2" xfId="214"/>
    <cellStyle name="20% - Accent3 19" xfId="215"/>
    <cellStyle name="20% - Accent3 19 2" xfId="216"/>
    <cellStyle name="20% - Accent3 2" xfId="217"/>
    <cellStyle name="20% - Accent3 2 10" xfId="218"/>
    <cellStyle name="20% - Accent3 2 2" xfId="219"/>
    <cellStyle name="20% - Accent3 2 2 2" xfId="220"/>
    <cellStyle name="20% - Accent3 2 2 2 2" xfId="221"/>
    <cellStyle name="20% - Accent3 2 2 2 2 2" xfId="222"/>
    <cellStyle name="20% - Accent3 2 2 3" xfId="223"/>
    <cellStyle name="20% - Accent3 2 2 4" xfId="224"/>
    <cellStyle name="20% - Accent3 2 2 5" xfId="225"/>
    <cellStyle name="20% - Accent3 2 2 6" xfId="226"/>
    <cellStyle name="20% - Accent3 2 3" xfId="227"/>
    <cellStyle name="20% - Accent3 2 4" xfId="228"/>
    <cellStyle name="20% - Accent3 2 5" xfId="229"/>
    <cellStyle name="20% - Accent3 2 6" xfId="230"/>
    <cellStyle name="20% - Accent3 2 7" xfId="231"/>
    <cellStyle name="20% - Accent3 2 8" xfId="232"/>
    <cellStyle name="20% - Accent3 2 9" xfId="233"/>
    <cellStyle name="20% - Accent3 20" xfId="234"/>
    <cellStyle name="20% - Accent3 20 2" xfId="235"/>
    <cellStyle name="20% - Accent3 21" xfId="236"/>
    <cellStyle name="20% - Accent3 21 2" xfId="237"/>
    <cellStyle name="20% - Accent3 22" xfId="238"/>
    <cellStyle name="20% - Accent3 22 2" xfId="239"/>
    <cellStyle name="20% - Accent3 23" xfId="240"/>
    <cellStyle name="20% - Accent3 23 2" xfId="241"/>
    <cellStyle name="20% - Accent3 24" xfId="242"/>
    <cellStyle name="20% - Accent3 24 2" xfId="243"/>
    <cellStyle name="20% - Accent3 25" xfId="244"/>
    <cellStyle name="20% - Accent3 25 2" xfId="245"/>
    <cellStyle name="20% - Accent3 26" xfId="246"/>
    <cellStyle name="20% - Accent3 26 2" xfId="247"/>
    <cellStyle name="20% - Accent3 27" xfId="248"/>
    <cellStyle name="20% - Accent3 27 2" xfId="249"/>
    <cellStyle name="20% - Accent3 28" xfId="250"/>
    <cellStyle name="20% - Accent3 28 2" xfId="251"/>
    <cellStyle name="20% - Accent3 29" xfId="252"/>
    <cellStyle name="20% - Accent3 29 2" xfId="253"/>
    <cellStyle name="20% - Accent3 3" xfId="254"/>
    <cellStyle name="20% - Accent3 3 2" xfId="255"/>
    <cellStyle name="20% - Accent3 3 3" xfId="256"/>
    <cellStyle name="20% - Accent3 3 4" xfId="257"/>
    <cellStyle name="20% - Accent3 3 5" xfId="258"/>
    <cellStyle name="20% - Accent3 3 6" xfId="259"/>
    <cellStyle name="20% - Accent3 30" xfId="260"/>
    <cellStyle name="20% - Accent3 30 2" xfId="261"/>
    <cellStyle name="20% - Accent3 31" xfId="262"/>
    <cellStyle name="20% - Accent3 31 2" xfId="263"/>
    <cellStyle name="20% - Accent3 32" xfId="264"/>
    <cellStyle name="20% - Accent3 32 2" xfId="265"/>
    <cellStyle name="20% - Accent3 33" xfId="266"/>
    <cellStyle name="20% - Accent3 33 2" xfId="267"/>
    <cellStyle name="20% - Accent3 34" xfId="268"/>
    <cellStyle name="20% - Accent3 34 2" xfId="269"/>
    <cellStyle name="20% - Accent3 35" xfId="270"/>
    <cellStyle name="20% - Accent3 35 2" xfId="271"/>
    <cellStyle name="20% - Accent3 36" xfId="272"/>
    <cellStyle name="20% - Accent3 36 2" xfId="273"/>
    <cellStyle name="20% - Accent3 37" xfId="274"/>
    <cellStyle name="20% - Accent3 37 2" xfId="275"/>
    <cellStyle name="20% - Accent3 38" xfId="276"/>
    <cellStyle name="20% - Accent3 39" xfId="277"/>
    <cellStyle name="20% - Accent3 4" xfId="278"/>
    <cellStyle name="20% - Accent3 4 2" xfId="279"/>
    <cellStyle name="20% - Accent3 40" xfId="280"/>
    <cellStyle name="20% - Accent3 41" xfId="281"/>
    <cellStyle name="20% - Accent3 42" xfId="282"/>
    <cellStyle name="20% - Accent3 43" xfId="283"/>
    <cellStyle name="20% - Accent3 5" xfId="284"/>
    <cellStyle name="20% - Accent3 5 2" xfId="285"/>
    <cellStyle name="20% - Accent3 6" xfId="286"/>
    <cellStyle name="20% - Accent3 6 2" xfId="287"/>
    <cellStyle name="20% - Accent3 7" xfId="288"/>
    <cellStyle name="20% - Accent3 7 2" xfId="289"/>
    <cellStyle name="20% - Accent3 8" xfId="290"/>
    <cellStyle name="20% - Accent3 8 2" xfId="291"/>
    <cellStyle name="20% - Accent3 9" xfId="292"/>
    <cellStyle name="20% - Accent3 9 2" xfId="293"/>
    <cellStyle name="20% - Accent4 10" xfId="294"/>
    <cellStyle name="20% - Accent4 10 2" xfId="295"/>
    <cellStyle name="20% - Accent4 11" xfId="296"/>
    <cellStyle name="20% - Accent4 11 2" xfId="297"/>
    <cellStyle name="20% - Accent4 12" xfId="298"/>
    <cellStyle name="20% - Accent4 12 2" xfId="299"/>
    <cellStyle name="20% - Accent4 13" xfId="300"/>
    <cellStyle name="20% - Accent4 13 2" xfId="301"/>
    <cellStyle name="20% - Accent4 14" xfId="302"/>
    <cellStyle name="20% - Accent4 14 2" xfId="303"/>
    <cellStyle name="20% - Accent4 15" xfId="304"/>
    <cellStyle name="20% - Accent4 15 2" xfId="305"/>
    <cellStyle name="20% - Accent4 16" xfId="306"/>
    <cellStyle name="20% - Accent4 16 2" xfId="307"/>
    <cellStyle name="20% - Accent4 17" xfId="308"/>
    <cellStyle name="20% - Accent4 17 2" xfId="309"/>
    <cellStyle name="20% - Accent4 18" xfId="310"/>
    <cellStyle name="20% - Accent4 18 2" xfId="311"/>
    <cellStyle name="20% - Accent4 19" xfId="312"/>
    <cellStyle name="20% - Accent4 19 2" xfId="313"/>
    <cellStyle name="20% - Accent4 2" xfId="314"/>
    <cellStyle name="20% - Accent4 2 10" xfId="315"/>
    <cellStyle name="20% - Accent4 2 2" xfId="316"/>
    <cellStyle name="20% - Accent4 2 2 2" xfId="317"/>
    <cellStyle name="20% - Accent4 2 2 2 2" xfId="318"/>
    <cellStyle name="20% - Accent4 2 2 2 2 2" xfId="319"/>
    <cellStyle name="20% - Accent4 2 2 3" xfId="320"/>
    <cellStyle name="20% - Accent4 2 2 4" xfId="321"/>
    <cellStyle name="20% - Accent4 2 2 5" xfId="322"/>
    <cellStyle name="20% - Accent4 2 2 6" xfId="323"/>
    <cellStyle name="20% - Accent4 2 3" xfId="324"/>
    <cellStyle name="20% - Accent4 2 4" xfId="325"/>
    <cellStyle name="20% - Accent4 2 5" xfId="326"/>
    <cellStyle name="20% - Accent4 2 6" xfId="327"/>
    <cellStyle name="20% - Accent4 2 7" xfId="328"/>
    <cellStyle name="20% - Accent4 2 8" xfId="329"/>
    <cellStyle name="20% - Accent4 2 9" xfId="330"/>
    <cellStyle name="20% - Accent4 20" xfId="331"/>
    <cellStyle name="20% - Accent4 20 2" xfId="332"/>
    <cellStyle name="20% - Accent4 21" xfId="333"/>
    <cellStyle name="20% - Accent4 21 2" xfId="334"/>
    <cellStyle name="20% - Accent4 22" xfId="335"/>
    <cellStyle name="20% - Accent4 22 2" xfId="336"/>
    <cellStyle name="20% - Accent4 23" xfId="337"/>
    <cellStyle name="20% - Accent4 23 2" xfId="338"/>
    <cellStyle name="20% - Accent4 24" xfId="339"/>
    <cellStyle name="20% - Accent4 24 2" xfId="340"/>
    <cellStyle name="20% - Accent4 25" xfId="341"/>
    <cellStyle name="20% - Accent4 25 2" xfId="342"/>
    <cellStyle name="20% - Accent4 26" xfId="343"/>
    <cellStyle name="20% - Accent4 26 2" xfId="344"/>
    <cellStyle name="20% - Accent4 27" xfId="345"/>
    <cellStyle name="20% - Accent4 27 2" xfId="346"/>
    <cellStyle name="20% - Accent4 28" xfId="347"/>
    <cellStyle name="20% - Accent4 28 2" xfId="348"/>
    <cellStyle name="20% - Accent4 29" xfId="349"/>
    <cellStyle name="20% - Accent4 29 2" xfId="350"/>
    <cellStyle name="20% - Accent4 3" xfId="351"/>
    <cellStyle name="20% - Accent4 3 2" xfId="352"/>
    <cellStyle name="20% - Accent4 3 3" xfId="353"/>
    <cellStyle name="20% - Accent4 3 4" xfId="354"/>
    <cellStyle name="20% - Accent4 3 5" xfId="355"/>
    <cellStyle name="20% - Accent4 3 6" xfId="356"/>
    <cellStyle name="20% - Accent4 30" xfId="357"/>
    <cellStyle name="20% - Accent4 30 2" xfId="358"/>
    <cellStyle name="20% - Accent4 31" xfId="359"/>
    <cellStyle name="20% - Accent4 31 2" xfId="360"/>
    <cellStyle name="20% - Accent4 32" xfId="361"/>
    <cellStyle name="20% - Accent4 32 2" xfId="362"/>
    <cellStyle name="20% - Accent4 33" xfId="363"/>
    <cellStyle name="20% - Accent4 33 2" xfId="364"/>
    <cellStyle name="20% - Accent4 34" xfId="365"/>
    <cellStyle name="20% - Accent4 34 2" xfId="366"/>
    <cellStyle name="20% - Accent4 35" xfId="367"/>
    <cellStyle name="20% - Accent4 35 2" xfId="368"/>
    <cellStyle name="20% - Accent4 36" xfId="369"/>
    <cellStyle name="20% - Accent4 36 2" xfId="370"/>
    <cellStyle name="20% - Accent4 37" xfId="371"/>
    <cellStyle name="20% - Accent4 37 2" xfId="372"/>
    <cellStyle name="20% - Accent4 38" xfId="373"/>
    <cellStyle name="20% - Accent4 39" xfId="374"/>
    <cellStyle name="20% - Accent4 4" xfId="375"/>
    <cellStyle name="20% - Accent4 4 2" xfId="376"/>
    <cellStyle name="20% - Accent4 40" xfId="377"/>
    <cellStyle name="20% - Accent4 41" xfId="378"/>
    <cellStyle name="20% - Accent4 42" xfId="379"/>
    <cellStyle name="20% - Accent4 43" xfId="380"/>
    <cellStyle name="20% - Accent4 5" xfId="381"/>
    <cellStyle name="20% - Accent4 5 2" xfId="382"/>
    <cellStyle name="20% - Accent4 6" xfId="383"/>
    <cellStyle name="20% - Accent4 6 2" xfId="384"/>
    <cellStyle name="20% - Accent4 7" xfId="385"/>
    <cellStyle name="20% - Accent4 7 2" xfId="386"/>
    <cellStyle name="20% - Accent4 8" xfId="387"/>
    <cellStyle name="20% - Accent4 8 2" xfId="388"/>
    <cellStyle name="20% - Accent4 9" xfId="389"/>
    <cellStyle name="20% - Accent4 9 2" xfId="390"/>
    <cellStyle name="20% - Accent5 10" xfId="391"/>
    <cellStyle name="20% - Accent5 10 2" xfId="392"/>
    <cellStyle name="20% - Accent5 11" xfId="393"/>
    <cellStyle name="20% - Accent5 11 2" xfId="394"/>
    <cellStyle name="20% - Accent5 12" xfId="395"/>
    <cellStyle name="20% - Accent5 12 2" xfId="396"/>
    <cellStyle name="20% - Accent5 13" xfId="397"/>
    <cellStyle name="20% - Accent5 13 2" xfId="398"/>
    <cellStyle name="20% - Accent5 14" xfId="399"/>
    <cellStyle name="20% - Accent5 14 2" xfId="400"/>
    <cellStyle name="20% - Accent5 15" xfId="401"/>
    <cellStyle name="20% - Accent5 15 2" xfId="402"/>
    <cellStyle name="20% - Accent5 16" xfId="403"/>
    <cellStyle name="20% - Accent5 16 2" xfId="404"/>
    <cellStyle name="20% - Accent5 17" xfId="405"/>
    <cellStyle name="20% - Accent5 17 2" xfId="406"/>
    <cellStyle name="20% - Accent5 18" xfId="407"/>
    <cellStyle name="20% - Accent5 18 2" xfId="408"/>
    <cellStyle name="20% - Accent5 19" xfId="409"/>
    <cellStyle name="20% - Accent5 19 2" xfId="410"/>
    <cellStyle name="20% - Accent5 2" xfId="411"/>
    <cellStyle name="20% - Accent5 2 10" xfId="412"/>
    <cellStyle name="20% - Accent5 2 2" xfId="413"/>
    <cellStyle name="20% - Accent5 2 2 2" xfId="414"/>
    <cellStyle name="20% - Accent5 2 2 2 2" xfId="415"/>
    <cellStyle name="20% - Accent5 2 2 2 2 2" xfId="416"/>
    <cellStyle name="20% - Accent5 2 2 3" xfId="417"/>
    <cellStyle name="20% - Accent5 2 2 4" xfId="418"/>
    <cellStyle name="20% - Accent5 2 2 5" xfId="419"/>
    <cellStyle name="20% - Accent5 2 2 6" xfId="420"/>
    <cellStyle name="20% - Accent5 2 3" xfId="421"/>
    <cellStyle name="20% - Accent5 2 4" xfId="422"/>
    <cellStyle name="20% - Accent5 2 5" xfId="423"/>
    <cellStyle name="20% - Accent5 2 6" xfId="424"/>
    <cellStyle name="20% - Accent5 2 7" xfId="425"/>
    <cellStyle name="20% - Accent5 2 8" xfId="426"/>
    <cellStyle name="20% - Accent5 2 9" xfId="427"/>
    <cellStyle name="20% - Accent5 20" xfId="428"/>
    <cellStyle name="20% - Accent5 20 2" xfId="429"/>
    <cellStyle name="20% - Accent5 21" xfId="430"/>
    <cellStyle name="20% - Accent5 21 2" xfId="431"/>
    <cellStyle name="20% - Accent5 22" xfId="432"/>
    <cellStyle name="20% - Accent5 22 2" xfId="433"/>
    <cellStyle name="20% - Accent5 23" xfId="434"/>
    <cellStyle name="20% - Accent5 23 2" xfId="435"/>
    <cellStyle name="20% - Accent5 24" xfId="436"/>
    <cellStyle name="20% - Accent5 24 2" xfId="437"/>
    <cellStyle name="20% - Accent5 25" xfId="438"/>
    <cellStyle name="20% - Accent5 25 2" xfId="439"/>
    <cellStyle name="20% - Accent5 26" xfId="440"/>
    <cellStyle name="20% - Accent5 26 2" xfId="441"/>
    <cellStyle name="20% - Accent5 27" xfId="442"/>
    <cellStyle name="20% - Accent5 27 2" xfId="443"/>
    <cellStyle name="20% - Accent5 28" xfId="444"/>
    <cellStyle name="20% - Accent5 28 2" xfId="445"/>
    <cellStyle name="20% - Accent5 29" xfId="446"/>
    <cellStyle name="20% - Accent5 29 2" xfId="447"/>
    <cellStyle name="20% - Accent5 3" xfId="448"/>
    <cellStyle name="20% - Accent5 3 2" xfId="449"/>
    <cellStyle name="20% - Accent5 3 3" xfId="450"/>
    <cellStyle name="20% - Accent5 3 4" xfId="451"/>
    <cellStyle name="20% - Accent5 3 5" xfId="452"/>
    <cellStyle name="20% - Accent5 3 6" xfId="453"/>
    <cellStyle name="20% - Accent5 30" xfId="454"/>
    <cellStyle name="20% - Accent5 30 2" xfId="455"/>
    <cellStyle name="20% - Accent5 31" xfId="456"/>
    <cellStyle name="20% - Accent5 31 2" xfId="457"/>
    <cellStyle name="20% - Accent5 32" xfId="458"/>
    <cellStyle name="20% - Accent5 32 2" xfId="459"/>
    <cellStyle name="20% - Accent5 33" xfId="460"/>
    <cellStyle name="20% - Accent5 33 2" xfId="461"/>
    <cellStyle name="20% - Accent5 34" xfId="462"/>
    <cellStyle name="20% - Accent5 34 2" xfId="463"/>
    <cellStyle name="20% - Accent5 35" xfId="464"/>
    <cellStyle name="20% - Accent5 35 2" xfId="465"/>
    <cellStyle name="20% - Accent5 36" xfId="466"/>
    <cellStyle name="20% - Accent5 36 2" xfId="467"/>
    <cellStyle name="20% - Accent5 37" xfId="468"/>
    <cellStyle name="20% - Accent5 37 2" xfId="469"/>
    <cellStyle name="20% - Accent5 38" xfId="470"/>
    <cellStyle name="20% - Accent5 39" xfId="471"/>
    <cellStyle name="20% - Accent5 4" xfId="472"/>
    <cellStyle name="20% - Accent5 4 2" xfId="473"/>
    <cellStyle name="20% - Accent5 40" xfId="474"/>
    <cellStyle name="20% - Accent5 41" xfId="475"/>
    <cellStyle name="20% - Accent5 42" xfId="476"/>
    <cellStyle name="20% - Accent5 43" xfId="477"/>
    <cellStyle name="20% - Accent5 5" xfId="478"/>
    <cellStyle name="20% - Accent5 5 2" xfId="479"/>
    <cellStyle name="20% - Accent5 6" xfId="480"/>
    <cellStyle name="20% - Accent5 6 2" xfId="481"/>
    <cellStyle name="20% - Accent5 7" xfId="482"/>
    <cellStyle name="20% - Accent5 7 2" xfId="483"/>
    <cellStyle name="20% - Accent5 8" xfId="484"/>
    <cellStyle name="20% - Accent5 8 2" xfId="485"/>
    <cellStyle name="20% - Accent5 9" xfId="486"/>
    <cellStyle name="20% - Accent5 9 2" xfId="487"/>
    <cellStyle name="20% - Accent6 10" xfId="488"/>
    <cellStyle name="20% - Accent6 10 2" xfId="489"/>
    <cellStyle name="20% - Accent6 11" xfId="490"/>
    <cellStyle name="20% - Accent6 11 2" xfId="491"/>
    <cellStyle name="20% - Accent6 12" xfId="492"/>
    <cellStyle name="20% - Accent6 12 2" xfId="493"/>
    <cellStyle name="20% - Accent6 13" xfId="494"/>
    <cellStyle name="20% - Accent6 13 2" xfId="495"/>
    <cellStyle name="20% - Accent6 14" xfId="496"/>
    <cellStyle name="20% - Accent6 14 2" xfId="497"/>
    <cellStyle name="20% - Accent6 15" xfId="498"/>
    <cellStyle name="20% - Accent6 15 2" xfId="499"/>
    <cellStyle name="20% - Accent6 16" xfId="500"/>
    <cellStyle name="20% - Accent6 16 2" xfId="501"/>
    <cellStyle name="20% - Accent6 17" xfId="502"/>
    <cellStyle name="20% - Accent6 17 2" xfId="503"/>
    <cellStyle name="20% - Accent6 18" xfId="504"/>
    <cellStyle name="20% - Accent6 18 2" xfId="505"/>
    <cellStyle name="20% - Accent6 19" xfId="506"/>
    <cellStyle name="20% - Accent6 19 2" xfId="507"/>
    <cellStyle name="20% - Accent6 2" xfId="508"/>
    <cellStyle name="20% - Accent6 2 10" xfId="509"/>
    <cellStyle name="20% - Accent6 2 2" xfId="510"/>
    <cellStyle name="20% - Accent6 2 2 2" xfId="511"/>
    <cellStyle name="20% - Accent6 2 2 2 2" xfId="512"/>
    <cellStyle name="20% - Accent6 2 2 2 2 2" xfId="513"/>
    <cellStyle name="20% - Accent6 2 2 3" xfId="514"/>
    <cellStyle name="20% - Accent6 2 2 4" xfId="515"/>
    <cellStyle name="20% - Accent6 2 2 5" xfId="516"/>
    <cellStyle name="20% - Accent6 2 2 6" xfId="517"/>
    <cellStyle name="20% - Accent6 2 3" xfId="518"/>
    <cellStyle name="20% - Accent6 2 4" xfId="519"/>
    <cellStyle name="20% - Accent6 2 5" xfId="520"/>
    <cellStyle name="20% - Accent6 2 6" xfId="521"/>
    <cellStyle name="20% - Accent6 2 7" xfId="522"/>
    <cellStyle name="20% - Accent6 2 8" xfId="523"/>
    <cellStyle name="20% - Accent6 2 9" xfId="524"/>
    <cellStyle name="20% - Accent6 20" xfId="525"/>
    <cellStyle name="20% - Accent6 20 2" xfId="526"/>
    <cellStyle name="20% - Accent6 21" xfId="527"/>
    <cellStyle name="20% - Accent6 21 2" xfId="528"/>
    <cellStyle name="20% - Accent6 22" xfId="529"/>
    <cellStyle name="20% - Accent6 22 2" xfId="530"/>
    <cellStyle name="20% - Accent6 23" xfId="531"/>
    <cellStyle name="20% - Accent6 23 2" xfId="532"/>
    <cellStyle name="20% - Accent6 24" xfId="533"/>
    <cellStyle name="20% - Accent6 24 2" xfId="534"/>
    <cellStyle name="20% - Accent6 25" xfId="535"/>
    <cellStyle name="20% - Accent6 25 2" xfId="536"/>
    <cellStyle name="20% - Accent6 26" xfId="537"/>
    <cellStyle name="20% - Accent6 26 2" xfId="538"/>
    <cellStyle name="20% - Accent6 27" xfId="539"/>
    <cellStyle name="20% - Accent6 27 2" xfId="540"/>
    <cellStyle name="20% - Accent6 28" xfId="541"/>
    <cellStyle name="20% - Accent6 28 2" xfId="542"/>
    <cellStyle name="20% - Accent6 29" xfId="543"/>
    <cellStyle name="20% - Accent6 29 2" xfId="544"/>
    <cellStyle name="20% - Accent6 3" xfId="545"/>
    <cellStyle name="20% - Accent6 3 2" xfId="546"/>
    <cellStyle name="20% - Accent6 3 3" xfId="547"/>
    <cellStyle name="20% - Accent6 3 4" xfId="548"/>
    <cellStyle name="20% - Accent6 3 5" xfId="549"/>
    <cellStyle name="20% - Accent6 3 6" xfId="550"/>
    <cellStyle name="20% - Accent6 30" xfId="551"/>
    <cellStyle name="20% - Accent6 30 2" xfId="552"/>
    <cellStyle name="20% - Accent6 31" xfId="553"/>
    <cellStyle name="20% - Accent6 31 2" xfId="554"/>
    <cellStyle name="20% - Accent6 32" xfId="555"/>
    <cellStyle name="20% - Accent6 32 2" xfId="556"/>
    <cellStyle name="20% - Accent6 33" xfId="557"/>
    <cellStyle name="20% - Accent6 33 2" xfId="558"/>
    <cellStyle name="20% - Accent6 34" xfId="559"/>
    <cellStyle name="20% - Accent6 34 2" xfId="560"/>
    <cellStyle name="20% - Accent6 35" xfId="561"/>
    <cellStyle name="20% - Accent6 35 2" xfId="562"/>
    <cellStyle name="20% - Accent6 36" xfId="563"/>
    <cellStyle name="20% - Accent6 36 2" xfId="564"/>
    <cellStyle name="20% - Accent6 37" xfId="565"/>
    <cellStyle name="20% - Accent6 37 2" xfId="566"/>
    <cellStyle name="20% - Accent6 38" xfId="567"/>
    <cellStyle name="20% - Accent6 39" xfId="568"/>
    <cellStyle name="20% - Accent6 4" xfId="569"/>
    <cellStyle name="20% - Accent6 4 2" xfId="570"/>
    <cellStyle name="20% - Accent6 40" xfId="571"/>
    <cellStyle name="20% - Accent6 41" xfId="572"/>
    <cellStyle name="20% - Accent6 42" xfId="573"/>
    <cellStyle name="20% - Accent6 43" xfId="574"/>
    <cellStyle name="20% - Accent6 5" xfId="575"/>
    <cellStyle name="20% - Accent6 5 2" xfId="576"/>
    <cellStyle name="20% - Accent6 6" xfId="577"/>
    <cellStyle name="20% - Accent6 6 2" xfId="578"/>
    <cellStyle name="20% - Accent6 7" xfId="579"/>
    <cellStyle name="20% - Accent6 7 2" xfId="580"/>
    <cellStyle name="20% - Accent6 8" xfId="581"/>
    <cellStyle name="20% - Accent6 8 2" xfId="582"/>
    <cellStyle name="20% - Accent6 9" xfId="583"/>
    <cellStyle name="20% - Accent6 9 2" xfId="584"/>
    <cellStyle name="40% - Accent1 10" xfId="585"/>
    <cellStyle name="40% - Accent1 10 2" xfId="586"/>
    <cellStyle name="40% - Accent1 11" xfId="587"/>
    <cellStyle name="40% - Accent1 11 2" xfId="588"/>
    <cellStyle name="40% - Accent1 12" xfId="589"/>
    <cellStyle name="40% - Accent1 12 2" xfId="590"/>
    <cellStyle name="40% - Accent1 13" xfId="591"/>
    <cellStyle name="40% - Accent1 13 2" xfId="592"/>
    <cellStyle name="40% - Accent1 14" xfId="593"/>
    <cellStyle name="40% - Accent1 14 2" xfId="594"/>
    <cellStyle name="40% - Accent1 15" xfId="595"/>
    <cellStyle name="40% - Accent1 15 2" xfId="596"/>
    <cellStyle name="40% - Accent1 16" xfId="597"/>
    <cellStyle name="40% - Accent1 16 2" xfId="598"/>
    <cellStyle name="40% - Accent1 17" xfId="599"/>
    <cellStyle name="40% - Accent1 17 2" xfId="600"/>
    <cellStyle name="40% - Accent1 18" xfId="601"/>
    <cellStyle name="40% - Accent1 18 2" xfId="602"/>
    <cellStyle name="40% - Accent1 19" xfId="603"/>
    <cellStyle name="40% - Accent1 19 2" xfId="604"/>
    <cellStyle name="40% - Accent1 2" xfId="605"/>
    <cellStyle name="40% - Accent1 2 10" xfId="606"/>
    <cellStyle name="40% - Accent1 2 2" xfId="607"/>
    <cellStyle name="40% - Accent1 2 2 2" xfId="608"/>
    <cellStyle name="40% - Accent1 2 2 2 2" xfId="609"/>
    <cellStyle name="40% - Accent1 2 2 2 2 2" xfId="610"/>
    <cellStyle name="40% - Accent1 2 2 3" xfId="611"/>
    <cellStyle name="40% - Accent1 2 2 4" xfId="612"/>
    <cellStyle name="40% - Accent1 2 2 5" xfId="613"/>
    <cellStyle name="40% - Accent1 2 2 6" xfId="614"/>
    <cellStyle name="40% - Accent1 2 3" xfId="615"/>
    <cellStyle name="40% - Accent1 2 4" xfId="616"/>
    <cellStyle name="40% - Accent1 2 5" xfId="617"/>
    <cellStyle name="40% - Accent1 2 6" xfId="618"/>
    <cellStyle name="40% - Accent1 2 7" xfId="619"/>
    <cellStyle name="40% - Accent1 2 8" xfId="620"/>
    <cellStyle name="40% - Accent1 2 9" xfId="621"/>
    <cellStyle name="40% - Accent1 20" xfId="622"/>
    <cellStyle name="40% - Accent1 20 2" xfId="623"/>
    <cellStyle name="40% - Accent1 21" xfId="624"/>
    <cellStyle name="40% - Accent1 21 2" xfId="625"/>
    <cellStyle name="40% - Accent1 22" xfId="626"/>
    <cellStyle name="40% - Accent1 22 2" xfId="627"/>
    <cellStyle name="40% - Accent1 23" xfId="628"/>
    <cellStyle name="40% - Accent1 23 2" xfId="629"/>
    <cellStyle name="40% - Accent1 24" xfId="630"/>
    <cellStyle name="40% - Accent1 24 2" xfId="631"/>
    <cellStyle name="40% - Accent1 25" xfId="632"/>
    <cellStyle name="40% - Accent1 25 2" xfId="633"/>
    <cellStyle name="40% - Accent1 26" xfId="634"/>
    <cellStyle name="40% - Accent1 26 2" xfId="635"/>
    <cellStyle name="40% - Accent1 27" xfId="636"/>
    <cellStyle name="40% - Accent1 27 2" xfId="637"/>
    <cellStyle name="40% - Accent1 28" xfId="638"/>
    <cellStyle name="40% - Accent1 28 2" xfId="639"/>
    <cellStyle name="40% - Accent1 29" xfId="640"/>
    <cellStyle name="40% - Accent1 29 2" xfId="641"/>
    <cellStyle name="40% - Accent1 3" xfId="642"/>
    <cellStyle name="40% - Accent1 3 2" xfId="643"/>
    <cellStyle name="40% - Accent1 3 3" xfId="644"/>
    <cellStyle name="40% - Accent1 3 4" xfId="645"/>
    <cellStyle name="40% - Accent1 3 5" xfId="646"/>
    <cellStyle name="40% - Accent1 3 6" xfId="647"/>
    <cellStyle name="40% - Accent1 30" xfId="648"/>
    <cellStyle name="40% - Accent1 30 2" xfId="649"/>
    <cellStyle name="40% - Accent1 31" xfId="650"/>
    <cellStyle name="40% - Accent1 31 2" xfId="651"/>
    <cellStyle name="40% - Accent1 32" xfId="652"/>
    <cellStyle name="40% - Accent1 32 2" xfId="653"/>
    <cellStyle name="40% - Accent1 33" xfId="654"/>
    <cellStyle name="40% - Accent1 33 2" xfId="655"/>
    <cellStyle name="40% - Accent1 34" xfId="656"/>
    <cellStyle name="40% - Accent1 34 2" xfId="657"/>
    <cellStyle name="40% - Accent1 35" xfId="658"/>
    <cellStyle name="40% - Accent1 35 2" xfId="659"/>
    <cellStyle name="40% - Accent1 36" xfId="660"/>
    <cellStyle name="40% - Accent1 36 2" xfId="661"/>
    <cellStyle name="40% - Accent1 37" xfId="662"/>
    <cellStyle name="40% - Accent1 37 2" xfId="663"/>
    <cellStyle name="40% - Accent1 38" xfId="664"/>
    <cellStyle name="40% - Accent1 39" xfId="665"/>
    <cellStyle name="40% - Accent1 4" xfId="666"/>
    <cellStyle name="40% - Accent1 4 2" xfId="667"/>
    <cellStyle name="40% - Accent1 40" xfId="668"/>
    <cellStyle name="40% - Accent1 41" xfId="669"/>
    <cellStyle name="40% - Accent1 42" xfId="670"/>
    <cellStyle name="40% - Accent1 43" xfId="671"/>
    <cellStyle name="40% - Accent1 5" xfId="672"/>
    <cellStyle name="40% - Accent1 5 2" xfId="673"/>
    <cellStyle name="40% - Accent1 6" xfId="674"/>
    <cellStyle name="40% - Accent1 6 2" xfId="675"/>
    <cellStyle name="40% - Accent1 7" xfId="676"/>
    <cellStyle name="40% - Accent1 7 2" xfId="677"/>
    <cellStyle name="40% - Accent1 8" xfId="678"/>
    <cellStyle name="40% - Accent1 8 2" xfId="679"/>
    <cellStyle name="40% - Accent1 9" xfId="680"/>
    <cellStyle name="40% - Accent1 9 2" xfId="681"/>
    <cellStyle name="40% - Accent2 10" xfId="682"/>
    <cellStyle name="40% - Accent2 10 2" xfId="683"/>
    <cellStyle name="40% - Accent2 11" xfId="684"/>
    <cellStyle name="40% - Accent2 11 2" xfId="685"/>
    <cellStyle name="40% - Accent2 12" xfId="686"/>
    <cellStyle name="40% - Accent2 12 2" xfId="687"/>
    <cellStyle name="40% - Accent2 13" xfId="688"/>
    <cellStyle name="40% - Accent2 13 2" xfId="689"/>
    <cellStyle name="40% - Accent2 14" xfId="690"/>
    <cellStyle name="40% - Accent2 14 2" xfId="691"/>
    <cellStyle name="40% - Accent2 15" xfId="692"/>
    <cellStyle name="40% - Accent2 15 2" xfId="693"/>
    <cellStyle name="40% - Accent2 16" xfId="694"/>
    <cellStyle name="40% - Accent2 16 2" xfId="695"/>
    <cellStyle name="40% - Accent2 17" xfId="696"/>
    <cellStyle name="40% - Accent2 17 2" xfId="697"/>
    <cellStyle name="40% - Accent2 18" xfId="698"/>
    <cellStyle name="40% - Accent2 18 2" xfId="699"/>
    <cellStyle name="40% - Accent2 19" xfId="700"/>
    <cellStyle name="40% - Accent2 19 2" xfId="701"/>
    <cellStyle name="40% - Accent2 2" xfId="702"/>
    <cellStyle name="40% - Accent2 2 10" xfId="703"/>
    <cellStyle name="40% - Accent2 2 2" xfId="704"/>
    <cellStyle name="40% - Accent2 2 2 2" xfId="705"/>
    <cellStyle name="40% - Accent2 2 2 2 2" xfId="706"/>
    <cellStyle name="40% - Accent2 2 2 2 2 2" xfId="707"/>
    <cellStyle name="40% - Accent2 2 2 3" xfId="708"/>
    <cellStyle name="40% - Accent2 2 2 4" xfId="709"/>
    <cellStyle name="40% - Accent2 2 2 5" xfId="710"/>
    <cellStyle name="40% - Accent2 2 2 6" xfId="711"/>
    <cellStyle name="40% - Accent2 2 3" xfId="712"/>
    <cellStyle name="40% - Accent2 2 4" xfId="713"/>
    <cellStyle name="40% - Accent2 2 5" xfId="714"/>
    <cellStyle name="40% - Accent2 2 6" xfId="715"/>
    <cellStyle name="40% - Accent2 2 7" xfId="716"/>
    <cellStyle name="40% - Accent2 2 8" xfId="717"/>
    <cellStyle name="40% - Accent2 2 9" xfId="718"/>
    <cellStyle name="40% - Accent2 20" xfId="719"/>
    <cellStyle name="40% - Accent2 20 2" xfId="720"/>
    <cellStyle name="40% - Accent2 21" xfId="721"/>
    <cellStyle name="40% - Accent2 21 2" xfId="722"/>
    <cellStyle name="40% - Accent2 22" xfId="723"/>
    <cellStyle name="40% - Accent2 22 2" xfId="724"/>
    <cellStyle name="40% - Accent2 23" xfId="725"/>
    <cellStyle name="40% - Accent2 23 2" xfId="726"/>
    <cellStyle name="40% - Accent2 24" xfId="727"/>
    <cellStyle name="40% - Accent2 24 2" xfId="728"/>
    <cellStyle name="40% - Accent2 25" xfId="729"/>
    <cellStyle name="40% - Accent2 25 2" xfId="730"/>
    <cellStyle name="40% - Accent2 26" xfId="731"/>
    <cellStyle name="40% - Accent2 26 2" xfId="732"/>
    <cellStyle name="40% - Accent2 27" xfId="733"/>
    <cellStyle name="40% - Accent2 27 2" xfId="734"/>
    <cellStyle name="40% - Accent2 28" xfId="735"/>
    <cellStyle name="40% - Accent2 28 2" xfId="736"/>
    <cellStyle name="40% - Accent2 29" xfId="737"/>
    <cellStyle name="40% - Accent2 29 2" xfId="738"/>
    <cellStyle name="40% - Accent2 3" xfId="739"/>
    <cellStyle name="40% - Accent2 3 2" xfId="740"/>
    <cellStyle name="40% - Accent2 3 3" xfId="741"/>
    <cellStyle name="40% - Accent2 3 4" xfId="742"/>
    <cellStyle name="40% - Accent2 3 5" xfId="743"/>
    <cellStyle name="40% - Accent2 3 6" xfId="744"/>
    <cellStyle name="40% - Accent2 30" xfId="745"/>
    <cellStyle name="40% - Accent2 30 2" xfId="746"/>
    <cellStyle name="40% - Accent2 31" xfId="747"/>
    <cellStyle name="40% - Accent2 31 2" xfId="748"/>
    <cellStyle name="40% - Accent2 32" xfId="749"/>
    <cellStyle name="40% - Accent2 32 2" xfId="750"/>
    <cellStyle name="40% - Accent2 33" xfId="751"/>
    <cellStyle name="40% - Accent2 33 2" xfId="752"/>
    <cellStyle name="40% - Accent2 34" xfId="753"/>
    <cellStyle name="40% - Accent2 34 2" xfId="754"/>
    <cellStyle name="40% - Accent2 35" xfId="755"/>
    <cellStyle name="40% - Accent2 35 2" xfId="756"/>
    <cellStyle name="40% - Accent2 36" xfId="757"/>
    <cellStyle name="40% - Accent2 36 2" xfId="758"/>
    <cellStyle name="40% - Accent2 37" xfId="759"/>
    <cellStyle name="40% - Accent2 37 2" xfId="760"/>
    <cellStyle name="40% - Accent2 38" xfId="761"/>
    <cellStyle name="40% - Accent2 39" xfId="762"/>
    <cellStyle name="40% - Accent2 4" xfId="763"/>
    <cellStyle name="40% - Accent2 4 2" xfId="764"/>
    <cellStyle name="40% - Accent2 40" xfId="765"/>
    <cellStyle name="40% - Accent2 41" xfId="766"/>
    <cellStyle name="40% - Accent2 42" xfId="767"/>
    <cellStyle name="40% - Accent2 43" xfId="768"/>
    <cellStyle name="40% - Accent2 5" xfId="769"/>
    <cellStyle name="40% - Accent2 5 2" xfId="770"/>
    <cellStyle name="40% - Accent2 6" xfId="771"/>
    <cellStyle name="40% - Accent2 6 2" xfId="772"/>
    <cellStyle name="40% - Accent2 7" xfId="773"/>
    <cellStyle name="40% - Accent2 7 2" xfId="774"/>
    <cellStyle name="40% - Accent2 8" xfId="775"/>
    <cellStyle name="40% - Accent2 8 2" xfId="776"/>
    <cellStyle name="40% - Accent2 9" xfId="777"/>
    <cellStyle name="40% - Accent2 9 2" xfId="778"/>
    <cellStyle name="40% - Accent3 10" xfId="779"/>
    <cellStyle name="40% - Accent3 10 2" xfId="780"/>
    <cellStyle name="40% - Accent3 11" xfId="781"/>
    <cellStyle name="40% - Accent3 11 2" xfId="782"/>
    <cellStyle name="40% - Accent3 12" xfId="783"/>
    <cellStyle name="40% - Accent3 12 2" xfId="784"/>
    <cellStyle name="40% - Accent3 13" xfId="785"/>
    <cellStyle name="40% - Accent3 13 2" xfId="786"/>
    <cellStyle name="40% - Accent3 14" xfId="787"/>
    <cellStyle name="40% - Accent3 14 2" xfId="788"/>
    <cellStyle name="40% - Accent3 15" xfId="789"/>
    <cellStyle name="40% - Accent3 15 2" xfId="790"/>
    <cellStyle name="40% - Accent3 16" xfId="791"/>
    <cellStyle name="40% - Accent3 16 2" xfId="792"/>
    <cellStyle name="40% - Accent3 17" xfId="793"/>
    <cellStyle name="40% - Accent3 17 2" xfId="794"/>
    <cellStyle name="40% - Accent3 18" xfId="795"/>
    <cellStyle name="40% - Accent3 18 2" xfId="796"/>
    <cellStyle name="40% - Accent3 19" xfId="797"/>
    <cellStyle name="40% - Accent3 19 2" xfId="798"/>
    <cellStyle name="40% - Accent3 2" xfId="799"/>
    <cellStyle name="40% - Accent3 2 10" xfId="800"/>
    <cellStyle name="40% - Accent3 2 2" xfId="801"/>
    <cellStyle name="40% - Accent3 2 2 2" xfId="802"/>
    <cellStyle name="40% - Accent3 2 2 2 2" xfId="803"/>
    <cellStyle name="40% - Accent3 2 2 2 2 2" xfId="804"/>
    <cellStyle name="40% - Accent3 2 2 3" xfId="805"/>
    <cellStyle name="40% - Accent3 2 2 4" xfId="806"/>
    <cellStyle name="40% - Accent3 2 2 5" xfId="807"/>
    <cellStyle name="40% - Accent3 2 2 6" xfId="808"/>
    <cellStyle name="40% - Accent3 2 3" xfId="809"/>
    <cellStyle name="40% - Accent3 2 4" xfId="810"/>
    <cellStyle name="40% - Accent3 2 5" xfId="811"/>
    <cellStyle name="40% - Accent3 2 6" xfId="812"/>
    <cellStyle name="40% - Accent3 2 7" xfId="813"/>
    <cellStyle name="40% - Accent3 2 8" xfId="814"/>
    <cellStyle name="40% - Accent3 2 9" xfId="815"/>
    <cellStyle name="40% - Accent3 20" xfId="816"/>
    <cellStyle name="40% - Accent3 20 2" xfId="817"/>
    <cellStyle name="40% - Accent3 21" xfId="818"/>
    <cellStyle name="40% - Accent3 21 2" xfId="819"/>
    <cellStyle name="40% - Accent3 22" xfId="820"/>
    <cellStyle name="40% - Accent3 22 2" xfId="821"/>
    <cellStyle name="40% - Accent3 23" xfId="822"/>
    <cellStyle name="40% - Accent3 23 2" xfId="823"/>
    <cellStyle name="40% - Accent3 24" xfId="824"/>
    <cellStyle name="40% - Accent3 24 2" xfId="825"/>
    <cellStyle name="40% - Accent3 25" xfId="826"/>
    <cellStyle name="40% - Accent3 25 2" xfId="827"/>
    <cellStyle name="40% - Accent3 26" xfId="828"/>
    <cellStyle name="40% - Accent3 26 2" xfId="829"/>
    <cellStyle name="40% - Accent3 27" xfId="830"/>
    <cellStyle name="40% - Accent3 27 2" xfId="831"/>
    <cellStyle name="40% - Accent3 28" xfId="832"/>
    <cellStyle name="40% - Accent3 28 2" xfId="833"/>
    <cellStyle name="40% - Accent3 29" xfId="834"/>
    <cellStyle name="40% - Accent3 29 2" xfId="835"/>
    <cellStyle name="40% - Accent3 3" xfId="836"/>
    <cellStyle name="40% - Accent3 3 2" xfId="837"/>
    <cellStyle name="40% - Accent3 3 3" xfId="838"/>
    <cellStyle name="40% - Accent3 3 4" xfId="839"/>
    <cellStyle name="40% - Accent3 3 5" xfId="840"/>
    <cellStyle name="40% - Accent3 3 6" xfId="841"/>
    <cellStyle name="40% - Accent3 30" xfId="842"/>
    <cellStyle name="40% - Accent3 30 2" xfId="843"/>
    <cellStyle name="40% - Accent3 31" xfId="844"/>
    <cellStyle name="40% - Accent3 31 2" xfId="845"/>
    <cellStyle name="40% - Accent3 32" xfId="846"/>
    <cellStyle name="40% - Accent3 32 2" xfId="847"/>
    <cellStyle name="40% - Accent3 33" xfId="848"/>
    <cellStyle name="40% - Accent3 33 2" xfId="849"/>
    <cellStyle name="40% - Accent3 34" xfId="850"/>
    <cellStyle name="40% - Accent3 34 2" xfId="851"/>
    <cellStyle name="40% - Accent3 35" xfId="852"/>
    <cellStyle name="40% - Accent3 35 2" xfId="853"/>
    <cellStyle name="40% - Accent3 36" xfId="854"/>
    <cellStyle name="40% - Accent3 36 2" xfId="855"/>
    <cellStyle name="40% - Accent3 37" xfId="856"/>
    <cellStyle name="40% - Accent3 37 2" xfId="857"/>
    <cellStyle name="40% - Accent3 38" xfId="858"/>
    <cellStyle name="40% - Accent3 39" xfId="859"/>
    <cellStyle name="40% - Accent3 4" xfId="860"/>
    <cellStyle name="40% - Accent3 4 2" xfId="861"/>
    <cellStyle name="40% - Accent3 40" xfId="862"/>
    <cellStyle name="40% - Accent3 41" xfId="863"/>
    <cellStyle name="40% - Accent3 42" xfId="864"/>
    <cellStyle name="40% - Accent3 43" xfId="865"/>
    <cellStyle name="40% - Accent3 5" xfId="866"/>
    <cellStyle name="40% - Accent3 5 2" xfId="867"/>
    <cellStyle name="40% - Accent3 6" xfId="868"/>
    <cellStyle name="40% - Accent3 6 2" xfId="869"/>
    <cellStyle name="40% - Accent3 7" xfId="870"/>
    <cellStyle name="40% - Accent3 7 2" xfId="871"/>
    <cellStyle name="40% - Accent3 8" xfId="872"/>
    <cellStyle name="40% - Accent3 8 2" xfId="873"/>
    <cellStyle name="40% - Accent3 9" xfId="874"/>
    <cellStyle name="40% - Accent3 9 2" xfId="875"/>
    <cellStyle name="40% - Accent4 10" xfId="876"/>
    <cellStyle name="40% - Accent4 10 2" xfId="877"/>
    <cellStyle name="40% - Accent4 11" xfId="878"/>
    <cellStyle name="40% - Accent4 11 2" xfId="879"/>
    <cellStyle name="40% - Accent4 12" xfId="880"/>
    <cellStyle name="40% - Accent4 12 2" xfId="881"/>
    <cellStyle name="40% - Accent4 13" xfId="882"/>
    <cellStyle name="40% - Accent4 13 2" xfId="883"/>
    <cellStyle name="40% - Accent4 14" xfId="884"/>
    <cellStyle name="40% - Accent4 14 2" xfId="885"/>
    <cellStyle name="40% - Accent4 15" xfId="886"/>
    <cellStyle name="40% - Accent4 15 2" xfId="887"/>
    <cellStyle name="40% - Accent4 16" xfId="888"/>
    <cellStyle name="40% - Accent4 16 2" xfId="889"/>
    <cellStyle name="40% - Accent4 17" xfId="890"/>
    <cellStyle name="40% - Accent4 17 2" xfId="891"/>
    <cellStyle name="40% - Accent4 18" xfId="892"/>
    <cellStyle name="40% - Accent4 18 2" xfId="893"/>
    <cellStyle name="40% - Accent4 19" xfId="894"/>
    <cellStyle name="40% - Accent4 19 2" xfId="895"/>
    <cellStyle name="40% - Accent4 2" xfId="896"/>
    <cellStyle name="40% - Accent4 2 10" xfId="897"/>
    <cellStyle name="40% - Accent4 2 2" xfId="898"/>
    <cellStyle name="40% - Accent4 2 2 2" xfId="899"/>
    <cellStyle name="40% - Accent4 2 2 2 2" xfId="900"/>
    <cellStyle name="40% - Accent4 2 2 2 2 2" xfId="901"/>
    <cellStyle name="40% - Accent4 2 2 3" xfId="902"/>
    <cellStyle name="40% - Accent4 2 2 4" xfId="903"/>
    <cellStyle name="40% - Accent4 2 2 5" xfId="904"/>
    <cellStyle name="40% - Accent4 2 2 6" xfId="905"/>
    <cellStyle name="40% - Accent4 2 3" xfId="906"/>
    <cellStyle name="40% - Accent4 2 4" xfId="907"/>
    <cellStyle name="40% - Accent4 2 5" xfId="908"/>
    <cellStyle name="40% - Accent4 2 6" xfId="909"/>
    <cellStyle name="40% - Accent4 2 7" xfId="910"/>
    <cellStyle name="40% - Accent4 2 8" xfId="911"/>
    <cellStyle name="40% - Accent4 2 9" xfId="912"/>
    <cellStyle name="40% - Accent4 20" xfId="913"/>
    <cellStyle name="40% - Accent4 20 2" xfId="914"/>
    <cellStyle name="40% - Accent4 21" xfId="915"/>
    <cellStyle name="40% - Accent4 21 2" xfId="916"/>
    <cellStyle name="40% - Accent4 22" xfId="917"/>
    <cellStyle name="40% - Accent4 22 2" xfId="918"/>
    <cellStyle name="40% - Accent4 23" xfId="919"/>
    <cellStyle name="40% - Accent4 23 2" xfId="920"/>
    <cellStyle name="40% - Accent4 24" xfId="921"/>
    <cellStyle name="40% - Accent4 24 2" xfId="922"/>
    <cellStyle name="40% - Accent4 25" xfId="923"/>
    <cellStyle name="40% - Accent4 25 2" xfId="924"/>
    <cellStyle name="40% - Accent4 26" xfId="925"/>
    <cellStyle name="40% - Accent4 26 2" xfId="926"/>
    <cellStyle name="40% - Accent4 27" xfId="927"/>
    <cellStyle name="40% - Accent4 27 2" xfId="928"/>
    <cellStyle name="40% - Accent4 28" xfId="929"/>
    <cellStyle name="40% - Accent4 28 2" xfId="930"/>
    <cellStyle name="40% - Accent4 29" xfId="931"/>
    <cellStyle name="40% - Accent4 29 2" xfId="932"/>
    <cellStyle name="40% - Accent4 3" xfId="933"/>
    <cellStyle name="40% - Accent4 3 2" xfId="934"/>
    <cellStyle name="40% - Accent4 3 3" xfId="935"/>
    <cellStyle name="40% - Accent4 3 4" xfId="936"/>
    <cellStyle name="40% - Accent4 3 5" xfId="937"/>
    <cellStyle name="40% - Accent4 3 6" xfId="938"/>
    <cellStyle name="40% - Accent4 30" xfId="939"/>
    <cellStyle name="40% - Accent4 30 2" xfId="940"/>
    <cellStyle name="40% - Accent4 31" xfId="941"/>
    <cellStyle name="40% - Accent4 31 2" xfId="942"/>
    <cellStyle name="40% - Accent4 32" xfId="943"/>
    <cellStyle name="40% - Accent4 32 2" xfId="944"/>
    <cellStyle name="40% - Accent4 33" xfId="945"/>
    <cellStyle name="40% - Accent4 33 2" xfId="946"/>
    <cellStyle name="40% - Accent4 34" xfId="947"/>
    <cellStyle name="40% - Accent4 34 2" xfId="948"/>
    <cellStyle name="40% - Accent4 35" xfId="949"/>
    <cellStyle name="40% - Accent4 35 2" xfId="950"/>
    <cellStyle name="40% - Accent4 36" xfId="951"/>
    <cellStyle name="40% - Accent4 36 2" xfId="952"/>
    <cellStyle name="40% - Accent4 37" xfId="953"/>
    <cellStyle name="40% - Accent4 37 2" xfId="954"/>
    <cellStyle name="40% - Accent4 38" xfId="955"/>
    <cellStyle name="40% - Accent4 39" xfId="956"/>
    <cellStyle name="40% - Accent4 4" xfId="957"/>
    <cellStyle name="40% - Accent4 4 2" xfId="958"/>
    <cellStyle name="40% - Accent4 40" xfId="959"/>
    <cellStyle name="40% - Accent4 41" xfId="960"/>
    <cellStyle name="40% - Accent4 42" xfId="961"/>
    <cellStyle name="40% - Accent4 43" xfId="962"/>
    <cellStyle name="40% - Accent4 5" xfId="963"/>
    <cellStyle name="40% - Accent4 5 2" xfId="964"/>
    <cellStyle name="40% - Accent4 6" xfId="965"/>
    <cellStyle name="40% - Accent4 6 2" xfId="966"/>
    <cellStyle name="40% - Accent4 7" xfId="967"/>
    <cellStyle name="40% - Accent4 7 2" xfId="968"/>
    <cellStyle name="40% - Accent4 8" xfId="969"/>
    <cellStyle name="40% - Accent4 8 2" xfId="970"/>
    <cellStyle name="40% - Accent4 9" xfId="971"/>
    <cellStyle name="40% - Accent4 9 2" xfId="972"/>
    <cellStyle name="40% - Accent5 10" xfId="973"/>
    <cellStyle name="40% - Accent5 10 2" xfId="974"/>
    <cellStyle name="40% - Accent5 11" xfId="975"/>
    <cellStyle name="40% - Accent5 11 2" xfId="976"/>
    <cellStyle name="40% - Accent5 12" xfId="977"/>
    <cellStyle name="40% - Accent5 12 2" xfId="978"/>
    <cellStyle name="40% - Accent5 13" xfId="979"/>
    <cellStyle name="40% - Accent5 13 2" xfId="980"/>
    <cellStyle name="40% - Accent5 14" xfId="981"/>
    <cellStyle name="40% - Accent5 14 2" xfId="982"/>
    <cellStyle name="40% - Accent5 15" xfId="983"/>
    <cellStyle name="40% - Accent5 15 2" xfId="984"/>
    <cellStyle name="40% - Accent5 16" xfId="985"/>
    <cellStyle name="40% - Accent5 16 2" xfId="986"/>
    <cellStyle name="40% - Accent5 17" xfId="987"/>
    <cellStyle name="40% - Accent5 17 2" xfId="988"/>
    <cellStyle name="40% - Accent5 18" xfId="989"/>
    <cellStyle name="40% - Accent5 18 2" xfId="990"/>
    <cellStyle name="40% - Accent5 19" xfId="991"/>
    <cellStyle name="40% - Accent5 19 2" xfId="992"/>
    <cellStyle name="40% - Accent5 2" xfId="993"/>
    <cellStyle name="40% - Accent5 2 10" xfId="994"/>
    <cellStyle name="40% - Accent5 2 2" xfId="995"/>
    <cellStyle name="40% - Accent5 2 2 2" xfId="996"/>
    <cellStyle name="40% - Accent5 2 2 2 2" xfId="997"/>
    <cellStyle name="40% - Accent5 2 2 2 2 2" xfId="998"/>
    <cellStyle name="40% - Accent5 2 2 3" xfId="999"/>
    <cellStyle name="40% - Accent5 2 2 4" xfId="1000"/>
    <cellStyle name="40% - Accent5 2 2 5" xfId="1001"/>
    <cellStyle name="40% - Accent5 2 2 6" xfId="1002"/>
    <cellStyle name="40% - Accent5 2 3" xfId="1003"/>
    <cellStyle name="40% - Accent5 2 4" xfId="1004"/>
    <cellStyle name="40% - Accent5 2 5" xfId="1005"/>
    <cellStyle name="40% - Accent5 2 6" xfId="1006"/>
    <cellStyle name="40% - Accent5 2 7" xfId="1007"/>
    <cellStyle name="40% - Accent5 2 8" xfId="1008"/>
    <cellStyle name="40% - Accent5 2 9" xfId="1009"/>
    <cellStyle name="40% - Accent5 20" xfId="1010"/>
    <cellStyle name="40% - Accent5 20 2" xfId="1011"/>
    <cellStyle name="40% - Accent5 21" xfId="1012"/>
    <cellStyle name="40% - Accent5 21 2" xfId="1013"/>
    <cellStyle name="40% - Accent5 22" xfId="1014"/>
    <cellStyle name="40% - Accent5 22 2" xfId="1015"/>
    <cellStyle name="40% - Accent5 23" xfId="1016"/>
    <cellStyle name="40% - Accent5 23 2" xfId="1017"/>
    <cellStyle name="40% - Accent5 24" xfId="1018"/>
    <cellStyle name="40% - Accent5 24 2" xfId="1019"/>
    <cellStyle name="40% - Accent5 25" xfId="1020"/>
    <cellStyle name="40% - Accent5 25 2" xfId="1021"/>
    <cellStyle name="40% - Accent5 26" xfId="1022"/>
    <cellStyle name="40% - Accent5 26 2" xfId="1023"/>
    <cellStyle name="40% - Accent5 27" xfId="1024"/>
    <cellStyle name="40% - Accent5 27 2" xfId="1025"/>
    <cellStyle name="40% - Accent5 28" xfId="1026"/>
    <cellStyle name="40% - Accent5 28 2" xfId="1027"/>
    <cellStyle name="40% - Accent5 29" xfId="1028"/>
    <cellStyle name="40% - Accent5 29 2" xfId="1029"/>
    <cellStyle name="40% - Accent5 3" xfId="1030"/>
    <cellStyle name="40% - Accent5 3 2" xfId="1031"/>
    <cellStyle name="40% - Accent5 3 3" xfId="1032"/>
    <cellStyle name="40% - Accent5 3 4" xfId="1033"/>
    <cellStyle name="40% - Accent5 3 5" xfId="1034"/>
    <cellStyle name="40% - Accent5 3 6" xfId="1035"/>
    <cellStyle name="40% - Accent5 30" xfId="1036"/>
    <cellStyle name="40% - Accent5 30 2" xfId="1037"/>
    <cellStyle name="40% - Accent5 31" xfId="1038"/>
    <cellStyle name="40% - Accent5 31 2" xfId="1039"/>
    <cellStyle name="40% - Accent5 32" xfId="1040"/>
    <cellStyle name="40% - Accent5 32 2" xfId="1041"/>
    <cellStyle name="40% - Accent5 33" xfId="1042"/>
    <cellStyle name="40% - Accent5 33 2" xfId="1043"/>
    <cellStyle name="40% - Accent5 34" xfId="1044"/>
    <cellStyle name="40% - Accent5 34 2" xfId="1045"/>
    <cellStyle name="40% - Accent5 35" xfId="1046"/>
    <cellStyle name="40% - Accent5 35 2" xfId="1047"/>
    <cellStyle name="40% - Accent5 36" xfId="1048"/>
    <cellStyle name="40% - Accent5 36 2" xfId="1049"/>
    <cellStyle name="40% - Accent5 37" xfId="1050"/>
    <cellStyle name="40% - Accent5 37 2" xfId="1051"/>
    <cellStyle name="40% - Accent5 38" xfId="1052"/>
    <cellStyle name="40% - Accent5 39" xfId="1053"/>
    <cellStyle name="40% - Accent5 4" xfId="1054"/>
    <cellStyle name="40% - Accent5 4 2" xfId="1055"/>
    <cellStyle name="40% - Accent5 40" xfId="1056"/>
    <cellStyle name="40% - Accent5 41" xfId="1057"/>
    <cellStyle name="40% - Accent5 42" xfId="1058"/>
    <cellStyle name="40% - Accent5 43" xfId="1059"/>
    <cellStyle name="40% - Accent5 5" xfId="1060"/>
    <cellStyle name="40% - Accent5 5 2" xfId="1061"/>
    <cellStyle name="40% - Accent5 6" xfId="1062"/>
    <cellStyle name="40% - Accent5 6 2" xfId="1063"/>
    <cellStyle name="40% - Accent5 7" xfId="1064"/>
    <cellStyle name="40% - Accent5 7 2" xfId="1065"/>
    <cellStyle name="40% - Accent5 8" xfId="1066"/>
    <cellStyle name="40% - Accent5 8 2" xfId="1067"/>
    <cellStyle name="40% - Accent5 9" xfId="1068"/>
    <cellStyle name="40% - Accent5 9 2" xfId="1069"/>
    <cellStyle name="40% - Accent6 10" xfId="1070"/>
    <cellStyle name="40% - Accent6 10 2" xfId="1071"/>
    <cellStyle name="40% - Accent6 11" xfId="1072"/>
    <cellStyle name="40% - Accent6 11 2" xfId="1073"/>
    <cellStyle name="40% - Accent6 12" xfId="1074"/>
    <cellStyle name="40% - Accent6 12 2" xfId="1075"/>
    <cellStyle name="40% - Accent6 13" xfId="1076"/>
    <cellStyle name="40% - Accent6 13 2" xfId="1077"/>
    <cellStyle name="40% - Accent6 14" xfId="1078"/>
    <cellStyle name="40% - Accent6 14 2" xfId="1079"/>
    <cellStyle name="40% - Accent6 15" xfId="1080"/>
    <cellStyle name="40% - Accent6 15 2" xfId="1081"/>
    <cellStyle name="40% - Accent6 16" xfId="1082"/>
    <cellStyle name="40% - Accent6 16 2" xfId="1083"/>
    <cellStyle name="40% - Accent6 17" xfId="1084"/>
    <cellStyle name="40% - Accent6 17 2" xfId="1085"/>
    <cellStyle name="40% - Accent6 18" xfId="1086"/>
    <cellStyle name="40% - Accent6 18 2" xfId="1087"/>
    <cellStyle name="40% - Accent6 19" xfId="1088"/>
    <cellStyle name="40% - Accent6 19 2" xfId="1089"/>
    <cellStyle name="40% - Accent6 2" xfId="1090"/>
    <cellStyle name="40% - Accent6 2 10" xfId="1091"/>
    <cellStyle name="40% - Accent6 2 2" xfId="1092"/>
    <cellStyle name="40% - Accent6 2 2 2" xfId="1093"/>
    <cellStyle name="40% - Accent6 2 2 2 2" xfId="1094"/>
    <cellStyle name="40% - Accent6 2 2 2 2 2" xfId="1095"/>
    <cellStyle name="40% - Accent6 2 2 3" xfId="1096"/>
    <cellStyle name="40% - Accent6 2 2 4" xfId="1097"/>
    <cellStyle name="40% - Accent6 2 2 5" xfId="1098"/>
    <cellStyle name="40% - Accent6 2 2 6" xfId="1099"/>
    <cellStyle name="40% - Accent6 2 3" xfId="1100"/>
    <cellStyle name="40% - Accent6 2 4" xfId="1101"/>
    <cellStyle name="40% - Accent6 2 5" xfId="1102"/>
    <cellStyle name="40% - Accent6 2 6" xfId="1103"/>
    <cellStyle name="40% - Accent6 2 7" xfId="1104"/>
    <cellStyle name="40% - Accent6 2 8" xfId="1105"/>
    <cellStyle name="40% - Accent6 2 9" xfId="1106"/>
    <cellStyle name="40% - Accent6 20" xfId="1107"/>
    <cellStyle name="40% - Accent6 20 2" xfId="1108"/>
    <cellStyle name="40% - Accent6 21" xfId="1109"/>
    <cellStyle name="40% - Accent6 21 2" xfId="1110"/>
    <cellStyle name="40% - Accent6 22" xfId="1111"/>
    <cellStyle name="40% - Accent6 22 2" xfId="1112"/>
    <cellStyle name="40% - Accent6 23" xfId="1113"/>
    <cellStyle name="40% - Accent6 23 2" xfId="1114"/>
    <cellStyle name="40% - Accent6 24" xfId="1115"/>
    <cellStyle name="40% - Accent6 24 2" xfId="1116"/>
    <cellStyle name="40% - Accent6 25" xfId="1117"/>
    <cellStyle name="40% - Accent6 25 2" xfId="1118"/>
    <cellStyle name="40% - Accent6 26" xfId="1119"/>
    <cellStyle name="40% - Accent6 26 2" xfId="1120"/>
    <cellStyle name="40% - Accent6 27" xfId="1121"/>
    <cellStyle name="40% - Accent6 27 2" xfId="1122"/>
    <cellStyle name="40% - Accent6 28" xfId="1123"/>
    <cellStyle name="40% - Accent6 28 2" xfId="1124"/>
    <cellStyle name="40% - Accent6 29" xfId="1125"/>
    <cellStyle name="40% - Accent6 29 2" xfId="1126"/>
    <cellStyle name="40% - Accent6 3" xfId="1127"/>
    <cellStyle name="40% - Accent6 3 2" xfId="1128"/>
    <cellStyle name="40% - Accent6 3 3" xfId="1129"/>
    <cellStyle name="40% - Accent6 3 4" xfId="1130"/>
    <cellStyle name="40% - Accent6 3 5" xfId="1131"/>
    <cellStyle name="40% - Accent6 3 6" xfId="1132"/>
    <cellStyle name="40% - Accent6 30" xfId="1133"/>
    <cellStyle name="40% - Accent6 30 2" xfId="1134"/>
    <cellStyle name="40% - Accent6 31" xfId="1135"/>
    <cellStyle name="40% - Accent6 31 2" xfId="1136"/>
    <cellStyle name="40% - Accent6 32" xfId="1137"/>
    <cellStyle name="40% - Accent6 32 2" xfId="1138"/>
    <cellStyle name="40% - Accent6 33" xfId="1139"/>
    <cellStyle name="40% - Accent6 33 2" xfId="1140"/>
    <cellStyle name="40% - Accent6 34" xfId="1141"/>
    <cellStyle name="40% - Accent6 34 2" xfId="1142"/>
    <cellStyle name="40% - Accent6 35" xfId="1143"/>
    <cellStyle name="40% - Accent6 35 2" xfId="1144"/>
    <cellStyle name="40% - Accent6 36" xfId="1145"/>
    <cellStyle name="40% - Accent6 36 2" xfId="1146"/>
    <cellStyle name="40% - Accent6 37" xfId="1147"/>
    <cellStyle name="40% - Accent6 37 2" xfId="1148"/>
    <cellStyle name="40% - Accent6 38" xfId="1149"/>
    <cellStyle name="40% - Accent6 39" xfId="1150"/>
    <cellStyle name="40% - Accent6 4" xfId="1151"/>
    <cellStyle name="40% - Accent6 4 2" xfId="1152"/>
    <cellStyle name="40% - Accent6 40" xfId="1153"/>
    <cellStyle name="40% - Accent6 41" xfId="1154"/>
    <cellStyle name="40% - Accent6 42" xfId="1155"/>
    <cellStyle name="40% - Accent6 43" xfId="1156"/>
    <cellStyle name="40% - Accent6 5" xfId="1157"/>
    <cellStyle name="40% - Accent6 5 2" xfId="1158"/>
    <cellStyle name="40% - Accent6 6" xfId="1159"/>
    <cellStyle name="40% - Accent6 6 2" xfId="1160"/>
    <cellStyle name="40% - Accent6 7" xfId="1161"/>
    <cellStyle name="40% - Accent6 7 2" xfId="1162"/>
    <cellStyle name="40% - Accent6 8" xfId="1163"/>
    <cellStyle name="40% - Accent6 8 2" xfId="1164"/>
    <cellStyle name="40% - Accent6 9" xfId="1165"/>
    <cellStyle name="40% - Accent6 9 2" xfId="1166"/>
    <cellStyle name="60% - Accent1 10 2" xfId="1167"/>
    <cellStyle name="60% - Accent1 11 2" xfId="1168"/>
    <cellStyle name="60% - Accent1 12" xfId="1169"/>
    <cellStyle name="60% - Accent1 13" xfId="1170"/>
    <cellStyle name="60% - Accent1 14" xfId="1171"/>
    <cellStyle name="60% - Accent1 15" xfId="1172"/>
    <cellStyle name="60% - Accent1 2" xfId="1173"/>
    <cellStyle name="60% - Accent1 2 10" xfId="1174"/>
    <cellStyle name="60% - Accent1 2 2" xfId="1175"/>
    <cellStyle name="60% - Accent1 2 2 2" xfId="1176"/>
    <cellStyle name="60% - Accent1 2 2 2 2" xfId="1177"/>
    <cellStyle name="60% - Accent1 2 2 2 2 2" xfId="1178"/>
    <cellStyle name="60% - Accent1 2 2 3" xfId="1179"/>
    <cellStyle name="60% - Accent1 2 2 4" xfId="1180"/>
    <cellStyle name="60% - Accent1 2 2 5" xfId="1181"/>
    <cellStyle name="60% - Accent1 2 2 6" xfId="1182"/>
    <cellStyle name="60% - Accent1 2 3" xfId="1183"/>
    <cellStyle name="60% - Accent1 2 4" xfId="1184"/>
    <cellStyle name="60% - Accent1 2 5" xfId="1185"/>
    <cellStyle name="60% - Accent1 2 6" xfId="1186"/>
    <cellStyle name="60% - Accent1 2 7" xfId="1187"/>
    <cellStyle name="60% - Accent1 2 8" xfId="1188"/>
    <cellStyle name="60% - Accent1 2 9" xfId="1189"/>
    <cellStyle name="60% - Accent1 3" xfId="1190"/>
    <cellStyle name="60% - Accent1 3 2" xfId="1191"/>
    <cellStyle name="60% - Accent1 3 3" xfId="1192"/>
    <cellStyle name="60% - Accent1 3 4" xfId="1193"/>
    <cellStyle name="60% - Accent1 3 5" xfId="1194"/>
    <cellStyle name="60% - Accent1 3 6" xfId="1195"/>
    <cellStyle name="60% - Accent1 4" xfId="1196"/>
    <cellStyle name="60% - Accent1 4 2" xfId="1197"/>
    <cellStyle name="60% - Accent1 5" xfId="1198"/>
    <cellStyle name="60% - Accent1 5 2" xfId="1199"/>
    <cellStyle name="60% - Accent1 6" xfId="1200"/>
    <cellStyle name="60% - Accent1 6 2" xfId="1201"/>
    <cellStyle name="60% - Accent1 7 2" xfId="1202"/>
    <cellStyle name="60% - Accent1 8 2" xfId="1203"/>
    <cellStyle name="60% - Accent1 9 2" xfId="1204"/>
    <cellStyle name="60% - Accent2 10 2" xfId="1205"/>
    <cellStyle name="60% - Accent2 11 2" xfId="1206"/>
    <cellStyle name="60% - Accent2 12" xfId="1207"/>
    <cellStyle name="60% - Accent2 13" xfId="1208"/>
    <cellStyle name="60% - Accent2 14" xfId="1209"/>
    <cellStyle name="60% - Accent2 15" xfId="1210"/>
    <cellStyle name="60% - Accent2 2" xfId="1211"/>
    <cellStyle name="60% - Accent2 2 10" xfId="1212"/>
    <cellStyle name="60% - Accent2 2 2" xfId="1213"/>
    <cellStyle name="60% - Accent2 2 2 2" xfId="1214"/>
    <cellStyle name="60% - Accent2 2 2 2 2" xfId="1215"/>
    <cellStyle name="60% - Accent2 2 2 2 2 2" xfId="1216"/>
    <cellStyle name="60% - Accent2 2 2 3" xfId="1217"/>
    <cellStyle name="60% - Accent2 2 2 4" xfId="1218"/>
    <cellStyle name="60% - Accent2 2 2 5" xfId="1219"/>
    <cellStyle name="60% - Accent2 2 2 6" xfId="1220"/>
    <cellStyle name="60% - Accent2 2 3" xfId="1221"/>
    <cellStyle name="60% - Accent2 2 4" xfId="1222"/>
    <cellStyle name="60% - Accent2 2 5" xfId="1223"/>
    <cellStyle name="60% - Accent2 2 6" xfId="1224"/>
    <cellStyle name="60% - Accent2 2 7" xfId="1225"/>
    <cellStyle name="60% - Accent2 2 8" xfId="1226"/>
    <cellStyle name="60% - Accent2 2 9" xfId="1227"/>
    <cellStyle name="60% - Accent2 3" xfId="1228"/>
    <cellStyle name="60% - Accent2 3 2" xfId="1229"/>
    <cellStyle name="60% - Accent2 3 3" xfId="1230"/>
    <cellStyle name="60% - Accent2 3 4" xfId="1231"/>
    <cellStyle name="60% - Accent2 3 5" xfId="1232"/>
    <cellStyle name="60% - Accent2 3 6" xfId="1233"/>
    <cellStyle name="60% - Accent2 4" xfId="1234"/>
    <cellStyle name="60% - Accent2 4 2" xfId="1235"/>
    <cellStyle name="60% - Accent2 5" xfId="1236"/>
    <cellStyle name="60% - Accent2 5 2" xfId="1237"/>
    <cellStyle name="60% - Accent2 6" xfId="1238"/>
    <cellStyle name="60% - Accent2 6 2" xfId="1239"/>
    <cellStyle name="60% - Accent2 7 2" xfId="1240"/>
    <cellStyle name="60% - Accent2 8 2" xfId="1241"/>
    <cellStyle name="60% - Accent2 9 2" xfId="1242"/>
    <cellStyle name="60% - Accent3 10 2" xfId="1243"/>
    <cellStyle name="60% - Accent3 11 2" xfId="1244"/>
    <cellStyle name="60% - Accent3 12" xfId="1245"/>
    <cellStyle name="60% - Accent3 13" xfId="1246"/>
    <cellStyle name="60% - Accent3 14" xfId="1247"/>
    <cellStyle name="60% - Accent3 15" xfId="1248"/>
    <cellStyle name="60% - Accent3 2" xfId="1249"/>
    <cellStyle name="60% - Accent3 2 10" xfId="1250"/>
    <cellStyle name="60% - Accent3 2 2" xfId="1251"/>
    <cellStyle name="60% - Accent3 2 2 2" xfId="1252"/>
    <cellStyle name="60% - Accent3 2 2 2 2" xfId="1253"/>
    <cellStyle name="60% - Accent3 2 2 2 2 2" xfId="1254"/>
    <cellStyle name="60% - Accent3 2 2 3" xfId="1255"/>
    <cellStyle name="60% - Accent3 2 2 4" xfId="1256"/>
    <cellStyle name="60% - Accent3 2 2 5" xfId="1257"/>
    <cellStyle name="60% - Accent3 2 2 6" xfId="1258"/>
    <cellStyle name="60% - Accent3 2 3" xfId="1259"/>
    <cellStyle name="60% - Accent3 2 4" xfId="1260"/>
    <cellStyle name="60% - Accent3 2 5" xfId="1261"/>
    <cellStyle name="60% - Accent3 2 6" xfId="1262"/>
    <cellStyle name="60% - Accent3 2 7" xfId="1263"/>
    <cellStyle name="60% - Accent3 2 8" xfId="1264"/>
    <cellStyle name="60% - Accent3 2 9" xfId="1265"/>
    <cellStyle name="60% - Accent3 3" xfId="1266"/>
    <cellStyle name="60% - Accent3 3 2" xfId="1267"/>
    <cellStyle name="60% - Accent3 3 3" xfId="1268"/>
    <cellStyle name="60% - Accent3 3 4" xfId="1269"/>
    <cellStyle name="60% - Accent3 3 5" xfId="1270"/>
    <cellStyle name="60% - Accent3 3 6" xfId="1271"/>
    <cellStyle name="60% - Accent3 4" xfId="1272"/>
    <cellStyle name="60% - Accent3 4 2" xfId="1273"/>
    <cellStyle name="60% - Accent3 5" xfId="1274"/>
    <cellStyle name="60% - Accent3 5 2" xfId="1275"/>
    <cellStyle name="60% - Accent3 6" xfId="1276"/>
    <cellStyle name="60% - Accent3 6 2" xfId="1277"/>
    <cellStyle name="60% - Accent3 7 2" xfId="1278"/>
    <cellStyle name="60% - Accent3 8 2" xfId="1279"/>
    <cellStyle name="60% - Accent3 9 2" xfId="1280"/>
    <cellStyle name="60% - Accent4 10 2" xfId="1281"/>
    <cellStyle name="60% - Accent4 11 2" xfId="1282"/>
    <cellStyle name="60% - Accent4 12" xfId="1283"/>
    <cellStyle name="60% - Accent4 13" xfId="1284"/>
    <cellStyle name="60% - Accent4 14" xfId="1285"/>
    <cellStyle name="60% - Accent4 15" xfId="1286"/>
    <cellStyle name="60% - Accent4 2" xfId="1287"/>
    <cellStyle name="60% - Accent4 2 10" xfId="1288"/>
    <cellStyle name="60% - Accent4 2 2" xfId="1289"/>
    <cellStyle name="60% - Accent4 2 2 2" xfId="1290"/>
    <cellStyle name="60% - Accent4 2 2 2 2" xfId="1291"/>
    <cellStyle name="60% - Accent4 2 2 2 2 2" xfId="1292"/>
    <cellStyle name="60% - Accent4 2 2 3" xfId="1293"/>
    <cellStyle name="60% - Accent4 2 2 4" xfId="1294"/>
    <cellStyle name="60% - Accent4 2 2 5" xfId="1295"/>
    <cellStyle name="60% - Accent4 2 2 6" xfId="1296"/>
    <cellStyle name="60% - Accent4 2 3" xfId="1297"/>
    <cellStyle name="60% - Accent4 2 4" xfId="1298"/>
    <cellStyle name="60% - Accent4 2 5" xfId="1299"/>
    <cellStyle name="60% - Accent4 2 6" xfId="1300"/>
    <cellStyle name="60% - Accent4 2 7" xfId="1301"/>
    <cellStyle name="60% - Accent4 2 8" xfId="1302"/>
    <cellStyle name="60% - Accent4 2 9" xfId="1303"/>
    <cellStyle name="60% - Accent4 3" xfId="1304"/>
    <cellStyle name="60% - Accent4 3 2" xfId="1305"/>
    <cellStyle name="60% - Accent4 3 3" xfId="1306"/>
    <cellStyle name="60% - Accent4 3 4" xfId="1307"/>
    <cellStyle name="60% - Accent4 3 5" xfId="1308"/>
    <cellStyle name="60% - Accent4 3 6" xfId="1309"/>
    <cellStyle name="60% - Accent4 4" xfId="1310"/>
    <cellStyle name="60% - Accent4 4 2" xfId="1311"/>
    <cellStyle name="60% - Accent4 5" xfId="1312"/>
    <cellStyle name="60% - Accent4 5 2" xfId="1313"/>
    <cellStyle name="60% - Accent4 6" xfId="1314"/>
    <cellStyle name="60% - Accent4 6 2" xfId="1315"/>
    <cellStyle name="60% - Accent4 7 2" xfId="1316"/>
    <cellStyle name="60% - Accent4 8 2" xfId="1317"/>
    <cellStyle name="60% - Accent4 9 2" xfId="1318"/>
    <cellStyle name="60% - Accent5 10 2" xfId="1319"/>
    <cellStyle name="60% - Accent5 11 2" xfId="1320"/>
    <cellStyle name="60% - Accent5 12" xfId="1321"/>
    <cellStyle name="60% - Accent5 13" xfId="1322"/>
    <cellStyle name="60% - Accent5 14" xfId="1323"/>
    <cellStyle name="60% - Accent5 15" xfId="1324"/>
    <cellStyle name="60% - Accent5 2" xfId="1325"/>
    <cellStyle name="60% - Accent5 2 10" xfId="1326"/>
    <cellStyle name="60% - Accent5 2 2" xfId="1327"/>
    <cellStyle name="60% - Accent5 2 2 2" xfId="1328"/>
    <cellStyle name="60% - Accent5 2 2 2 2" xfId="1329"/>
    <cellStyle name="60% - Accent5 2 2 2 2 2" xfId="1330"/>
    <cellStyle name="60% - Accent5 2 2 3" xfId="1331"/>
    <cellStyle name="60% - Accent5 2 2 4" xfId="1332"/>
    <cellStyle name="60% - Accent5 2 2 5" xfId="1333"/>
    <cellStyle name="60% - Accent5 2 2 6" xfId="1334"/>
    <cellStyle name="60% - Accent5 2 3" xfId="1335"/>
    <cellStyle name="60% - Accent5 2 4" xfId="1336"/>
    <cellStyle name="60% - Accent5 2 5" xfId="1337"/>
    <cellStyle name="60% - Accent5 2 6" xfId="1338"/>
    <cellStyle name="60% - Accent5 2 7" xfId="1339"/>
    <cellStyle name="60% - Accent5 2 8" xfId="1340"/>
    <cellStyle name="60% - Accent5 2 9" xfId="1341"/>
    <cellStyle name="60% - Accent5 3" xfId="1342"/>
    <cellStyle name="60% - Accent5 3 2" xfId="1343"/>
    <cellStyle name="60% - Accent5 3 3" xfId="1344"/>
    <cellStyle name="60% - Accent5 3 4" xfId="1345"/>
    <cellStyle name="60% - Accent5 3 5" xfId="1346"/>
    <cellStyle name="60% - Accent5 3 6" xfId="1347"/>
    <cellStyle name="60% - Accent5 4" xfId="1348"/>
    <cellStyle name="60% - Accent5 4 2" xfId="1349"/>
    <cellStyle name="60% - Accent5 5" xfId="1350"/>
    <cellStyle name="60% - Accent5 5 2" xfId="1351"/>
    <cellStyle name="60% - Accent5 6" xfId="1352"/>
    <cellStyle name="60% - Accent5 6 2" xfId="1353"/>
    <cellStyle name="60% - Accent5 7 2" xfId="1354"/>
    <cellStyle name="60% - Accent5 8 2" xfId="1355"/>
    <cellStyle name="60% - Accent5 9 2" xfId="1356"/>
    <cellStyle name="60% - Accent6 10 2" xfId="1357"/>
    <cellStyle name="60% - Accent6 11 2" xfId="1358"/>
    <cellStyle name="60% - Accent6 12" xfId="1359"/>
    <cellStyle name="60% - Accent6 13" xfId="1360"/>
    <cellStyle name="60% - Accent6 14" xfId="1361"/>
    <cellStyle name="60% - Accent6 15" xfId="1362"/>
    <cellStyle name="60% - Accent6 2" xfId="1363"/>
    <cellStyle name="60% - Accent6 2 10" xfId="1364"/>
    <cellStyle name="60% - Accent6 2 2" xfId="1365"/>
    <cellStyle name="60% - Accent6 2 2 2" xfId="1366"/>
    <cellStyle name="60% - Accent6 2 2 2 2" xfId="1367"/>
    <cellStyle name="60% - Accent6 2 2 2 2 2" xfId="1368"/>
    <cellStyle name="60% - Accent6 2 2 3" xfId="1369"/>
    <cellStyle name="60% - Accent6 2 2 4" xfId="1370"/>
    <cellStyle name="60% - Accent6 2 2 5" xfId="1371"/>
    <cellStyle name="60% - Accent6 2 2 6" xfId="1372"/>
    <cellStyle name="60% - Accent6 2 3" xfId="1373"/>
    <cellStyle name="60% - Accent6 2 4" xfId="1374"/>
    <cellStyle name="60% - Accent6 2 5" xfId="1375"/>
    <cellStyle name="60% - Accent6 2 6" xfId="1376"/>
    <cellStyle name="60% - Accent6 2 7" xfId="1377"/>
    <cellStyle name="60% - Accent6 2 8" xfId="1378"/>
    <cellStyle name="60% - Accent6 2 9" xfId="1379"/>
    <cellStyle name="60% - Accent6 3" xfId="1380"/>
    <cellStyle name="60% - Accent6 3 2" xfId="1381"/>
    <cellStyle name="60% - Accent6 3 3" xfId="1382"/>
    <cellStyle name="60% - Accent6 3 4" xfId="1383"/>
    <cellStyle name="60% - Accent6 3 5" xfId="1384"/>
    <cellStyle name="60% - Accent6 3 6" xfId="1385"/>
    <cellStyle name="60% - Accent6 4" xfId="1386"/>
    <cellStyle name="60% - Accent6 4 2" xfId="1387"/>
    <cellStyle name="60% - Accent6 5" xfId="1388"/>
    <cellStyle name="60% - Accent6 5 2" xfId="1389"/>
    <cellStyle name="60% - Accent6 6" xfId="1390"/>
    <cellStyle name="60% - Accent6 6 2" xfId="1391"/>
    <cellStyle name="60% - Accent6 7 2" xfId="1392"/>
    <cellStyle name="60% - Accent6 8 2" xfId="1393"/>
    <cellStyle name="60% - Accent6 9 2" xfId="1394"/>
    <cellStyle name="Accent1 10 2" xfId="1395"/>
    <cellStyle name="Accent1 11 2" xfId="1396"/>
    <cellStyle name="Accent1 12" xfId="1397"/>
    <cellStyle name="Accent1 13" xfId="1398"/>
    <cellStyle name="Accent1 14" xfId="1399"/>
    <cellStyle name="Accent1 15" xfId="1400"/>
    <cellStyle name="Accent1 2" xfId="1401"/>
    <cellStyle name="Accent1 2 10" xfId="1402"/>
    <cellStyle name="Accent1 2 2" xfId="1403"/>
    <cellStyle name="Accent1 2 2 2" xfId="1404"/>
    <cellStyle name="Accent1 2 2 2 2" xfId="1405"/>
    <cellStyle name="Accent1 2 2 2 2 2" xfId="1406"/>
    <cellStyle name="Accent1 2 2 3" xfId="1407"/>
    <cellStyle name="Accent1 2 2 4" xfId="1408"/>
    <cellStyle name="Accent1 2 2 5" xfId="1409"/>
    <cellStyle name="Accent1 2 2 6" xfId="1410"/>
    <cellStyle name="Accent1 2 3" xfId="1411"/>
    <cellStyle name="Accent1 2 4" xfId="1412"/>
    <cellStyle name="Accent1 2 5" xfId="1413"/>
    <cellStyle name="Accent1 2 6" xfId="1414"/>
    <cellStyle name="Accent1 2 7" xfId="1415"/>
    <cellStyle name="Accent1 2 8" xfId="1416"/>
    <cellStyle name="Accent1 2 9" xfId="1417"/>
    <cellStyle name="Accent1 3" xfId="1418"/>
    <cellStyle name="Accent1 3 2" xfId="1419"/>
    <cellStyle name="Accent1 3 3" xfId="1420"/>
    <cellStyle name="Accent1 3 4" xfId="1421"/>
    <cellStyle name="Accent1 3 5" xfId="1422"/>
    <cellStyle name="Accent1 3 6" xfId="1423"/>
    <cellStyle name="Accent1 4" xfId="1424"/>
    <cellStyle name="Accent1 4 2" xfId="1425"/>
    <cellStyle name="Accent1 5" xfId="1426"/>
    <cellStyle name="Accent1 5 2" xfId="1427"/>
    <cellStyle name="Accent1 6" xfId="1428"/>
    <cellStyle name="Accent1 6 2" xfId="1429"/>
    <cellStyle name="Accent1 7 2" xfId="1430"/>
    <cellStyle name="Accent1 8 2" xfId="1431"/>
    <cellStyle name="Accent1 9 2" xfId="1432"/>
    <cellStyle name="Accent2 10 2" xfId="1433"/>
    <cellStyle name="Accent2 11 2" xfId="1434"/>
    <cellStyle name="Accent2 12" xfId="1435"/>
    <cellStyle name="Accent2 13" xfId="1436"/>
    <cellStyle name="Accent2 14" xfId="1437"/>
    <cellStyle name="Accent2 15" xfId="1438"/>
    <cellStyle name="Accent2 2" xfId="1439"/>
    <cellStyle name="Accent2 2 10" xfId="1440"/>
    <cellStyle name="Accent2 2 2" xfId="1441"/>
    <cellStyle name="Accent2 2 2 2" xfId="1442"/>
    <cellStyle name="Accent2 2 2 2 2" xfId="1443"/>
    <cellStyle name="Accent2 2 2 2 2 2" xfId="1444"/>
    <cellStyle name="Accent2 2 2 3" xfId="1445"/>
    <cellStyle name="Accent2 2 2 4" xfId="1446"/>
    <cellStyle name="Accent2 2 2 5" xfId="1447"/>
    <cellStyle name="Accent2 2 2 6" xfId="1448"/>
    <cellStyle name="Accent2 2 3" xfId="1449"/>
    <cellStyle name="Accent2 2 4" xfId="1450"/>
    <cellStyle name="Accent2 2 5" xfId="1451"/>
    <cellStyle name="Accent2 2 6" xfId="1452"/>
    <cellStyle name="Accent2 2 7" xfId="1453"/>
    <cellStyle name="Accent2 2 8" xfId="1454"/>
    <cellStyle name="Accent2 2 9" xfId="1455"/>
    <cellStyle name="Accent2 3" xfId="1456"/>
    <cellStyle name="Accent2 3 2" xfId="1457"/>
    <cellStyle name="Accent2 3 3" xfId="1458"/>
    <cellStyle name="Accent2 3 4" xfId="1459"/>
    <cellStyle name="Accent2 3 5" xfId="1460"/>
    <cellStyle name="Accent2 3 6" xfId="1461"/>
    <cellStyle name="Accent2 4" xfId="1462"/>
    <cellStyle name="Accent2 4 2" xfId="1463"/>
    <cellStyle name="Accent2 5" xfId="1464"/>
    <cellStyle name="Accent2 5 2" xfId="1465"/>
    <cellStyle name="Accent2 6" xfId="1466"/>
    <cellStyle name="Accent2 6 2" xfId="1467"/>
    <cellStyle name="Accent2 7 2" xfId="1468"/>
    <cellStyle name="Accent2 8 2" xfId="1469"/>
    <cellStyle name="Accent2 9 2" xfId="1470"/>
    <cellStyle name="Accent3 10 2" xfId="1471"/>
    <cellStyle name="Accent3 11 2" xfId="1472"/>
    <cellStyle name="Accent3 12" xfId="1473"/>
    <cellStyle name="Accent3 13" xfId="1474"/>
    <cellStyle name="Accent3 14" xfId="1475"/>
    <cellStyle name="Accent3 15" xfId="1476"/>
    <cellStyle name="Accent3 2" xfId="1477"/>
    <cellStyle name="Accent3 2 10" xfId="1478"/>
    <cellStyle name="Accent3 2 2" xfId="1479"/>
    <cellStyle name="Accent3 2 2 2" xfId="1480"/>
    <cellStyle name="Accent3 2 2 2 2" xfId="1481"/>
    <cellStyle name="Accent3 2 2 2 2 2" xfId="1482"/>
    <cellStyle name="Accent3 2 2 3" xfId="1483"/>
    <cellStyle name="Accent3 2 2 4" xfId="1484"/>
    <cellStyle name="Accent3 2 2 5" xfId="1485"/>
    <cellStyle name="Accent3 2 2 6" xfId="1486"/>
    <cellStyle name="Accent3 2 3" xfId="1487"/>
    <cellStyle name="Accent3 2 4" xfId="1488"/>
    <cellStyle name="Accent3 2 5" xfId="1489"/>
    <cellStyle name="Accent3 2 6" xfId="1490"/>
    <cellStyle name="Accent3 2 7" xfId="1491"/>
    <cellStyle name="Accent3 2 8" xfId="1492"/>
    <cellStyle name="Accent3 2 9" xfId="1493"/>
    <cellStyle name="Accent3 3" xfId="1494"/>
    <cellStyle name="Accent3 3 2" xfId="1495"/>
    <cellStyle name="Accent3 3 3" xfId="1496"/>
    <cellStyle name="Accent3 3 4" xfId="1497"/>
    <cellStyle name="Accent3 3 5" xfId="1498"/>
    <cellStyle name="Accent3 3 6" xfId="1499"/>
    <cellStyle name="Accent3 4" xfId="1500"/>
    <cellStyle name="Accent3 4 2" xfId="1501"/>
    <cellStyle name="Accent3 5" xfId="1502"/>
    <cellStyle name="Accent3 5 2" xfId="1503"/>
    <cellStyle name="Accent3 6" xfId="1504"/>
    <cellStyle name="Accent3 6 2" xfId="1505"/>
    <cellStyle name="Accent3 7 2" xfId="1506"/>
    <cellStyle name="Accent3 8 2" xfId="1507"/>
    <cellStyle name="Accent3 9 2" xfId="1508"/>
    <cellStyle name="Accent4 10 2" xfId="1509"/>
    <cellStyle name="Accent4 11 2" xfId="1510"/>
    <cellStyle name="Accent4 12" xfId="1511"/>
    <cellStyle name="Accent4 13" xfId="1512"/>
    <cellStyle name="Accent4 14" xfId="1513"/>
    <cellStyle name="Accent4 15" xfId="1514"/>
    <cellStyle name="Accent4 2" xfId="1515"/>
    <cellStyle name="Accent4 2 10" xfId="1516"/>
    <cellStyle name="Accent4 2 2" xfId="1517"/>
    <cellStyle name="Accent4 2 2 2" xfId="1518"/>
    <cellStyle name="Accent4 2 2 2 2" xfId="1519"/>
    <cellStyle name="Accent4 2 2 2 2 2" xfId="1520"/>
    <cellStyle name="Accent4 2 2 3" xfId="1521"/>
    <cellStyle name="Accent4 2 2 4" xfId="1522"/>
    <cellStyle name="Accent4 2 2 5" xfId="1523"/>
    <cellStyle name="Accent4 2 2 6" xfId="1524"/>
    <cellStyle name="Accent4 2 3" xfId="1525"/>
    <cellStyle name="Accent4 2 4" xfId="1526"/>
    <cellStyle name="Accent4 2 5" xfId="1527"/>
    <cellStyle name="Accent4 2 6" xfId="1528"/>
    <cellStyle name="Accent4 2 7" xfId="1529"/>
    <cellStyle name="Accent4 2 8" xfId="1530"/>
    <cellStyle name="Accent4 2 9" xfId="1531"/>
    <cellStyle name="Accent4 3" xfId="1532"/>
    <cellStyle name="Accent4 3 2" xfId="1533"/>
    <cellStyle name="Accent4 3 3" xfId="1534"/>
    <cellStyle name="Accent4 3 4" xfId="1535"/>
    <cellStyle name="Accent4 3 5" xfId="1536"/>
    <cellStyle name="Accent4 3 6" xfId="1537"/>
    <cellStyle name="Accent4 4" xfId="1538"/>
    <cellStyle name="Accent4 4 2" xfId="1539"/>
    <cellStyle name="Accent4 5" xfId="1540"/>
    <cellStyle name="Accent4 5 2" xfId="1541"/>
    <cellStyle name="Accent4 6" xfId="1542"/>
    <cellStyle name="Accent4 6 2" xfId="1543"/>
    <cellStyle name="Accent4 7 2" xfId="1544"/>
    <cellStyle name="Accent4 8 2" xfId="1545"/>
    <cellStyle name="Accent4 9 2" xfId="1546"/>
    <cellStyle name="Accent5 10 2" xfId="1547"/>
    <cellStyle name="Accent5 11 2" xfId="1548"/>
    <cellStyle name="Accent5 12" xfId="1549"/>
    <cellStyle name="Accent5 13" xfId="1550"/>
    <cellStyle name="Accent5 14" xfId="1551"/>
    <cellStyle name="Accent5 15" xfId="1552"/>
    <cellStyle name="Accent5 2" xfId="1553"/>
    <cellStyle name="Accent5 2 10" xfId="1554"/>
    <cellStyle name="Accent5 2 2" xfId="1555"/>
    <cellStyle name="Accent5 2 2 2" xfId="1556"/>
    <cellStyle name="Accent5 2 2 2 2" xfId="1557"/>
    <cellStyle name="Accent5 2 2 2 2 2" xfId="1558"/>
    <cellStyle name="Accent5 2 2 3" xfId="1559"/>
    <cellStyle name="Accent5 2 2 4" xfId="1560"/>
    <cellStyle name="Accent5 2 2 5" xfId="1561"/>
    <cellStyle name="Accent5 2 2 6" xfId="1562"/>
    <cellStyle name="Accent5 2 3" xfId="1563"/>
    <cellStyle name="Accent5 2 4" xfId="1564"/>
    <cellStyle name="Accent5 2 5" xfId="1565"/>
    <cellStyle name="Accent5 2 6" xfId="1566"/>
    <cellStyle name="Accent5 2 7" xfId="1567"/>
    <cellStyle name="Accent5 2 8" xfId="1568"/>
    <cellStyle name="Accent5 2 9" xfId="1569"/>
    <cellStyle name="Accent5 3" xfId="1570"/>
    <cellStyle name="Accent5 3 2" xfId="1571"/>
    <cellStyle name="Accent5 3 3" xfId="1572"/>
    <cellStyle name="Accent5 3 4" xfId="1573"/>
    <cellStyle name="Accent5 3 5" xfId="1574"/>
    <cellStyle name="Accent5 3 6" xfId="1575"/>
    <cellStyle name="Accent5 4" xfId="1576"/>
    <cellStyle name="Accent5 4 2" xfId="1577"/>
    <cellStyle name="Accent5 5" xfId="1578"/>
    <cellStyle name="Accent5 5 2" xfId="1579"/>
    <cellStyle name="Accent5 6" xfId="1580"/>
    <cellStyle name="Accent5 6 2" xfId="1581"/>
    <cellStyle name="Accent5 7 2" xfId="1582"/>
    <cellStyle name="Accent5 8 2" xfId="1583"/>
    <cellStyle name="Accent5 9 2" xfId="1584"/>
    <cellStyle name="Accent6 10 2" xfId="1585"/>
    <cellStyle name="Accent6 11 2" xfId="1586"/>
    <cellStyle name="Accent6 12" xfId="1587"/>
    <cellStyle name="Accent6 13" xfId="1588"/>
    <cellStyle name="Accent6 14" xfId="1589"/>
    <cellStyle name="Accent6 15" xfId="1590"/>
    <cellStyle name="Accent6 2" xfId="1591"/>
    <cellStyle name="Accent6 2 10" xfId="1592"/>
    <cellStyle name="Accent6 2 2" xfId="1593"/>
    <cellStyle name="Accent6 2 2 2" xfId="1594"/>
    <cellStyle name="Accent6 2 2 2 2" xfId="1595"/>
    <cellStyle name="Accent6 2 2 2 2 2" xfId="1596"/>
    <cellStyle name="Accent6 2 2 3" xfId="1597"/>
    <cellStyle name="Accent6 2 2 4" xfId="1598"/>
    <cellStyle name="Accent6 2 2 5" xfId="1599"/>
    <cellStyle name="Accent6 2 2 6" xfId="1600"/>
    <cellStyle name="Accent6 2 3" xfId="1601"/>
    <cellStyle name="Accent6 2 4" xfId="1602"/>
    <cellStyle name="Accent6 2 5" xfId="1603"/>
    <cellStyle name="Accent6 2 6" xfId="1604"/>
    <cellStyle name="Accent6 2 7" xfId="1605"/>
    <cellStyle name="Accent6 2 8" xfId="1606"/>
    <cellStyle name="Accent6 2 9" xfId="1607"/>
    <cellStyle name="Accent6 3" xfId="1608"/>
    <cellStyle name="Accent6 3 2" xfId="1609"/>
    <cellStyle name="Accent6 3 3" xfId="1610"/>
    <cellStyle name="Accent6 3 4" xfId="1611"/>
    <cellStyle name="Accent6 3 5" xfId="1612"/>
    <cellStyle name="Accent6 3 6" xfId="1613"/>
    <cellStyle name="Accent6 4" xfId="1614"/>
    <cellStyle name="Accent6 4 2" xfId="1615"/>
    <cellStyle name="Accent6 5" xfId="1616"/>
    <cellStyle name="Accent6 5 2" xfId="1617"/>
    <cellStyle name="Accent6 6" xfId="1618"/>
    <cellStyle name="Accent6 6 2" xfId="1619"/>
    <cellStyle name="Accent6 7 2" xfId="1620"/>
    <cellStyle name="Accent6 8 2" xfId="1621"/>
    <cellStyle name="Accent6 9 2" xfId="1622"/>
    <cellStyle name="Bad 10 2" xfId="1623"/>
    <cellStyle name="Bad 11 2" xfId="1624"/>
    <cellStyle name="Bad 12" xfId="1625"/>
    <cellStyle name="Bad 13" xfId="1626"/>
    <cellStyle name="Bad 14" xfId="1627"/>
    <cellStyle name="Bad 15" xfId="1628"/>
    <cellStyle name="Bad 2" xfId="1629"/>
    <cellStyle name="Bad 2 10" xfId="1630"/>
    <cellStyle name="Bad 2 2" xfId="1631"/>
    <cellStyle name="Bad 2 2 2" xfId="1632"/>
    <cellStyle name="Bad 2 2 2 2" xfId="1633"/>
    <cellStyle name="Bad 2 2 2 2 2" xfId="1634"/>
    <cellStyle name="Bad 2 2 3" xfId="1635"/>
    <cellStyle name="Bad 2 2 4" xfId="1636"/>
    <cellStyle name="Bad 2 2 5" xfId="1637"/>
    <cellStyle name="Bad 2 2 6" xfId="1638"/>
    <cellStyle name="Bad 2 3" xfId="1639"/>
    <cellStyle name="Bad 2 4" xfId="1640"/>
    <cellStyle name="Bad 2 5" xfId="1641"/>
    <cellStyle name="Bad 2 6" xfId="1642"/>
    <cellStyle name="Bad 2 7" xfId="1643"/>
    <cellStyle name="Bad 2 8" xfId="1644"/>
    <cellStyle name="Bad 2 9" xfId="1645"/>
    <cellStyle name="Bad 3" xfId="1646"/>
    <cellStyle name="Bad 3 2" xfId="1647"/>
    <cellStyle name="Bad 3 3" xfId="1648"/>
    <cellStyle name="Bad 3 4" xfId="1649"/>
    <cellStyle name="Bad 3 5" xfId="1650"/>
    <cellStyle name="Bad 3 6" xfId="1651"/>
    <cellStyle name="Bad 4" xfId="1652"/>
    <cellStyle name="Bad 4 2" xfId="1653"/>
    <cellStyle name="Bad 5" xfId="1654"/>
    <cellStyle name="Bad 5 2" xfId="1655"/>
    <cellStyle name="Bad 6" xfId="1656"/>
    <cellStyle name="Bad 6 2" xfId="1657"/>
    <cellStyle name="Bad 7 2" xfId="1658"/>
    <cellStyle name="Bad 8 2" xfId="1659"/>
    <cellStyle name="Bad 9 2" xfId="1660"/>
    <cellStyle name="Calculation 10 2" xfId="1661"/>
    <cellStyle name="Calculation 11 2" xfId="1662"/>
    <cellStyle name="Calculation 12" xfId="1663"/>
    <cellStyle name="Calculation 13" xfId="1664"/>
    <cellStyle name="Calculation 14" xfId="1665"/>
    <cellStyle name="Calculation 15" xfId="1666"/>
    <cellStyle name="Calculation 2" xfId="1667"/>
    <cellStyle name="Calculation 2 10" xfId="1668"/>
    <cellStyle name="Calculation 2 2" xfId="1669"/>
    <cellStyle name="Calculation 2 2 2" xfId="1670"/>
    <cellStyle name="Calculation 2 2 2 2" xfId="1671"/>
    <cellStyle name="Calculation 2 2 2 2 2" xfId="1672"/>
    <cellStyle name="Calculation 2 2 3" xfId="1673"/>
    <cellStyle name="Calculation 2 2 4" xfId="1674"/>
    <cellStyle name="Calculation 2 2 5" xfId="1675"/>
    <cellStyle name="Calculation 2 2 6" xfId="1676"/>
    <cellStyle name="Calculation 2 3" xfId="1677"/>
    <cellStyle name="Calculation 2 4" xfId="1678"/>
    <cellStyle name="Calculation 2 5" xfId="1679"/>
    <cellStyle name="Calculation 2 6" xfId="1680"/>
    <cellStyle name="Calculation 2 7" xfId="1681"/>
    <cellStyle name="Calculation 2 8" xfId="1682"/>
    <cellStyle name="Calculation 2 9" xfId="1683"/>
    <cellStyle name="Calculation 3" xfId="1684"/>
    <cellStyle name="Calculation 3 2" xfId="1685"/>
    <cellStyle name="Calculation 3 3" xfId="1686"/>
    <cellStyle name="Calculation 3 4" xfId="1687"/>
    <cellStyle name="Calculation 3 5" xfId="1688"/>
    <cellStyle name="Calculation 3 6" xfId="1689"/>
    <cellStyle name="Calculation 4" xfId="1690"/>
    <cellStyle name="Calculation 4 2" xfId="1691"/>
    <cellStyle name="Calculation 5" xfId="1692"/>
    <cellStyle name="Calculation 5 2" xfId="1693"/>
    <cellStyle name="Calculation 6" xfId="1694"/>
    <cellStyle name="Calculation 6 2" xfId="1695"/>
    <cellStyle name="Calculation 7 2" xfId="1696"/>
    <cellStyle name="Calculation 8 2" xfId="1697"/>
    <cellStyle name="Calculation 9 2" xfId="1698"/>
    <cellStyle name="Check Cell 10 2" xfId="1699"/>
    <cellStyle name="Check Cell 11 2" xfId="1700"/>
    <cellStyle name="Check Cell 12" xfId="1701"/>
    <cellStyle name="Check Cell 13" xfId="1702"/>
    <cellStyle name="Check Cell 14" xfId="1703"/>
    <cellStyle name="Check Cell 15" xfId="1704"/>
    <cellStyle name="Check Cell 2" xfId="1705"/>
    <cellStyle name="Check Cell 2 10" xfId="1706"/>
    <cellStyle name="Check Cell 2 2" xfId="1707"/>
    <cellStyle name="Check Cell 2 2 2" xfId="1708"/>
    <cellStyle name="Check Cell 2 2 2 2" xfId="1709"/>
    <cellStyle name="Check Cell 2 2 2 2 2" xfId="1710"/>
    <cellStyle name="Check Cell 2 2 3" xfId="1711"/>
    <cellStyle name="Check Cell 2 2 4" xfId="1712"/>
    <cellStyle name="Check Cell 2 2 5" xfId="1713"/>
    <cellStyle name="Check Cell 2 2 6" xfId="1714"/>
    <cellStyle name="Check Cell 2 3" xfId="1715"/>
    <cellStyle name="Check Cell 2 4" xfId="1716"/>
    <cellStyle name="Check Cell 2 5" xfId="1717"/>
    <cellStyle name="Check Cell 2 6" xfId="1718"/>
    <cellStyle name="Check Cell 2 7" xfId="1719"/>
    <cellStyle name="Check Cell 2 8" xfId="1720"/>
    <cellStyle name="Check Cell 2 9" xfId="1721"/>
    <cellStyle name="Check Cell 3" xfId="1722"/>
    <cellStyle name="Check Cell 3 2" xfId="1723"/>
    <cellStyle name="Check Cell 3 3" xfId="1724"/>
    <cellStyle name="Check Cell 3 4" xfId="1725"/>
    <cellStyle name="Check Cell 3 5" xfId="1726"/>
    <cellStyle name="Check Cell 3 6" xfId="1727"/>
    <cellStyle name="Check Cell 4" xfId="1728"/>
    <cellStyle name="Check Cell 4 2" xfId="1729"/>
    <cellStyle name="Check Cell 5" xfId="1730"/>
    <cellStyle name="Check Cell 5 2" xfId="1731"/>
    <cellStyle name="Check Cell 6" xfId="1732"/>
    <cellStyle name="Check Cell 6 2" xfId="1733"/>
    <cellStyle name="Check Cell 7 2" xfId="1734"/>
    <cellStyle name="Check Cell 8 2" xfId="1735"/>
    <cellStyle name="Check Cell 9 2" xfId="1736"/>
    <cellStyle name="Comma 10" xfId="1737"/>
    <cellStyle name="Comma 12" xfId="1738"/>
    <cellStyle name="Comma 2" xfId="1739"/>
    <cellStyle name="Comma 2 10" xfId="1740"/>
    <cellStyle name="Comma 2 11" xfId="1741"/>
    <cellStyle name="Comma 2 12" xfId="1742"/>
    <cellStyle name="Comma 2 13" xfId="1743"/>
    <cellStyle name="Comma 2 14" xfId="1744"/>
    <cellStyle name="Comma 2 15" xfId="1745"/>
    <cellStyle name="Comma 2 2" xfId="1746"/>
    <cellStyle name="Comma 2 2 2" xfId="1747"/>
    <cellStyle name="Comma 2 2 2 2" xfId="1748"/>
    <cellStyle name="Comma 2 2 3" xfId="1749"/>
    <cellStyle name="Comma 2 2 4" xfId="1750"/>
    <cellStyle name="Comma 2 2 5" xfId="1751"/>
    <cellStyle name="Comma 2 2 6" xfId="1752"/>
    <cellStyle name="Comma 2 2 7" xfId="1753"/>
    <cellStyle name="Comma 2 2 8" xfId="1754"/>
    <cellStyle name="Comma 2 2 9" xfId="1755"/>
    <cellStyle name="Comma 2 3" xfId="1756"/>
    <cellStyle name="Comma 2 3 2" xfId="1757"/>
    <cellStyle name="Comma 2 3 3" xfId="1758"/>
    <cellStyle name="Comma 2 3 4" xfId="1759"/>
    <cellStyle name="Comma 2 3 5" xfId="1760"/>
    <cellStyle name="Comma 2 4" xfId="1761"/>
    <cellStyle name="Comma 2 5" xfId="1762"/>
    <cellStyle name="Comma 2 6" xfId="1763"/>
    <cellStyle name="Comma 2 7" xfId="1764"/>
    <cellStyle name="Comma 2 8" xfId="1765"/>
    <cellStyle name="Comma 2 9" xfId="1766"/>
    <cellStyle name="Comma 2_1-8 Oct" xfId="1767"/>
    <cellStyle name="Comma 3" xfId="1768"/>
    <cellStyle name="Comma 3 10" xfId="1769"/>
    <cellStyle name="Comma 3 11" xfId="1770"/>
    <cellStyle name="Comma 3 2" xfId="1771"/>
    <cellStyle name="Comma 3 2 10" xfId="1772"/>
    <cellStyle name="Comma 3 2 11" xfId="1773"/>
    <cellStyle name="Comma 3 2 12" xfId="1774"/>
    <cellStyle name="Comma 3 2 13" xfId="1775"/>
    <cellStyle name="Comma 3 2 14" xfId="1776"/>
    <cellStyle name="Comma 3 2 14 4" xfId="1777"/>
    <cellStyle name="Comma 3 2 14 4 2" xfId="1778"/>
    <cellStyle name="Comma 3 2 2" xfId="1779"/>
    <cellStyle name="Comma 3 2 2 2" xfId="1780"/>
    <cellStyle name="Comma 3 2 2 3" xfId="1781"/>
    <cellStyle name="Comma 3 2 2 4" xfId="1782"/>
    <cellStyle name="Comma 3 2 2 5" xfId="1783"/>
    <cellStyle name="Comma 3 2 2 6" xfId="1784"/>
    <cellStyle name="Comma 3 2 2 7" xfId="1785"/>
    <cellStyle name="Comma 3 2 2 8" xfId="1786"/>
    <cellStyle name="Comma 3 2 3" xfId="1787"/>
    <cellStyle name="Comma 3 2 4" xfId="1788"/>
    <cellStyle name="Comma 3 2 5" xfId="1789"/>
    <cellStyle name="Comma 3 2 6" xfId="1790"/>
    <cellStyle name="Comma 3 2 7" xfId="1791"/>
    <cellStyle name="Comma 3 2 8" xfId="1792"/>
    <cellStyle name="Comma 3 2 9" xfId="1793"/>
    <cellStyle name="Comma 3 2_23-28" xfId="1794"/>
    <cellStyle name="Comma 3 3" xfId="1795"/>
    <cellStyle name="Comma 3 3 2" xfId="1796"/>
    <cellStyle name="Comma 3 3 3" xfId="1797"/>
    <cellStyle name="Comma 3 3 4" xfId="1798"/>
    <cellStyle name="Comma 3 3 5" xfId="1799"/>
    <cellStyle name="Comma 3 4" xfId="1800"/>
    <cellStyle name="Comma 3 5" xfId="1801"/>
    <cellStyle name="Comma 3 6" xfId="1802"/>
    <cellStyle name="Comma 3 7" xfId="1803"/>
    <cellStyle name="Comma 3 8" xfId="1804"/>
    <cellStyle name="Comma 3 9" xfId="1805"/>
    <cellStyle name="Comma 3_1-8 Oct" xfId="1806"/>
    <cellStyle name="Comma 4" xfId="1807"/>
    <cellStyle name="Comma 4 10" xfId="1808"/>
    <cellStyle name="Comma 4 2" xfId="1809"/>
    <cellStyle name="Comma 4 2 2" xfId="1810"/>
    <cellStyle name="Comma 4 2 3" xfId="1811"/>
    <cellStyle name="Comma 4 2 4" xfId="1812"/>
    <cellStyle name="Comma 4 2 5" xfId="1813"/>
    <cellStyle name="Comma 4 3" xfId="1814"/>
    <cellStyle name="Comma 4 4" xfId="1815"/>
    <cellStyle name="Comma 4 5" xfId="1816"/>
    <cellStyle name="Comma 4 6" xfId="1817"/>
    <cellStyle name="Comma 4 7" xfId="1818"/>
    <cellStyle name="Comma 4 8" xfId="1819"/>
    <cellStyle name="Comma 4 9" xfId="1820"/>
    <cellStyle name="Comma 5" xfId="1821"/>
    <cellStyle name="Comma 5 10" xfId="1822"/>
    <cellStyle name="Comma 5 11" xfId="1823"/>
    <cellStyle name="Comma 5 2" xfId="1824"/>
    <cellStyle name="Comma 5 2 2" xfId="1825"/>
    <cellStyle name="Comma 5 2 3" xfId="1826"/>
    <cellStyle name="Comma 5 2 4" xfId="1827"/>
    <cellStyle name="Comma 5 2 5" xfId="1828"/>
    <cellStyle name="Comma 5 2 6" xfId="1829"/>
    <cellStyle name="Comma 5 2 7" xfId="1830"/>
    <cellStyle name="Comma 5 2 8" xfId="1831"/>
    <cellStyle name="Comma 5 2 9" xfId="1832"/>
    <cellStyle name="Comma 5 3" xfId="1833"/>
    <cellStyle name="Comma 5 3 2" xfId="1834"/>
    <cellStyle name="Comma 5 3 3" xfId="1835"/>
    <cellStyle name="Comma 5 3 4" xfId="1836"/>
    <cellStyle name="Comma 5 3 5" xfId="1837"/>
    <cellStyle name="Comma 5 4" xfId="1838"/>
    <cellStyle name="Comma 5 5" xfId="1839"/>
    <cellStyle name="Comma 5 6" xfId="1840"/>
    <cellStyle name="Comma 5 7" xfId="1841"/>
    <cellStyle name="Comma 5 8" xfId="1842"/>
    <cellStyle name="Comma 5 9" xfId="1843"/>
    <cellStyle name="Comma 5_1-8 Oct" xfId="1844"/>
    <cellStyle name="Comma 6" xfId="1845"/>
    <cellStyle name="Comma 6 10" xfId="1846"/>
    <cellStyle name="Comma 6 11" xfId="1847"/>
    <cellStyle name="Comma 6 2" xfId="1848"/>
    <cellStyle name="Comma 6 2 10" xfId="1849"/>
    <cellStyle name="Comma 6 2 11" xfId="1850"/>
    <cellStyle name="Comma 6 2 12" xfId="1851"/>
    <cellStyle name="Comma 6 2 13" xfId="1852"/>
    <cellStyle name="Comma 6 2 14" xfId="1853"/>
    <cellStyle name="Comma 6 2 2" xfId="1854"/>
    <cellStyle name="Comma 6 2 2 2" xfId="1855"/>
    <cellStyle name="Comma 6 2 2 3" xfId="1856"/>
    <cellStyle name="Comma 6 2 2 4" xfId="1857"/>
    <cellStyle name="Comma 6 2 2 5" xfId="1858"/>
    <cellStyle name="Comma 6 2 2 6" xfId="1859"/>
    <cellStyle name="Comma 6 2 2 7" xfId="1860"/>
    <cellStyle name="Comma 6 2 2 8" xfId="1861"/>
    <cellStyle name="Comma 6 2 3" xfId="1862"/>
    <cellStyle name="Comma 6 2 4" xfId="1863"/>
    <cellStyle name="Comma 6 2 5" xfId="1864"/>
    <cellStyle name="Comma 6 2 6" xfId="1865"/>
    <cellStyle name="Comma 6 2 7" xfId="1866"/>
    <cellStyle name="Comma 6 2 8" xfId="1867"/>
    <cellStyle name="Comma 6 2 9" xfId="1868"/>
    <cellStyle name="Comma 6 2_23-28" xfId="1869"/>
    <cellStyle name="Comma 6 3" xfId="1870"/>
    <cellStyle name="Comma 6 3 2" xfId="1871"/>
    <cellStyle name="Comma 6 3 3" xfId="1872"/>
    <cellStyle name="Comma 6 3 4" xfId="1873"/>
    <cellStyle name="Comma 6 3 5" xfId="1874"/>
    <cellStyle name="Comma 6 4" xfId="1875"/>
    <cellStyle name="Comma 6 5" xfId="1876"/>
    <cellStyle name="Comma 6 6" xfId="1877"/>
    <cellStyle name="Comma 6 7" xfId="1878"/>
    <cellStyle name="Comma 6 8" xfId="1879"/>
    <cellStyle name="Comma 6 9" xfId="1880"/>
    <cellStyle name="Comma 6_1-8 Oct" xfId="1881"/>
    <cellStyle name="Comma 7" xfId="1882"/>
    <cellStyle name="Comma 7 10" xfId="1883"/>
    <cellStyle name="Comma 7 2" xfId="1884"/>
    <cellStyle name="Comma 7 3" xfId="1885"/>
    <cellStyle name="Comma 7 4" xfId="1886"/>
    <cellStyle name="Comma 7 5" xfId="1887"/>
    <cellStyle name="Comma 7 6" xfId="1888"/>
    <cellStyle name="Comma 7 7" xfId="1889"/>
    <cellStyle name="Comma 7 8" xfId="1890"/>
    <cellStyle name="Comma 7 9" xfId="1891"/>
    <cellStyle name="Comma 8" xfId="1892"/>
    <cellStyle name="Comma 8 10" xfId="1893"/>
    <cellStyle name="Comma 8 11" xfId="1894"/>
    <cellStyle name="Comma 8 2" xfId="1895"/>
    <cellStyle name="Comma 8 3" xfId="1896"/>
    <cellStyle name="Comma 8 4" xfId="1897"/>
    <cellStyle name="Comma 8 5" xfId="1898"/>
    <cellStyle name="Comma 8 6" xfId="1899"/>
    <cellStyle name="Comma 8 7" xfId="1900"/>
    <cellStyle name="Comma 8 8" xfId="1901"/>
    <cellStyle name="Comma 8 9" xfId="1902"/>
    <cellStyle name="Comma 9" xfId="1903"/>
    <cellStyle name="Comma 9 2" xfId="1904"/>
    <cellStyle name="Comma 9 3" xfId="1905"/>
    <cellStyle name="Comma 9 4" xfId="1906"/>
    <cellStyle name="Comma 9 5" xfId="1907"/>
    <cellStyle name="Comma 9 6" xfId="1908"/>
    <cellStyle name="Comma 9 7" xfId="1909"/>
    <cellStyle name="Comma 9 8" xfId="1910"/>
    <cellStyle name="Currency 2" xfId="1911"/>
    <cellStyle name="Currency 2 2 2" xfId="1912"/>
    <cellStyle name="Currency 2 2 2 2" xfId="1913"/>
    <cellStyle name="Currency 3" xfId="1914"/>
    <cellStyle name="Currency 3 2" xfId="1915"/>
    <cellStyle name="Currency 4" xfId="1916"/>
    <cellStyle name="Excel Built-in Normal" xfId="1917"/>
    <cellStyle name="Explanatory Text 10 2" xfId="1918"/>
    <cellStyle name="Explanatory Text 11 2" xfId="1919"/>
    <cellStyle name="Explanatory Text 12" xfId="1920"/>
    <cellStyle name="Explanatory Text 13" xfId="1921"/>
    <cellStyle name="Explanatory Text 14" xfId="1922"/>
    <cellStyle name="Explanatory Text 15" xfId="1923"/>
    <cellStyle name="Explanatory Text 2" xfId="1924"/>
    <cellStyle name="Explanatory Text 2 10" xfId="1925"/>
    <cellStyle name="Explanatory Text 2 2" xfId="1926"/>
    <cellStyle name="Explanatory Text 2 2 2" xfId="1927"/>
    <cellStyle name="Explanatory Text 2 2 2 2" xfId="1928"/>
    <cellStyle name="Explanatory Text 2 2 3" xfId="1929"/>
    <cellStyle name="Explanatory Text 2 2 4" xfId="1930"/>
    <cellStyle name="Explanatory Text 2 2 5" xfId="1931"/>
    <cellStyle name="Explanatory Text 2 2 6" xfId="1932"/>
    <cellStyle name="Explanatory Text 2 3" xfId="1933"/>
    <cellStyle name="Explanatory Text 2 4" xfId="1934"/>
    <cellStyle name="Explanatory Text 2 5" xfId="1935"/>
    <cellStyle name="Explanatory Text 2 6" xfId="1936"/>
    <cellStyle name="Explanatory Text 2 7" xfId="1937"/>
    <cellStyle name="Explanatory Text 2 8" xfId="1938"/>
    <cellStyle name="Explanatory Text 2 9" xfId="1939"/>
    <cellStyle name="Explanatory Text 3" xfId="1940"/>
    <cellStyle name="Explanatory Text 3 2" xfId="1941"/>
    <cellStyle name="Explanatory Text 3 3" xfId="1942"/>
    <cellStyle name="Explanatory Text 3 4" xfId="1943"/>
    <cellStyle name="Explanatory Text 3 5" xfId="1944"/>
    <cellStyle name="Explanatory Text 3 6" xfId="1945"/>
    <cellStyle name="Explanatory Text 4" xfId="1946"/>
    <cellStyle name="Explanatory Text 4 2" xfId="1947"/>
    <cellStyle name="Explanatory Text 5" xfId="1948"/>
    <cellStyle name="Explanatory Text 5 2" xfId="1949"/>
    <cellStyle name="Explanatory Text 6" xfId="1950"/>
    <cellStyle name="Explanatory Text 6 2" xfId="1951"/>
    <cellStyle name="Explanatory Text 7 2" xfId="1952"/>
    <cellStyle name="Explanatory Text 8 2" xfId="1953"/>
    <cellStyle name="Explanatory Text 9 2" xfId="1954"/>
    <cellStyle name="Good 10 2" xfId="1955"/>
    <cellStyle name="Good 11 2" xfId="1956"/>
    <cellStyle name="Good 12" xfId="1957"/>
    <cellStyle name="Good 13" xfId="1958"/>
    <cellStyle name="Good 14" xfId="1959"/>
    <cellStyle name="Good 15" xfId="1960"/>
    <cellStyle name="Good 2" xfId="1961"/>
    <cellStyle name="Good 2 10" xfId="1962"/>
    <cellStyle name="Good 2 2" xfId="1963"/>
    <cellStyle name="Good 2 2 2" xfId="1964"/>
    <cellStyle name="Good 2 2 2 2" xfId="1965"/>
    <cellStyle name="Good 2 2 2 2 2" xfId="1966"/>
    <cellStyle name="Good 2 2 3" xfId="1967"/>
    <cellStyle name="Good 2 2 4" xfId="1968"/>
    <cellStyle name="Good 2 2 5" xfId="1969"/>
    <cellStyle name="Good 2 2 6" xfId="1970"/>
    <cellStyle name="Good 2 3" xfId="1971"/>
    <cellStyle name="Good 2 4" xfId="1972"/>
    <cellStyle name="Good 2 5" xfId="1973"/>
    <cellStyle name="Good 2 6" xfId="1974"/>
    <cellStyle name="Good 2 7" xfId="1975"/>
    <cellStyle name="Good 2 8" xfId="1976"/>
    <cellStyle name="Good 2 9" xfId="1977"/>
    <cellStyle name="Good 3" xfId="1978"/>
    <cellStyle name="Good 3 2" xfId="1979"/>
    <cellStyle name="Good 3 3" xfId="1980"/>
    <cellStyle name="Good 3 4" xfId="1981"/>
    <cellStyle name="Good 3 5" xfId="1982"/>
    <cellStyle name="Good 3 6" xfId="1983"/>
    <cellStyle name="Good 4" xfId="1984"/>
    <cellStyle name="Good 4 2" xfId="1985"/>
    <cellStyle name="Good 5" xfId="1986"/>
    <cellStyle name="Good 5 2" xfId="1987"/>
    <cellStyle name="Good 6" xfId="1988"/>
    <cellStyle name="Good 6 2" xfId="1989"/>
    <cellStyle name="Good 7 2" xfId="1990"/>
    <cellStyle name="Good 8 2" xfId="1991"/>
    <cellStyle name="Good 9 2" xfId="1992"/>
    <cellStyle name="GREEN" xfId="1993"/>
    <cellStyle name="GREEN 2" xfId="1994"/>
    <cellStyle name="GREEN 3" xfId="1995"/>
    <cellStyle name="GREEN 4" xfId="1996"/>
    <cellStyle name="Heading 1 2" xfId="1997"/>
    <cellStyle name="Heading 1 2 2" xfId="1998"/>
    <cellStyle name="Heading 1 3" xfId="1999"/>
    <cellStyle name="Heading 1 4" xfId="2000"/>
    <cellStyle name="Heading 1 4 2" xfId="2001"/>
    <cellStyle name="Heading 1 5" xfId="2002"/>
    <cellStyle name="Heading 1 5 2" xfId="2003"/>
    <cellStyle name="Heading 1 6 2" xfId="2004"/>
    <cellStyle name="Heading 1 7 2" xfId="2005"/>
    <cellStyle name="Heading 1 8 2" xfId="2006"/>
    <cellStyle name="Heading 1 9 2" xfId="2007"/>
    <cellStyle name="Heading 2 2" xfId="2008"/>
    <cellStyle name="Heading 2 2 2" xfId="2009"/>
    <cellStyle name="Heading 2 3" xfId="2010"/>
    <cellStyle name="Heading 2 4" xfId="2011"/>
    <cellStyle name="Heading 2 4 2" xfId="2012"/>
    <cellStyle name="Heading 2 5" xfId="2013"/>
    <cellStyle name="Heading 2 5 2" xfId="2014"/>
    <cellStyle name="Heading 2 6 2" xfId="2015"/>
    <cellStyle name="Heading 2 7 2" xfId="2016"/>
    <cellStyle name="Heading 2 8 2" xfId="2017"/>
    <cellStyle name="Heading 2 9 2" xfId="2018"/>
    <cellStyle name="Heading 3 2" xfId="2019"/>
    <cellStyle name="Heading 3 2 2" xfId="2020"/>
    <cellStyle name="Heading 3 3" xfId="2021"/>
    <cellStyle name="Heading 3 4" xfId="2022"/>
    <cellStyle name="Heading 3 4 2" xfId="2023"/>
    <cellStyle name="Heading 3 5" xfId="2024"/>
    <cellStyle name="Heading 3 5 2" xfId="2025"/>
    <cellStyle name="Heading 3 6 2" xfId="2026"/>
    <cellStyle name="Heading 3 7 2" xfId="2027"/>
    <cellStyle name="Heading 3 8 2" xfId="2028"/>
    <cellStyle name="Heading 3 9 2" xfId="2029"/>
    <cellStyle name="Heading 4 2" xfId="2030"/>
    <cellStyle name="Heading 4 2 2" xfId="2031"/>
    <cellStyle name="Heading 4 3" xfId="2032"/>
    <cellStyle name="Heading 4 4" xfId="2033"/>
    <cellStyle name="Heading 4 4 2" xfId="2034"/>
    <cellStyle name="Heading 4 5" xfId="2035"/>
    <cellStyle name="Heading 4 5 2" xfId="2036"/>
    <cellStyle name="Heading 4 6 2" xfId="2037"/>
    <cellStyle name="Heading 4 7 2" xfId="2038"/>
    <cellStyle name="Heading 4 8 2" xfId="2039"/>
    <cellStyle name="Heading 4 9 2" xfId="2040"/>
    <cellStyle name="Input 10 2" xfId="2041"/>
    <cellStyle name="Input 11 2" xfId="2042"/>
    <cellStyle name="Input 12" xfId="2043"/>
    <cellStyle name="Input 13" xfId="2044"/>
    <cellStyle name="Input 14" xfId="2045"/>
    <cellStyle name="Input 15" xfId="2046"/>
    <cellStyle name="Input 2" xfId="2047"/>
    <cellStyle name="Input 2 10" xfId="2048"/>
    <cellStyle name="Input 2 2" xfId="2049"/>
    <cellStyle name="Input 2 2 2" xfId="2050"/>
    <cellStyle name="Input 2 2 2 2" xfId="2051"/>
    <cellStyle name="Input 2 2 2 2 2" xfId="2052"/>
    <cellStyle name="Input 2 2 3" xfId="2053"/>
    <cellStyle name="Input 2 2 4" xfId="2054"/>
    <cellStyle name="Input 2 2 5" xfId="2055"/>
    <cellStyle name="Input 2 2 6" xfId="2056"/>
    <cellStyle name="Input 2 3" xfId="2057"/>
    <cellStyle name="Input 2 4" xfId="2058"/>
    <cellStyle name="Input 2 5" xfId="2059"/>
    <cellStyle name="Input 2 6" xfId="2060"/>
    <cellStyle name="Input 2 7" xfId="2061"/>
    <cellStyle name="Input 2 8" xfId="2062"/>
    <cellStyle name="Input 2 9" xfId="2063"/>
    <cellStyle name="Input 3" xfId="2064"/>
    <cellStyle name="Input 3 2" xfId="2065"/>
    <cellStyle name="Input 3 3" xfId="2066"/>
    <cellStyle name="Input 3 4" xfId="2067"/>
    <cellStyle name="Input 3 5" xfId="2068"/>
    <cellStyle name="Input 3 6" xfId="2069"/>
    <cellStyle name="Input 4" xfId="2070"/>
    <cellStyle name="Input 4 2" xfId="2071"/>
    <cellStyle name="Input 5" xfId="2072"/>
    <cellStyle name="Input 5 2" xfId="2073"/>
    <cellStyle name="Input 6" xfId="2074"/>
    <cellStyle name="Input 6 2" xfId="2075"/>
    <cellStyle name="Input 7 2" xfId="2076"/>
    <cellStyle name="Input 8 2" xfId="2077"/>
    <cellStyle name="Input 9 2" xfId="2078"/>
    <cellStyle name="Linked Cell 10 2" xfId="2079"/>
    <cellStyle name="Linked Cell 11 2" xfId="2080"/>
    <cellStyle name="Linked Cell 12" xfId="2081"/>
    <cellStyle name="Linked Cell 13" xfId="2082"/>
    <cellStyle name="Linked Cell 14" xfId="2083"/>
    <cellStyle name="Linked Cell 15" xfId="2084"/>
    <cellStyle name="Linked Cell 2" xfId="2085"/>
    <cellStyle name="Linked Cell 2 10" xfId="2086"/>
    <cellStyle name="Linked Cell 2 2" xfId="2087"/>
    <cellStyle name="Linked Cell 2 2 2" xfId="2088"/>
    <cellStyle name="Linked Cell 2 2 2 2" xfId="2089"/>
    <cellStyle name="Linked Cell 2 2 3" xfId="2090"/>
    <cellStyle name="Linked Cell 2 2 4" xfId="2091"/>
    <cellStyle name="Linked Cell 2 2 5" xfId="2092"/>
    <cellStyle name="Linked Cell 2 2 6" xfId="2093"/>
    <cellStyle name="Linked Cell 2 3" xfId="2094"/>
    <cellStyle name="Linked Cell 2 4" xfId="2095"/>
    <cellStyle name="Linked Cell 2 5" xfId="2096"/>
    <cellStyle name="Linked Cell 2 6" xfId="2097"/>
    <cellStyle name="Linked Cell 2 7" xfId="2098"/>
    <cellStyle name="Linked Cell 2 8" xfId="2099"/>
    <cellStyle name="Linked Cell 2 9" xfId="2100"/>
    <cellStyle name="Linked Cell 3" xfId="2101"/>
    <cellStyle name="Linked Cell 3 2" xfId="2102"/>
    <cellStyle name="Linked Cell 3 3" xfId="2103"/>
    <cellStyle name="Linked Cell 3 4" xfId="2104"/>
    <cellStyle name="Linked Cell 3 5" xfId="2105"/>
    <cellStyle name="Linked Cell 3 6" xfId="2106"/>
    <cellStyle name="Linked Cell 4" xfId="2107"/>
    <cellStyle name="Linked Cell 4 2" xfId="2108"/>
    <cellStyle name="Linked Cell 5" xfId="2109"/>
    <cellStyle name="Linked Cell 5 2" xfId="2110"/>
    <cellStyle name="Linked Cell 6" xfId="2111"/>
    <cellStyle name="Linked Cell 6 2" xfId="2112"/>
    <cellStyle name="Linked Cell 7 2" xfId="2113"/>
    <cellStyle name="Linked Cell 8 2" xfId="2114"/>
    <cellStyle name="Linked Cell 9 2" xfId="2115"/>
    <cellStyle name="Neutral 10 2" xfId="2116"/>
    <cellStyle name="Neutral 11 2" xfId="2117"/>
    <cellStyle name="Neutral 12" xfId="2118"/>
    <cellStyle name="Neutral 13" xfId="2119"/>
    <cellStyle name="Neutral 14" xfId="2120"/>
    <cellStyle name="Neutral 15" xfId="2121"/>
    <cellStyle name="Neutral 2" xfId="2122"/>
    <cellStyle name="Neutral 2 10" xfId="2123"/>
    <cellStyle name="Neutral 2 2" xfId="2124"/>
    <cellStyle name="Neutral 2 2 2" xfId="2125"/>
    <cellStyle name="Neutral 2 2 2 2" xfId="2126"/>
    <cellStyle name="Neutral 2 2 2 2 2" xfId="2127"/>
    <cellStyle name="Neutral 2 2 3" xfId="2128"/>
    <cellStyle name="Neutral 2 2 4" xfId="2129"/>
    <cellStyle name="Neutral 2 2 5" xfId="2130"/>
    <cellStyle name="Neutral 2 2 6" xfId="2131"/>
    <cellStyle name="Neutral 2 3" xfId="2132"/>
    <cellStyle name="Neutral 2 4" xfId="2133"/>
    <cellStyle name="Neutral 2 5" xfId="2134"/>
    <cellStyle name="Neutral 2 6" xfId="2135"/>
    <cellStyle name="Neutral 2 7" xfId="2136"/>
    <cellStyle name="Neutral 2 8" xfId="2137"/>
    <cellStyle name="Neutral 2 9" xfId="2138"/>
    <cellStyle name="Neutral 3" xfId="2139"/>
    <cellStyle name="Neutral 3 2" xfId="2140"/>
    <cellStyle name="Neutral 3 3" xfId="2141"/>
    <cellStyle name="Neutral 3 4" xfId="2142"/>
    <cellStyle name="Neutral 3 5" xfId="2143"/>
    <cellStyle name="Neutral 3 6" xfId="2144"/>
    <cellStyle name="Neutral 4" xfId="2145"/>
    <cellStyle name="Neutral 4 2" xfId="2146"/>
    <cellStyle name="Neutral 5" xfId="2147"/>
    <cellStyle name="Neutral 5 2" xfId="2148"/>
    <cellStyle name="Neutral 6" xfId="2149"/>
    <cellStyle name="Neutral 6 2" xfId="2150"/>
    <cellStyle name="Neutral 7 2" xfId="2151"/>
    <cellStyle name="Neutral 8 2" xfId="2152"/>
    <cellStyle name="Neutral 9 2" xfId="2153"/>
    <cellStyle name="Normal" xfId="0" builtinId="0"/>
    <cellStyle name="Normal 10" xfId="2154"/>
    <cellStyle name="Normal 10 2" xfId="2155"/>
    <cellStyle name="Normal 10 3" xfId="2156"/>
    <cellStyle name="Normal 10 4" xfId="2157"/>
    <cellStyle name="Normal 10 5" xfId="2158"/>
    <cellStyle name="Normal 10 6" xfId="2159"/>
    <cellStyle name="Normal 100" xfId="2160"/>
    <cellStyle name="Normal 100 2" xfId="2161"/>
    <cellStyle name="Normal 101" xfId="2162"/>
    <cellStyle name="Normal 102" xfId="2163"/>
    <cellStyle name="Normal 103" xfId="2164"/>
    <cellStyle name="Normal 104" xfId="2165"/>
    <cellStyle name="Normal 105" xfId="2166"/>
    <cellStyle name="Normal 105 2" xfId="2167"/>
    <cellStyle name="Normal 106" xfId="2168"/>
    <cellStyle name="Normal 107" xfId="2169"/>
    <cellStyle name="Normal 108" xfId="2170"/>
    <cellStyle name="Normal 109" xfId="2171"/>
    <cellStyle name="Normal 11" xfId="2172"/>
    <cellStyle name="Normal 11 2" xfId="2173"/>
    <cellStyle name="Normal 11 3" xfId="2174"/>
    <cellStyle name="Normal 11 4" xfId="2175"/>
    <cellStyle name="Normal 11 5" xfId="2176"/>
    <cellStyle name="Normal 11 6" xfId="2177"/>
    <cellStyle name="Normal 11 7" xfId="2178"/>
    <cellStyle name="Normal 11 8" xfId="2179"/>
    <cellStyle name="Normal 11 9" xfId="2180"/>
    <cellStyle name="Normal 110" xfId="2181"/>
    <cellStyle name="Normal 111" xfId="2182"/>
    <cellStyle name="Normal 112" xfId="2183"/>
    <cellStyle name="Normal 113" xfId="2184"/>
    <cellStyle name="Normal 114" xfId="2185"/>
    <cellStyle name="Normal 115" xfId="2186"/>
    <cellStyle name="Normal 116" xfId="2187"/>
    <cellStyle name="Normal 117" xfId="2188"/>
    <cellStyle name="Normal 118" xfId="2189"/>
    <cellStyle name="Normal 119" xfId="2190"/>
    <cellStyle name="Normal 12" xfId="2191"/>
    <cellStyle name="Normal 12 10" xfId="2192"/>
    <cellStyle name="Normal 12 11" xfId="2193"/>
    <cellStyle name="Normal 12 2" xfId="2194"/>
    <cellStyle name="Normal 12 3" xfId="2195"/>
    <cellStyle name="Normal 12 4" xfId="2196"/>
    <cellStyle name="Normal 12 5" xfId="2197"/>
    <cellStyle name="Normal 12 6" xfId="2198"/>
    <cellStyle name="Normal 12 7" xfId="2199"/>
    <cellStyle name="Normal 12 8" xfId="2200"/>
    <cellStyle name="Normal 12 9" xfId="2201"/>
    <cellStyle name="Normal 120" xfId="2202"/>
    <cellStyle name="Normal 121" xfId="2203"/>
    <cellStyle name="Normal 122" xfId="2204"/>
    <cellStyle name="Normal 123" xfId="2205"/>
    <cellStyle name="Normal 124" xfId="2206"/>
    <cellStyle name="Normal 125" xfId="2207"/>
    <cellStyle name="Normal 126" xfId="2208"/>
    <cellStyle name="Normal 127" xfId="2209"/>
    <cellStyle name="Normal 128" xfId="2210"/>
    <cellStyle name="Normal 129" xfId="2211"/>
    <cellStyle name="Normal 13" xfId="2212"/>
    <cellStyle name="Normal 13 2" xfId="2213"/>
    <cellStyle name="Normal 13 3" xfId="2214"/>
    <cellStyle name="Normal 13 4" xfId="2215"/>
    <cellStyle name="Normal 13 5" xfId="2216"/>
    <cellStyle name="Normal 13 6" xfId="2217"/>
    <cellStyle name="Normal 13 7" xfId="2218"/>
    <cellStyle name="Normal 13 8" xfId="2219"/>
    <cellStyle name="Normal 13 9" xfId="2220"/>
    <cellStyle name="Normal 130" xfId="2221"/>
    <cellStyle name="Normal 131" xfId="2222"/>
    <cellStyle name="Normal 132" xfId="2223"/>
    <cellStyle name="Normal 133" xfId="2224"/>
    <cellStyle name="Normal 134" xfId="2225"/>
    <cellStyle name="Normal 135" xfId="2226"/>
    <cellStyle name="Normal 137" xfId="2227"/>
    <cellStyle name="Normal 138" xfId="2228"/>
    <cellStyle name="Normal 139" xfId="2229"/>
    <cellStyle name="Normal 14" xfId="2230"/>
    <cellStyle name="Normal 14 2" xfId="2231"/>
    <cellStyle name="Normal 14 3" xfId="2232"/>
    <cellStyle name="Normal 140" xfId="2233"/>
    <cellStyle name="Normal 141" xfId="2234"/>
    <cellStyle name="Normal 142" xfId="2235"/>
    <cellStyle name="Normal 143" xfId="2236"/>
    <cellStyle name="Normal 144" xfId="2237"/>
    <cellStyle name="Normal 145" xfId="2238"/>
    <cellStyle name="Normal 146" xfId="2239"/>
    <cellStyle name="Normal 147" xfId="2240"/>
    <cellStyle name="Normal 148" xfId="2241"/>
    <cellStyle name="Normal 149" xfId="2242"/>
    <cellStyle name="Normal 15" xfId="2243"/>
    <cellStyle name="Normal 15 2" xfId="2244"/>
    <cellStyle name="Normal 15 3" xfId="2245"/>
    <cellStyle name="Normal 15 4" xfId="2246"/>
    <cellStyle name="Normal 16" xfId="2247"/>
    <cellStyle name="Normal 16 2" xfId="2248"/>
    <cellStyle name="Normal 16 3" xfId="2249"/>
    <cellStyle name="Normal 16 4" xfId="2250"/>
    <cellStyle name="Normal 17" xfId="2251"/>
    <cellStyle name="Normal 17 2" xfId="2252"/>
    <cellStyle name="Normal 17 3" xfId="2253"/>
    <cellStyle name="Normal 17 3 2" xfId="2254"/>
    <cellStyle name="Normal 17 4" xfId="2255"/>
    <cellStyle name="Normal 17 5" xfId="2256"/>
    <cellStyle name="Normal 18" xfId="2257"/>
    <cellStyle name="Normal 18 2" xfId="2258"/>
    <cellStyle name="Normal 18 2 2" xfId="2259"/>
    <cellStyle name="Normal 18 2 3" xfId="2260"/>
    <cellStyle name="Normal 18 2 4" xfId="2261"/>
    <cellStyle name="Normal 18 3" xfId="2262"/>
    <cellStyle name="Normal 18 3 2" xfId="2263"/>
    <cellStyle name="Normal 18 3 3" xfId="2264"/>
    <cellStyle name="Normal 18 3 4" xfId="2265"/>
    <cellStyle name="Normal 18 4" xfId="2266"/>
    <cellStyle name="Normal 19" xfId="2267"/>
    <cellStyle name="Normal 19 2" xfId="2268"/>
    <cellStyle name="Normal 19 2 2" xfId="2269"/>
    <cellStyle name="Normal 19 3" xfId="2270"/>
    <cellStyle name="Normal 19 4" xfId="2271"/>
    <cellStyle name="Normal 2 10" xfId="2272"/>
    <cellStyle name="Normal 2 11" xfId="2273"/>
    <cellStyle name="Normal 2 12" xfId="2274"/>
    <cellStyle name="Normal 2 13" xfId="2275"/>
    <cellStyle name="Normal 2 14" xfId="2276"/>
    <cellStyle name="Normal 2 15" xfId="2277"/>
    <cellStyle name="Normal 2 16" xfId="2278"/>
    <cellStyle name="Normal 2 17" xfId="2279"/>
    <cellStyle name="Normal 2 18" xfId="2280"/>
    <cellStyle name="Normal 2 19" xfId="3005"/>
    <cellStyle name="Normal 2 2" xfId="2281"/>
    <cellStyle name="Normal 2 2 2" xfId="2282"/>
    <cellStyle name="Normal 2 2 2 10" xfId="2283"/>
    <cellStyle name="Normal 2 2 2 11" xfId="2284"/>
    <cellStyle name="Normal 2 2 2 11 2" xfId="2285"/>
    <cellStyle name="Normal 2 2 2 12" xfId="2286"/>
    <cellStyle name="Normal 2 2 2 13" xfId="2287"/>
    <cellStyle name="Normal 2 2 2 14" xfId="2288"/>
    <cellStyle name="Normal 2 2 2 2" xfId="2289"/>
    <cellStyle name="Normal 2 2 2 2 2" xfId="2290"/>
    <cellStyle name="Normal 2 2 2 2 2 2" xfId="2291"/>
    <cellStyle name="Normal 2 2 2 2 2 2 2" xfId="2292"/>
    <cellStyle name="Normal 2 2 2 2 2 2 2 2" xfId="2293"/>
    <cellStyle name="Normal 2 2 2 2 2 3" xfId="2294"/>
    <cellStyle name="Normal 2 2 2 2 2 4" xfId="2295"/>
    <cellStyle name="Normal 2 2 2 2 2 5" xfId="2296"/>
    <cellStyle name="Normal 2 2 2 2 2 6" xfId="2297"/>
    <cellStyle name="Normal 2 2 2 2 3" xfId="2298"/>
    <cellStyle name="Normal 2 2 2 2 3 2" xfId="2299"/>
    <cellStyle name="Normal 2 2 2 2 4" xfId="2300"/>
    <cellStyle name="Normal 2 2 2 2 5" xfId="2301"/>
    <cellStyle name="Normal 2 2 2 2 6" xfId="2302"/>
    <cellStyle name="Normal 2 2 2 3" xfId="2303"/>
    <cellStyle name="Normal 2 2 2 4" xfId="2304"/>
    <cellStyle name="Normal 2 2 2 5" xfId="2305"/>
    <cellStyle name="Normal 2 2 2 6" xfId="2306"/>
    <cellStyle name="Normal 2 2 2 7" xfId="2307"/>
    <cellStyle name="Normal 2 2 2 8" xfId="2308"/>
    <cellStyle name="Normal 2 2 2 9" xfId="2309"/>
    <cellStyle name="Normal 2 2 3" xfId="2310"/>
    <cellStyle name="Normal 2 2 3 2" xfId="2311"/>
    <cellStyle name="Normal 2 2 4" xfId="2312"/>
    <cellStyle name="Normal 2 2 4 2" xfId="2313"/>
    <cellStyle name="Normal 2 2 5" xfId="2314"/>
    <cellStyle name="Normal 2 2 6" xfId="2315"/>
    <cellStyle name="Normal 2 2 7" xfId="2316"/>
    <cellStyle name="Normal 2 2 8" xfId="2317"/>
    <cellStyle name="Normal 2 3" xfId="2318"/>
    <cellStyle name="Normal 2 3 2" xfId="2319"/>
    <cellStyle name="Normal 2 3 3" xfId="2320"/>
    <cellStyle name="Normal 2 4" xfId="2321"/>
    <cellStyle name="Normal 2 4 2" xfId="2322"/>
    <cellStyle name="Normal 2 4 3" xfId="2323"/>
    <cellStyle name="Normal 2 4 4" xfId="2324"/>
    <cellStyle name="Normal 2 4 5" xfId="2325"/>
    <cellStyle name="Normal 2 4 6" xfId="2326"/>
    <cellStyle name="Normal 2 4 7" xfId="2327"/>
    <cellStyle name="Normal 2 4 8" xfId="2328"/>
    <cellStyle name="Normal 2 4 9" xfId="2329"/>
    <cellStyle name="Normal 2 5" xfId="2330"/>
    <cellStyle name="Normal 2 5 2" xfId="2331"/>
    <cellStyle name="Normal 2 5 3" xfId="2332"/>
    <cellStyle name="Normal 2 5 4" xfId="2333"/>
    <cellStyle name="Normal 2 5 5" xfId="2334"/>
    <cellStyle name="Normal 2 5 6" xfId="2335"/>
    <cellStyle name="Normal 2 5 7" xfId="2336"/>
    <cellStyle name="Normal 2 6" xfId="2337"/>
    <cellStyle name="Normal 2 6 2" xfId="2338"/>
    <cellStyle name="Normal 2 6 3" xfId="2339"/>
    <cellStyle name="Normal 2 6 4" xfId="2340"/>
    <cellStyle name="Normal 2 7" xfId="2341"/>
    <cellStyle name="Normal 2 7 2" xfId="2342"/>
    <cellStyle name="Normal 2 7 3" xfId="2343"/>
    <cellStyle name="Normal 2 7 4" xfId="2344"/>
    <cellStyle name="Normal 2 8" xfId="2345"/>
    <cellStyle name="Normal 2 8 2" xfId="2346"/>
    <cellStyle name="Normal 2 8 3" xfId="2347"/>
    <cellStyle name="Normal 2 8 4" xfId="2348"/>
    <cellStyle name="Normal 2 9" xfId="2349"/>
    <cellStyle name="Normal 20" xfId="2350"/>
    <cellStyle name="Normal 20 2" xfId="2351"/>
    <cellStyle name="Normal 20 2 2" xfId="2352"/>
    <cellStyle name="Normal 20 3" xfId="2353"/>
    <cellStyle name="Normal 20 4" xfId="2354"/>
    <cellStyle name="Normal 21" xfId="2355"/>
    <cellStyle name="Normal 21 2" xfId="2356"/>
    <cellStyle name="Normal 21 2 2" xfId="2357"/>
    <cellStyle name="Normal 21 3" xfId="2358"/>
    <cellStyle name="Normal 21 3 2" xfId="2359"/>
    <cellStyle name="Normal 21 4" xfId="2360"/>
    <cellStyle name="Normal 22" xfId="2361"/>
    <cellStyle name="Normal 22 2" xfId="2362"/>
    <cellStyle name="Normal 22 2 2" xfId="2363"/>
    <cellStyle name="Normal 22 3" xfId="2364"/>
    <cellStyle name="Normal 23" xfId="2365"/>
    <cellStyle name="Normal 23 2" xfId="2366"/>
    <cellStyle name="Normal 24" xfId="2367"/>
    <cellStyle name="Normal 24 2" xfId="2368"/>
    <cellStyle name="Normal 24 2 2" xfId="2369"/>
    <cellStyle name="Normal 24 3" xfId="2370"/>
    <cellStyle name="Normal 24 4" xfId="2371"/>
    <cellStyle name="Normal 25" xfId="2372"/>
    <cellStyle name="Normal 25 2" xfId="2373"/>
    <cellStyle name="Normal 25 3" xfId="2374"/>
    <cellStyle name="Normal 25 4" xfId="2375"/>
    <cellStyle name="Normal 26" xfId="2376"/>
    <cellStyle name="Normal 26 2" xfId="2377"/>
    <cellStyle name="Normal 27" xfId="2378"/>
    <cellStyle name="Normal 27 2" xfId="2379"/>
    <cellStyle name="Normal 27 2 2" xfId="2380"/>
    <cellStyle name="Normal 27 3" xfId="2381"/>
    <cellStyle name="Normal 27 4" xfId="2382"/>
    <cellStyle name="Normal 28" xfId="2383"/>
    <cellStyle name="Normal 28 2" xfId="2384"/>
    <cellStyle name="Normal 28 3" xfId="2385"/>
    <cellStyle name="Normal 28 4" xfId="2386"/>
    <cellStyle name="Normal 29" xfId="2387"/>
    <cellStyle name="Normal 29 2" xfId="2388"/>
    <cellStyle name="Normal 29 2 2" xfId="2389"/>
    <cellStyle name="Normal 29 3" xfId="2390"/>
    <cellStyle name="Normal 3" xfId="2391"/>
    <cellStyle name="Normal 3 10" xfId="2392"/>
    <cellStyle name="Normal 3 11" xfId="2393"/>
    <cellStyle name="Normal 3 12" xfId="2394"/>
    <cellStyle name="Normal 3 2" xfId="2395"/>
    <cellStyle name="Normal 3 2 2" xfId="2396"/>
    <cellStyle name="Normal 3 2 3" xfId="2397"/>
    <cellStyle name="Normal 3 2 4" xfId="2398"/>
    <cellStyle name="Normal 3 3" xfId="2399"/>
    <cellStyle name="Normal 3 3 2" xfId="2400"/>
    <cellStyle name="Normal 3 3 3" xfId="2401"/>
    <cellStyle name="Normal 3 4" xfId="2402"/>
    <cellStyle name="Normal 3 5" xfId="2403"/>
    <cellStyle name="Normal 3 6" xfId="2404"/>
    <cellStyle name="Normal 3 7" xfId="2405"/>
    <cellStyle name="Normal 3 8" xfId="2406"/>
    <cellStyle name="Normal 3 9" xfId="2407"/>
    <cellStyle name="Normal 3_09-2011 (1)" xfId="2408"/>
    <cellStyle name="Normal 30" xfId="2409"/>
    <cellStyle name="Normal 30 2" xfId="2410"/>
    <cellStyle name="Normal 30 2 2" xfId="2411"/>
    <cellStyle name="Normal 30 3" xfId="2412"/>
    <cellStyle name="Normal 31" xfId="2413"/>
    <cellStyle name="Normal 31 2" xfId="2414"/>
    <cellStyle name="Normal 31 2 2" xfId="2415"/>
    <cellStyle name="Normal 31 3" xfId="2416"/>
    <cellStyle name="Normal 32" xfId="2417"/>
    <cellStyle name="Normal 32 2" xfId="2418"/>
    <cellStyle name="Normal 32 2 2" xfId="2419"/>
    <cellStyle name="Normal 32 3" xfId="2420"/>
    <cellStyle name="Normal 33" xfId="2421"/>
    <cellStyle name="Normal 33 2" xfId="2422"/>
    <cellStyle name="Normal 33 3" xfId="2423"/>
    <cellStyle name="Normal 34" xfId="2424"/>
    <cellStyle name="Normal 34 2" xfId="2425"/>
    <cellStyle name="Normal 34 3" xfId="2426"/>
    <cellStyle name="Normal 35" xfId="2427"/>
    <cellStyle name="Normal 35 2" xfId="2428"/>
    <cellStyle name="Normal 35 2 2" xfId="2429"/>
    <cellStyle name="Normal 35 2 3" xfId="2430"/>
    <cellStyle name="Normal 35 2 4" xfId="2431"/>
    <cellStyle name="Normal 35 3" xfId="2432"/>
    <cellStyle name="Normal 35 3 2" xfId="2433"/>
    <cellStyle name="Normal 35 3 3" xfId="2434"/>
    <cellStyle name="Normal 35 3 4" xfId="2435"/>
    <cellStyle name="Normal 35 4" xfId="2436"/>
    <cellStyle name="Normal 35 5" xfId="2437"/>
    <cellStyle name="Normal 36" xfId="2438"/>
    <cellStyle name="Normal 36 2" xfId="2439"/>
    <cellStyle name="Normal 36 2 2" xfId="2440"/>
    <cellStyle name="Normal 36 2 3" xfId="2441"/>
    <cellStyle name="Normal 36 2 4" xfId="2442"/>
    <cellStyle name="Normal 36 3" xfId="2443"/>
    <cellStyle name="Normal 36 3 2" xfId="2444"/>
    <cellStyle name="Normal 36 3 3" xfId="2445"/>
    <cellStyle name="Normal 36 3 4" xfId="2446"/>
    <cellStyle name="Normal 36 4" xfId="2447"/>
    <cellStyle name="Normal 36 5" xfId="2448"/>
    <cellStyle name="Normal 37" xfId="2449"/>
    <cellStyle name="Normal 37 2" xfId="2450"/>
    <cellStyle name="Normal 37 2 2" xfId="2451"/>
    <cellStyle name="Normal 37 2 3" xfId="2452"/>
    <cellStyle name="Normal 37 2 4" xfId="2453"/>
    <cellStyle name="Normal 37 3" xfId="2454"/>
    <cellStyle name="Normal 37 3 2" xfId="2455"/>
    <cellStyle name="Normal 37 3 3" xfId="2456"/>
    <cellStyle name="Normal 37 3 4" xfId="2457"/>
    <cellStyle name="Normal 37 4" xfId="2458"/>
    <cellStyle name="Normal 37 5" xfId="2459"/>
    <cellStyle name="Normal 38" xfId="2460"/>
    <cellStyle name="Normal 38 2" xfId="2461"/>
    <cellStyle name="Normal 38 2 2" xfId="2462"/>
    <cellStyle name="Normal 38 2 3" xfId="2463"/>
    <cellStyle name="Normal 38 2 4" xfId="2464"/>
    <cellStyle name="Normal 38 3" xfId="2465"/>
    <cellStyle name="Normal 38 3 2" xfId="2466"/>
    <cellStyle name="Normal 38 3 3" xfId="2467"/>
    <cellStyle name="Normal 38 3 4" xfId="2468"/>
    <cellStyle name="Normal 38 4" xfId="2469"/>
    <cellStyle name="Normal 38 5" xfId="2470"/>
    <cellStyle name="Normal 38 6" xfId="2471"/>
    <cellStyle name="Normal 39" xfId="2472"/>
    <cellStyle name="Normal 39 2" xfId="2473"/>
    <cellStyle name="Normal 39 2 2" xfId="2474"/>
    <cellStyle name="Normal 39 2 3" xfId="2475"/>
    <cellStyle name="Normal 39 2 4" xfId="2476"/>
    <cellStyle name="Normal 39 3" xfId="2477"/>
    <cellStyle name="Normal 39 3 2" xfId="2478"/>
    <cellStyle name="Normal 39 3 3" xfId="2479"/>
    <cellStyle name="Normal 39 3 4" xfId="2480"/>
    <cellStyle name="Normal 39 4" xfId="2481"/>
    <cellStyle name="Normal 39 5" xfId="2482"/>
    <cellStyle name="Normal 39 6" xfId="2483"/>
    <cellStyle name="Normal 4" xfId="2484"/>
    <cellStyle name="Normal 4 2" xfId="2485"/>
    <cellStyle name="Normal 4 3" xfId="2486"/>
    <cellStyle name="Normal 4 4" xfId="2487"/>
    <cellStyle name="Normal 4 5" xfId="2488"/>
    <cellStyle name="Normal 4 6" xfId="2489"/>
    <cellStyle name="Normal 4 7" xfId="2490"/>
    <cellStyle name="Normal 4 8" xfId="2491"/>
    <cellStyle name="Normal 4 9" xfId="2492"/>
    <cellStyle name="Normal 40" xfId="2493"/>
    <cellStyle name="Normal 40 2" xfId="2494"/>
    <cellStyle name="Normal 41" xfId="2495"/>
    <cellStyle name="Normal 41 2" xfId="2496"/>
    <cellStyle name="Normal 41 2 2" xfId="2497"/>
    <cellStyle name="Normal 41 2 3" xfId="2498"/>
    <cellStyle name="Normal 41 2 4" xfId="2499"/>
    <cellStyle name="Normal 41 3" xfId="2500"/>
    <cellStyle name="Normal 41 3 2" xfId="2501"/>
    <cellStyle name="Normal 41 3 3" xfId="2502"/>
    <cellStyle name="Normal 41 3 4" xfId="2503"/>
    <cellStyle name="Normal 41 4" xfId="2504"/>
    <cellStyle name="Normal 41 5" xfId="2505"/>
    <cellStyle name="Normal 41 6" xfId="2506"/>
    <cellStyle name="Normal 42" xfId="2507"/>
    <cellStyle name="Normal 42 2" xfId="2508"/>
    <cellStyle name="Normal 42 2 2" xfId="2509"/>
    <cellStyle name="Normal 42 2 3" xfId="2510"/>
    <cellStyle name="Normal 42 2 4" xfId="2511"/>
    <cellStyle name="Normal 42 3" xfId="2512"/>
    <cellStyle name="Normal 42 3 2" xfId="2513"/>
    <cellStyle name="Normal 42 3 3" xfId="2514"/>
    <cellStyle name="Normal 42 3 4" xfId="2515"/>
    <cellStyle name="Normal 42 4" xfId="2516"/>
    <cellStyle name="Normal 42 5" xfId="2517"/>
    <cellStyle name="Normal 42 6" xfId="2518"/>
    <cellStyle name="Normal 43" xfId="2519"/>
    <cellStyle name="Normal 43 2" xfId="2520"/>
    <cellStyle name="Normal 43 2 2" xfId="2521"/>
    <cellStyle name="Normal 43 2 3" xfId="2522"/>
    <cellStyle name="Normal 43 2 4" xfId="2523"/>
    <cellStyle name="Normal 43 3" xfId="2524"/>
    <cellStyle name="Normal 43 3 2" xfId="2525"/>
    <cellStyle name="Normal 43 3 3" xfId="2526"/>
    <cellStyle name="Normal 43 3 4" xfId="2527"/>
    <cellStyle name="Normal 43 4" xfId="2528"/>
    <cellStyle name="Normal 43 5" xfId="2529"/>
    <cellStyle name="Normal 43 6" xfId="2530"/>
    <cellStyle name="Normal 44" xfId="2531"/>
    <cellStyle name="Normal 44 2" xfId="2532"/>
    <cellStyle name="Normal 44 2 2" xfId="2533"/>
    <cellStyle name="Normal 44 2 3" xfId="2534"/>
    <cellStyle name="Normal 44 2 4" xfId="2535"/>
    <cellStyle name="Normal 44 3" xfId="2536"/>
    <cellStyle name="Normal 44 3 2" xfId="2537"/>
    <cellStyle name="Normal 44 3 3" xfId="2538"/>
    <cellStyle name="Normal 44 3 4" xfId="2539"/>
    <cellStyle name="Normal 45" xfId="2540"/>
    <cellStyle name="Normal 45 2" xfId="2541"/>
    <cellStyle name="Normal 45 2 2" xfId="2542"/>
    <cellStyle name="Normal 45 2 3" xfId="2543"/>
    <cellStyle name="Normal 45 2 4" xfId="2544"/>
    <cellStyle name="Normal 45 3" xfId="2545"/>
    <cellStyle name="Normal 45 3 2" xfId="2546"/>
    <cellStyle name="Normal 45 3 3" xfId="2547"/>
    <cellStyle name="Normal 45 3 4" xfId="2548"/>
    <cellStyle name="Normal 46" xfId="2549"/>
    <cellStyle name="Normal 46 2" xfId="2550"/>
    <cellStyle name="Normal 46 3" xfId="2551"/>
    <cellStyle name="Normal 46 4" xfId="2552"/>
    <cellStyle name="Normal 46 5" xfId="2553"/>
    <cellStyle name="Normal 47" xfId="2554"/>
    <cellStyle name="Normal 47 2" xfId="2555"/>
    <cellStyle name="Normal 47 2 2" xfId="2556"/>
    <cellStyle name="Normal 47 3" xfId="2557"/>
    <cellStyle name="Normal 48" xfId="2558"/>
    <cellStyle name="Normal 49" xfId="2559"/>
    <cellStyle name="Normal 5" xfId="2560"/>
    <cellStyle name="Normal 5 2" xfId="2561"/>
    <cellStyle name="Normal 5 3" xfId="2562"/>
    <cellStyle name="Normal 5 4" xfId="2563"/>
    <cellStyle name="Normal 5 5" xfId="2564"/>
    <cellStyle name="Normal 5 6" xfId="2565"/>
    <cellStyle name="Normal 5 7" xfId="2566"/>
    <cellStyle name="Normal 5 8" xfId="2567"/>
    <cellStyle name="Normal 5 9" xfId="2568"/>
    <cellStyle name="Normal 50" xfId="2569"/>
    <cellStyle name="Normal 51" xfId="2570"/>
    <cellStyle name="Normal 52" xfId="2571"/>
    <cellStyle name="Normal 52 2" xfId="2572"/>
    <cellStyle name="Normal 52 3" xfId="2573"/>
    <cellStyle name="Normal 52 4" xfId="2574"/>
    <cellStyle name="Normal 52 5" xfId="2575"/>
    <cellStyle name="Normal 53" xfId="2576"/>
    <cellStyle name="Normal 53 2" xfId="2577"/>
    <cellStyle name="Normal 53 3" xfId="2578"/>
    <cellStyle name="Normal 53 4" xfId="2579"/>
    <cellStyle name="Normal 53 5" xfId="2580"/>
    <cellStyle name="Normal 54" xfId="2581"/>
    <cellStyle name="Normal 54 2" xfId="2582"/>
    <cellStyle name="Normal 54 3" xfId="2583"/>
    <cellStyle name="Normal 54 4" xfId="2584"/>
    <cellStyle name="Normal 54 5" xfId="2585"/>
    <cellStyle name="Normal 55" xfId="2586"/>
    <cellStyle name="Normal 55 2" xfId="2587"/>
    <cellStyle name="Normal 55 3" xfId="2588"/>
    <cellStyle name="Normal 55 4" xfId="2589"/>
    <cellStyle name="Normal 55 5" xfId="2590"/>
    <cellStyle name="Normal 56" xfId="2591"/>
    <cellStyle name="Normal 56 2" xfId="2592"/>
    <cellStyle name="Normal 56 3" xfId="2593"/>
    <cellStyle name="Normal 56 4" xfId="2594"/>
    <cellStyle name="Normal 56 5" xfId="2595"/>
    <cellStyle name="Normal 57" xfId="2596"/>
    <cellStyle name="Normal 57 2" xfId="2597"/>
    <cellStyle name="Normal 57 3" xfId="2598"/>
    <cellStyle name="Normal 57 4" xfId="2599"/>
    <cellStyle name="Normal 57 5" xfId="2600"/>
    <cellStyle name="Normal 58" xfId="2601"/>
    <cellStyle name="Normal 58 2" xfId="2602"/>
    <cellStyle name="Normal 58 3" xfId="2603"/>
    <cellStyle name="Normal 59" xfId="2604"/>
    <cellStyle name="Normal 59 2" xfId="2605"/>
    <cellStyle name="Normal 59 3" xfId="2606"/>
    <cellStyle name="Normal 6" xfId="2607"/>
    <cellStyle name="Normal 6 2" xfId="2608"/>
    <cellStyle name="Normal 6 3" xfId="2609"/>
    <cellStyle name="Normal 6 4" xfId="2610"/>
    <cellStyle name="Normal 6 5" xfId="2611"/>
    <cellStyle name="Normal 6 6" xfId="2612"/>
    <cellStyle name="Normal 6 7" xfId="2613"/>
    <cellStyle name="Normal 6 8" xfId="2614"/>
    <cellStyle name="Normal 6 9" xfId="2615"/>
    <cellStyle name="Normal 60" xfId="2616"/>
    <cellStyle name="Normal 60 2" xfId="2617"/>
    <cellStyle name="Normal 60 3" xfId="2618"/>
    <cellStyle name="Normal 61" xfId="2619"/>
    <cellStyle name="Normal 61 2" xfId="2620"/>
    <cellStyle name="Normal 61 3" xfId="2621"/>
    <cellStyle name="Normal 62" xfId="2622"/>
    <cellStyle name="Normal 62 2" xfId="2623"/>
    <cellStyle name="Normal 62 3" xfId="2624"/>
    <cellStyle name="Normal 62 4" xfId="2625"/>
    <cellStyle name="Normal 63" xfId="2626"/>
    <cellStyle name="Normal 63 2" xfId="2627"/>
    <cellStyle name="Normal 63 3" xfId="2628"/>
    <cellStyle name="Normal 64" xfId="2629"/>
    <cellStyle name="Normal 64 2" xfId="2630"/>
    <cellStyle name="Normal 64 3" xfId="2631"/>
    <cellStyle name="Normal 64 4" xfId="2632"/>
    <cellStyle name="Normal 65" xfId="2633"/>
    <cellStyle name="Normal 65 2" xfId="2634"/>
    <cellStyle name="Normal 65 3" xfId="2635"/>
    <cellStyle name="Normal 65 4" xfId="2636"/>
    <cellStyle name="Normal 66" xfId="2637"/>
    <cellStyle name="Normal 66 2" xfId="2638"/>
    <cellStyle name="Normal 66 3" xfId="2639"/>
    <cellStyle name="Normal 67" xfId="2640"/>
    <cellStyle name="Normal 67 2" xfId="2641"/>
    <cellStyle name="Normal 67 3" xfId="2642"/>
    <cellStyle name="Normal 68" xfId="2643"/>
    <cellStyle name="Normal 68 2" xfId="2644"/>
    <cellStyle name="Normal 68 3" xfId="2645"/>
    <cellStyle name="Normal 69" xfId="2646"/>
    <cellStyle name="Normal 69 2" xfId="2647"/>
    <cellStyle name="Normal 69 3" xfId="2648"/>
    <cellStyle name="Normal 7" xfId="2649"/>
    <cellStyle name="Normal 7 2" xfId="2650"/>
    <cellStyle name="Normal 7 2 2" xfId="2651"/>
    <cellStyle name="Normal 7 3" xfId="2652"/>
    <cellStyle name="Normal 7 4" xfId="2653"/>
    <cellStyle name="Normal 7 5" xfId="2654"/>
    <cellStyle name="Normal 7 6" xfId="2655"/>
    <cellStyle name="Normal 7 7" xfId="2656"/>
    <cellStyle name="Normal 7 8" xfId="2657"/>
    <cellStyle name="Normal 7 9" xfId="2658"/>
    <cellStyle name="Normal 70" xfId="2659"/>
    <cellStyle name="Normal 70 2" xfId="2660"/>
    <cellStyle name="Normal 70 3" xfId="2661"/>
    <cellStyle name="Normal 71" xfId="2662"/>
    <cellStyle name="Normal 71 2" xfId="2663"/>
    <cellStyle name="Normal 71 3" xfId="2664"/>
    <cellStyle name="Normal 72" xfId="2665"/>
    <cellStyle name="Normal 72 2" xfId="2666"/>
    <cellStyle name="Normal 72 3" xfId="2667"/>
    <cellStyle name="Normal 73" xfId="2668"/>
    <cellStyle name="Normal 73 2" xfId="2669"/>
    <cellStyle name="Normal 73 3" xfId="2670"/>
    <cellStyle name="Normal 74" xfId="2671"/>
    <cellStyle name="Normal 74 2" xfId="2672"/>
    <cellStyle name="Normal 74 3" xfId="2673"/>
    <cellStyle name="Normal 75" xfId="2674"/>
    <cellStyle name="Normal 75 2" xfId="2675"/>
    <cellStyle name="Normal 75 3" xfId="2676"/>
    <cellStyle name="Normal 76" xfId="2677"/>
    <cellStyle name="Normal 77" xfId="2678"/>
    <cellStyle name="Normal 78" xfId="2679"/>
    <cellStyle name="Normal 79" xfId="2680"/>
    <cellStyle name="Normal 8" xfId="2681"/>
    <cellStyle name="Normal 8 10" xfId="2682"/>
    <cellStyle name="Normal 8 2" xfId="2683"/>
    <cellStyle name="Normal 8 3" xfId="2684"/>
    <cellStyle name="Normal 8 4" xfId="2685"/>
    <cellStyle name="Normal 8 5" xfId="2686"/>
    <cellStyle name="Normal 8 6" xfId="2687"/>
    <cellStyle name="Normal 8 7" xfId="2688"/>
    <cellStyle name="Normal 8 8" xfId="2689"/>
    <cellStyle name="Normal 8 9" xfId="2690"/>
    <cellStyle name="Normal 80" xfId="2691"/>
    <cellStyle name="Normal 81" xfId="2692"/>
    <cellStyle name="Normal 82" xfId="2693"/>
    <cellStyle name="Normal 83" xfId="2694"/>
    <cellStyle name="Normal 84" xfId="2695"/>
    <cellStyle name="Normal 85" xfId="2696"/>
    <cellStyle name="Normal 86" xfId="2697"/>
    <cellStyle name="Normal 87" xfId="2698"/>
    <cellStyle name="Normal 88" xfId="2699"/>
    <cellStyle name="Normal 89" xfId="2700"/>
    <cellStyle name="Normal 9" xfId="2701"/>
    <cellStyle name="Normal 9 2" xfId="2702"/>
    <cellStyle name="Normal 9 3" xfId="2703"/>
    <cellStyle name="Normal 9 4" xfId="2704"/>
    <cellStyle name="Normal 9 5" xfId="2705"/>
    <cellStyle name="Normal 9 6" xfId="2706"/>
    <cellStyle name="Normal 9 7" xfId="2707"/>
    <cellStyle name="Normal 9 8" xfId="2708"/>
    <cellStyle name="Normal 9 9" xfId="2709"/>
    <cellStyle name="Normal 90" xfId="2710"/>
    <cellStyle name="Normal 91" xfId="2711"/>
    <cellStyle name="Normal 92" xfId="2712"/>
    <cellStyle name="Normal 93" xfId="2713"/>
    <cellStyle name="Normal 94" xfId="2714"/>
    <cellStyle name="Normal 95" xfId="2715"/>
    <cellStyle name="Normal 96" xfId="2716"/>
    <cellStyle name="Normal 97" xfId="2717"/>
    <cellStyle name="Normal 98" xfId="2718"/>
    <cellStyle name="Normal 99" xfId="2719"/>
    <cellStyle name="Note 10" xfId="2720"/>
    <cellStyle name="Note 10 2" xfId="2721"/>
    <cellStyle name="Note 11" xfId="2722"/>
    <cellStyle name="Note 11 2" xfId="2723"/>
    <cellStyle name="Note 12" xfId="2724"/>
    <cellStyle name="Note 12 2" xfId="2725"/>
    <cellStyle name="Note 13" xfId="2726"/>
    <cellStyle name="Note 13 2" xfId="2727"/>
    <cellStyle name="Note 14" xfId="2728"/>
    <cellStyle name="Note 14 2" xfId="2729"/>
    <cellStyle name="Note 15" xfId="2730"/>
    <cellStyle name="Note 15 2" xfId="2731"/>
    <cellStyle name="Note 16" xfId="2732"/>
    <cellStyle name="Note 16 2" xfId="2733"/>
    <cellStyle name="Note 17" xfId="2734"/>
    <cellStyle name="Note 17 2" xfId="2735"/>
    <cellStyle name="Note 18" xfId="2736"/>
    <cellStyle name="Note 18 2" xfId="2737"/>
    <cellStyle name="Note 19" xfId="2738"/>
    <cellStyle name="Note 19 2" xfId="2739"/>
    <cellStyle name="Note 2" xfId="2740"/>
    <cellStyle name="Note 2 10" xfId="2741"/>
    <cellStyle name="Note 2 11" xfId="2742"/>
    <cellStyle name="Note 2 12" xfId="2743"/>
    <cellStyle name="Note 2 13" xfId="2744"/>
    <cellStyle name="Note 2 14" xfId="2745"/>
    <cellStyle name="Note 2 15" xfId="2746"/>
    <cellStyle name="Note 2 2" xfId="2747"/>
    <cellStyle name="Note 2 2 2" xfId="2748"/>
    <cellStyle name="Note 2 2 3" xfId="2749"/>
    <cellStyle name="Note 2 2 4" xfId="2750"/>
    <cellStyle name="Note 2 2 5" xfId="2751"/>
    <cellStyle name="Note 2 2 5 2" xfId="2752"/>
    <cellStyle name="Note 2 2 6" xfId="2753"/>
    <cellStyle name="Note 2 2 7" xfId="2754"/>
    <cellStyle name="Note 2 2 8" xfId="2755"/>
    <cellStyle name="Note 2 3" xfId="2756"/>
    <cellStyle name="Note 2 3 2" xfId="2757"/>
    <cellStyle name="Note 2 3 3" xfId="2758"/>
    <cellStyle name="Note 2 3 4" xfId="2759"/>
    <cellStyle name="Note 2 4" xfId="2760"/>
    <cellStyle name="Note 2 5" xfId="2761"/>
    <cellStyle name="Note 2 6" xfId="2762"/>
    <cellStyle name="Note 2 7" xfId="2763"/>
    <cellStyle name="Note 2 8" xfId="2764"/>
    <cellStyle name="Note 2 9" xfId="2765"/>
    <cellStyle name="Note 20" xfId="2766"/>
    <cellStyle name="Note 20 2" xfId="2767"/>
    <cellStyle name="Note 21" xfId="2768"/>
    <cellStyle name="Note 21 2" xfId="2769"/>
    <cellStyle name="Note 22" xfId="2770"/>
    <cellStyle name="Note 22 2" xfId="2771"/>
    <cellStyle name="Note 23" xfId="2772"/>
    <cellStyle name="Note 23 2" xfId="2773"/>
    <cellStyle name="Note 24" xfId="2774"/>
    <cellStyle name="Note 24 2" xfId="2775"/>
    <cellStyle name="Note 25" xfId="2776"/>
    <cellStyle name="Note 25 2" xfId="2777"/>
    <cellStyle name="Note 26" xfId="2778"/>
    <cellStyle name="Note 26 2" xfId="2779"/>
    <cellStyle name="Note 27" xfId="2780"/>
    <cellStyle name="Note 27 2" xfId="2781"/>
    <cellStyle name="Note 28" xfId="2782"/>
    <cellStyle name="Note 28 2" xfId="2783"/>
    <cellStyle name="Note 29" xfId="2784"/>
    <cellStyle name="Note 29 2" xfId="2785"/>
    <cellStyle name="Note 3" xfId="2786"/>
    <cellStyle name="Note 3 2" xfId="2787"/>
    <cellStyle name="Note 3 3" xfId="2788"/>
    <cellStyle name="Note 3 4" xfId="2789"/>
    <cellStyle name="Note 3 5" xfId="2790"/>
    <cellStyle name="Note 3 6" xfId="2791"/>
    <cellStyle name="Note 3 7" xfId="2792"/>
    <cellStyle name="Note 3 8" xfId="2793"/>
    <cellStyle name="Note 3 9" xfId="2794"/>
    <cellStyle name="Note 30" xfId="2795"/>
    <cellStyle name="Note 30 2" xfId="2796"/>
    <cellStyle name="Note 31" xfId="2797"/>
    <cellStyle name="Note 31 2" xfId="2798"/>
    <cellStyle name="Note 32" xfId="2799"/>
    <cellStyle name="Note 32 2" xfId="2800"/>
    <cellStyle name="Note 33" xfId="2801"/>
    <cellStyle name="Note 33 2" xfId="2802"/>
    <cellStyle name="Note 34" xfId="2803"/>
    <cellStyle name="Note 34 2" xfId="2804"/>
    <cellStyle name="Note 35" xfId="2805"/>
    <cellStyle name="Note 35 2" xfId="2806"/>
    <cellStyle name="Note 36" xfId="2807"/>
    <cellStyle name="Note 36 2" xfId="2808"/>
    <cellStyle name="Note 37" xfId="2809"/>
    <cellStyle name="Note 37 2" xfId="2810"/>
    <cellStyle name="Note 38" xfId="2811"/>
    <cellStyle name="Note 38 2" xfId="2812"/>
    <cellStyle name="Note 39" xfId="2813"/>
    <cellStyle name="Note 39 2" xfId="2814"/>
    <cellStyle name="Note 4" xfId="2815"/>
    <cellStyle name="Note 4 2" xfId="2816"/>
    <cellStyle name="Note 4 3" xfId="2817"/>
    <cellStyle name="Note 4 4" xfId="2818"/>
    <cellStyle name="Note 40" xfId="2819"/>
    <cellStyle name="Note 40 2" xfId="2820"/>
    <cellStyle name="Note 41" xfId="2821"/>
    <cellStyle name="Note 41 2" xfId="2822"/>
    <cellStyle name="Note 42" xfId="2823"/>
    <cellStyle name="Note 42 2" xfId="2824"/>
    <cellStyle name="Note 43" xfId="2825"/>
    <cellStyle name="Note 43 2" xfId="2826"/>
    <cellStyle name="Note 44" xfId="2827"/>
    <cellStyle name="Note 44 2" xfId="2828"/>
    <cellStyle name="Note 45" xfId="2829"/>
    <cellStyle name="Note 45 2" xfId="2830"/>
    <cellStyle name="Note 46" xfId="2831"/>
    <cellStyle name="Note 46 2" xfId="2832"/>
    <cellStyle name="Note 47" xfId="2833"/>
    <cellStyle name="Note 47 2" xfId="2834"/>
    <cellStyle name="Note 48" xfId="2835"/>
    <cellStyle name="Note 48 2" xfId="2836"/>
    <cellStyle name="Note 49" xfId="2837"/>
    <cellStyle name="Note 49 2" xfId="2838"/>
    <cellStyle name="Note 5" xfId="2839"/>
    <cellStyle name="Note 5 2" xfId="2840"/>
    <cellStyle name="Note 50" xfId="2841"/>
    <cellStyle name="Note 50 2" xfId="2842"/>
    <cellStyle name="Note 51" xfId="2843"/>
    <cellStyle name="Note 51 2" xfId="2844"/>
    <cellStyle name="Note 52" xfId="2845"/>
    <cellStyle name="Note 52 2" xfId="2846"/>
    <cellStyle name="Note 53" xfId="2847"/>
    <cellStyle name="Note 53 2" xfId="2848"/>
    <cellStyle name="Note 54" xfId="2849"/>
    <cellStyle name="Note 54 2" xfId="2850"/>
    <cellStyle name="Note 55" xfId="2851"/>
    <cellStyle name="Note 55 2" xfId="2852"/>
    <cellStyle name="Note 56" xfId="2853"/>
    <cellStyle name="Note 56 2" xfId="2854"/>
    <cellStyle name="Note 57" xfId="2855"/>
    <cellStyle name="Note 57 2" xfId="2856"/>
    <cellStyle name="Note 58" xfId="2857"/>
    <cellStyle name="Note 59" xfId="2858"/>
    <cellStyle name="Note 6" xfId="2859"/>
    <cellStyle name="Note 6 2" xfId="2860"/>
    <cellStyle name="Note 60" xfId="2861"/>
    <cellStyle name="Note 61" xfId="2862"/>
    <cellStyle name="Note 62" xfId="2863"/>
    <cellStyle name="Note 63" xfId="2864"/>
    <cellStyle name="Note 7" xfId="2865"/>
    <cellStyle name="Note 7 2" xfId="2866"/>
    <cellStyle name="Note 7 3" xfId="2867"/>
    <cellStyle name="Note 7 4" xfId="2868"/>
    <cellStyle name="Note 8" xfId="2869"/>
    <cellStyle name="Note 8 2" xfId="2870"/>
    <cellStyle name="Note 9" xfId="2871"/>
    <cellStyle name="Note 9 2" xfId="2872"/>
    <cellStyle name="Output 10 2" xfId="2873"/>
    <cellStyle name="Output 11 2" xfId="2874"/>
    <cellStyle name="Output 12" xfId="2875"/>
    <cellStyle name="Output 13" xfId="2876"/>
    <cellStyle name="Output 14" xfId="2877"/>
    <cellStyle name="Output 15" xfId="2878"/>
    <cellStyle name="Output 2" xfId="2879"/>
    <cellStyle name="Output 2 10" xfId="2880"/>
    <cellStyle name="Output 2 2" xfId="2881"/>
    <cellStyle name="Output 2 2 2" xfId="2882"/>
    <cellStyle name="Output 2 2 2 2" xfId="2883"/>
    <cellStyle name="Output 2 2 2 2 2" xfId="2884"/>
    <cellStyle name="Output 2 2 3" xfId="2885"/>
    <cellStyle name="Output 2 2 4" xfId="2886"/>
    <cellStyle name="Output 2 2 5" xfId="2887"/>
    <cellStyle name="Output 2 2 6" xfId="2888"/>
    <cellStyle name="Output 2 3" xfId="2889"/>
    <cellStyle name="Output 2 4" xfId="2890"/>
    <cellStyle name="Output 2 5" xfId="2891"/>
    <cellStyle name="Output 2 6" xfId="2892"/>
    <cellStyle name="Output 2 7" xfId="2893"/>
    <cellStyle name="Output 2 8" xfId="2894"/>
    <cellStyle name="Output 2 9" xfId="2895"/>
    <cellStyle name="Output 3" xfId="2896"/>
    <cellStyle name="Output 3 2" xfId="2897"/>
    <cellStyle name="Output 3 3" xfId="2898"/>
    <cellStyle name="Output 3 4" xfId="2899"/>
    <cellStyle name="Output 3 5" xfId="2900"/>
    <cellStyle name="Output 3 6" xfId="2901"/>
    <cellStyle name="Output 4" xfId="2902"/>
    <cellStyle name="Output 4 2" xfId="2903"/>
    <cellStyle name="Output 5" xfId="2904"/>
    <cellStyle name="Output 5 2" xfId="2905"/>
    <cellStyle name="Output 6" xfId="2906"/>
    <cellStyle name="Output 6 2" xfId="2907"/>
    <cellStyle name="Output 7 2" xfId="2908"/>
    <cellStyle name="Output 8 2" xfId="2909"/>
    <cellStyle name="Output 9 2" xfId="2910"/>
    <cellStyle name="SAPBEXstdItem" xfId="2911"/>
    <cellStyle name="Title 2" xfId="2912"/>
    <cellStyle name="Title 2 2" xfId="2913"/>
    <cellStyle name="Title 3" xfId="2914"/>
    <cellStyle name="Title 4" xfId="2915"/>
    <cellStyle name="Title 4 2" xfId="2916"/>
    <cellStyle name="Title 5" xfId="2917"/>
    <cellStyle name="Title 5 2" xfId="2918"/>
    <cellStyle name="Title 6 2" xfId="2919"/>
    <cellStyle name="Title 7 2" xfId="2920"/>
    <cellStyle name="Title 8 2" xfId="2921"/>
    <cellStyle name="Title 9 2" xfId="2922"/>
    <cellStyle name="Total 10 2" xfId="2923"/>
    <cellStyle name="Total 11 2" xfId="2924"/>
    <cellStyle name="Total 12" xfId="2925"/>
    <cellStyle name="Total 13" xfId="2926"/>
    <cellStyle name="Total 14" xfId="2927"/>
    <cellStyle name="Total 15" xfId="2928"/>
    <cellStyle name="Total 2" xfId="2929"/>
    <cellStyle name="Total 2 10" xfId="2930"/>
    <cellStyle name="Total 2 2" xfId="2931"/>
    <cellStyle name="Total 2 2 2" xfId="2932"/>
    <cellStyle name="Total 2 2 2 2" xfId="2933"/>
    <cellStyle name="Total 2 2 3" xfId="2934"/>
    <cellStyle name="Total 2 2 4" xfId="2935"/>
    <cellStyle name="Total 2 2 5" xfId="2936"/>
    <cellStyle name="Total 2 2 6" xfId="2937"/>
    <cellStyle name="Total 2 3" xfId="2938"/>
    <cellStyle name="Total 2 4" xfId="2939"/>
    <cellStyle name="Total 2 5" xfId="2940"/>
    <cellStyle name="Total 2 6" xfId="2941"/>
    <cellStyle name="Total 2 7" xfId="2942"/>
    <cellStyle name="Total 2 8" xfId="2943"/>
    <cellStyle name="Total 2 9" xfId="2944"/>
    <cellStyle name="Total 3" xfId="2945"/>
    <cellStyle name="Total 3 2" xfId="2946"/>
    <cellStyle name="Total 3 3" xfId="2947"/>
    <cellStyle name="Total 3 4" xfId="2948"/>
    <cellStyle name="Total 3 5" xfId="2949"/>
    <cellStyle name="Total 3 6" xfId="2950"/>
    <cellStyle name="Total 4" xfId="2951"/>
    <cellStyle name="Total 4 2" xfId="2952"/>
    <cellStyle name="Total 5" xfId="2953"/>
    <cellStyle name="Total 5 2" xfId="2954"/>
    <cellStyle name="Total 6" xfId="2955"/>
    <cellStyle name="Total 6 2" xfId="2956"/>
    <cellStyle name="Total 7 2" xfId="2957"/>
    <cellStyle name="Total 8 2" xfId="2958"/>
    <cellStyle name="Total 9 2" xfId="2959"/>
    <cellStyle name="Warning Text 10 2" xfId="2960"/>
    <cellStyle name="Warning Text 11 2" xfId="2961"/>
    <cellStyle name="Warning Text 12" xfId="2962"/>
    <cellStyle name="Warning Text 13" xfId="2963"/>
    <cellStyle name="Warning Text 14" xfId="2964"/>
    <cellStyle name="Warning Text 15" xfId="2965"/>
    <cellStyle name="Warning Text 2" xfId="2966"/>
    <cellStyle name="Warning Text 2 10" xfId="2967"/>
    <cellStyle name="Warning Text 2 2" xfId="2968"/>
    <cellStyle name="Warning Text 2 2 2" xfId="2969"/>
    <cellStyle name="Warning Text 2 2 2 2" xfId="2970"/>
    <cellStyle name="Warning Text 2 2 3" xfId="2971"/>
    <cellStyle name="Warning Text 2 2 4" xfId="2972"/>
    <cellStyle name="Warning Text 2 2 5" xfId="2973"/>
    <cellStyle name="Warning Text 2 2 6" xfId="2974"/>
    <cellStyle name="Warning Text 2 3" xfId="2975"/>
    <cellStyle name="Warning Text 2 4" xfId="2976"/>
    <cellStyle name="Warning Text 2 5" xfId="2977"/>
    <cellStyle name="Warning Text 2 6" xfId="2978"/>
    <cellStyle name="Warning Text 2 7" xfId="2979"/>
    <cellStyle name="Warning Text 2 8" xfId="2980"/>
    <cellStyle name="Warning Text 2 9" xfId="2981"/>
    <cellStyle name="Warning Text 3" xfId="2982"/>
    <cellStyle name="Warning Text 3 2" xfId="2983"/>
    <cellStyle name="Warning Text 3 3" xfId="2984"/>
    <cellStyle name="Warning Text 3 4" xfId="2985"/>
    <cellStyle name="Warning Text 3 5" xfId="2986"/>
    <cellStyle name="Warning Text 3 6" xfId="2987"/>
    <cellStyle name="Warning Text 4" xfId="2988"/>
    <cellStyle name="Warning Text 4 2" xfId="2989"/>
    <cellStyle name="Warning Text 5" xfId="2990"/>
    <cellStyle name="Warning Text 5 2" xfId="2991"/>
    <cellStyle name="Warning Text 6" xfId="2992"/>
    <cellStyle name="Warning Text 6 2" xfId="2993"/>
    <cellStyle name="Warning Text 7 2" xfId="2994"/>
    <cellStyle name="Warning Text 8 2" xfId="2995"/>
    <cellStyle name="Warning Text 9 2" xfId="2996"/>
    <cellStyle name="YELLOW" xfId="2997"/>
    <cellStyle name="YELLOW 2" xfId="2998"/>
    <cellStyle name="YELLOW 3" xfId="2999"/>
    <cellStyle name="YELLOW 4" xfId="3000"/>
    <cellStyle name="쉼표_demand-Summary_011002" xfId="3001"/>
    <cellStyle name="표준_demand-Summary_011002" xfId="3002"/>
    <cellStyle name="一般_11-01 RPM SIT_1012'051" xfId="3003"/>
    <cellStyle name="千分位[0]_FA07~HO07Recon Plan(060407)" xfId="3004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  <color rgb="FF091AB7"/>
      <color rgb="FF000000"/>
      <color rgb="FF1B50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tabSelected="1" workbookViewId="0">
      <selection activeCell="A2" sqref="A2"/>
    </sheetView>
  </sheetViews>
  <sheetFormatPr defaultColWidth="9.1328125" defaultRowHeight="12.75" outlineLevelRow="2"/>
  <cols>
    <col min="1" max="1" width="13.86328125" style="67" customWidth="1"/>
    <col min="2" max="2" width="15" style="67" customWidth="1"/>
    <col min="3" max="3" width="10.3984375" style="67" customWidth="1"/>
    <col min="4" max="4" width="17.59765625" style="67" customWidth="1"/>
    <col min="5" max="5" width="15" style="67" customWidth="1"/>
    <col min="6" max="6" width="11.86328125" style="67" customWidth="1"/>
    <col min="7" max="7" width="13.86328125" style="67" customWidth="1"/>
    <col min="8" max="8" width="10.73046875" style="67" customWidth="1"/>
    <col min="9" max="9" width="11.265625" style="67" bestFit="1" customWidth="1"/>
    <col min="10" max="11" width="9.265625" style="67" customWidth="1"/>
    <col min="12" max="38" width="5.73046875" style="67" customWidth="1"/>
    <col min="39" max="16384" width="9.1328125" style="67"/>
  </cols>
  <sheetData>
    <row r="1" spans="1:38" s="68" customFormat="1" ht="20.25" customHeight="1">
      <c r="A1" s="68" t="s">
        <v>65</v>
      </c>
      <c r="B1" s="68" t="s">
        <v>66</v>
      </c>
      <c r="C1" s="68" t="s">
        <v>72</v>
      </c>
      <c r="D1" s="68" t="s">
        <v>67</v>
      </c>
      <c r="E1" s="68" t="s">
        <v>68</v>
      </c>
      <c r="F1" s="68" t="s">
        <v>10</v>
      </c>
      <c r="G1" s="68" t="s">
        <v>69</v>
      </c>
      <c r="H1" s="68" t="s">
        <v>70</v>
      </c>
      <c r="I1" s="68" t="s">
        <v>71</v>
      </c>
      <c r="J1" s="68">
        <v>4</v>
      </c>
      <c r="K1" s="68">
        <v>4.5</v>
      </c>
      <c r="L1" s="68">
        <v>5</v>
      </c>
      <c r="M1" s="68">
        <v>5.5</v>
      </c>
      <c r="N1" s="68">
        <v>6</v>
      </c>
      <c r="O1" s="68">
        <v>6.5</v>
      </c>
      <c r="P1" s="68">
        <v>7</v>
      </c>
      <c r="Q1" s="68">
        <v>7.5</v>
      </c>
      <c r="R1" s="68">
        <v>8</v>
      </c>
      <c r="S1" s="68">
        <v>8.5</v>
      </c>
      <c r="T1" s="68">
        <v>9</v>
      </c>
      <c r="U1" s="68">
        <v>9.5</v>
      </c>
      <c r="V1" s="68">
        <v>10</v>
      </c>
      <c r="W1" s="68">
        <v>10.5</v>
      </c>
      <c r="X1" s="68">
        <v>11</v>
      </c>
      <c r="Y1" s="68">
        <v>11.5</v>
      </c>
      <c r="Z1" s="68">
        <v>12</v>
      </c>
      <c r="AA1" s="68">
        <v>12.5</v>
      </c>
      <c r="AB1" s="68">
        <v>13</v>
      </c>
      <c r="AC1" s="68">
        <v>14</v>
      </c>
      <c r="AD1" s="68">
        <v>15</v>
      </c>
      <c r="AE1" s="68" t="s">
        <v>58</v>
      </c>
      <c r="AF1" s="68" t="s">
        <v>56</v>
      </c>
      <c r="AG1" s="68" t="s">
        <v>59</v>
      </c>
      <c r="AH1" s="68" t="s">
        <v>60</v>
      </c>
      <c r="AI1" s="68" t="s">
        <v>61</v>
      </c>
      <c r="AJ1" s="68" t="s">
        <v>62</v>
      </c>
      <c r="AK1" s="68" t="s">
        <v>63</v>
      </c>
      <c r="AL1" s="68" t="s">
        <v>64</v>
      </c>
    </row>
    <row r="2" spans="1:38" s="69" customFormat="1" ht="20.25" customHeight="1" outlineLevel="2">
      <c r="A2" s="69">
        <v>6000145796</v>
      </c>
      <c r="B2" s="72" t="s">
        <v>73</v>
      </c>
      <c r="C2" s="69">
        <v>100</v>
      </c>
      <c r="D2" s="69" t="s">
        <v>52</v>
      </c>
      <c r="E2" s="69" t="s">
        <v>39</v>
      </c>
      <c r="F2" s="69" t="s">
        <v>50</v>
      </c>
      <c r="G2" s="70">
        <v>44912</v>
      </c>
      <c r="H2" s="73">
        <v>44827</v>
      </c>
      <c r="I2" s="71">
        <f>SUM(J2:AL2)</f>
        <v>7000</v>
      </c>
      <c r="J2" s="71"/>
      <c r="K2" s="71"/>
      <c r="L2" s="71"/>
      <c r="M2" s="71"/>
      <c r="N2" s="71"/>
      <c r="O2" s="71"/>
      <c r="P2" s="71">
        <v>854</v>
      </c>
      <c r="Q2" s="71"/>
      <c r="R2" s="71">
        <v>2172</v>
      </c>
      <c r="S2" s="71">
        <v>2118</v>
      </c>
      <c r="T2" s="71">
        <v>943</v>
      </c>
      <c r="U2" s="71">
        <v>913</v>
      </c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</row>
    <row r="4" spans="1:38">
      <c r="A4" s="67">
        <v>1</v>
      </c>
      <c r="B4" s="67">
        <v>2</v>
      </c>
      <c r="C4" s="67">
        <v>3</v>
      </c>
      <c r="D4" s="67">
        <v>4</v>
      </c>
      <c r="E4" s="67">
        <v>5</v>
      </c>
      <c r="F4" s="67">
        <v>6</v>
      </c>
      <c r="G4" s="67">
        <v>7</v>
      </c>
      <c r="H4" s="67">
        <v>8</v>
      </c>
      <c r="I4" s="67">
        <v>9</v>
      </c>
      <c r="J4" s="67">
        <v>10</v>
      </c>
      <c r="K4" s="67">
        <v>11</v>
      </c>
      <c r="L4" s="67">
        <v>12</v>
      </c>
      <c r="M4" s="67">
        <v>13</v>
      </c>
      <c r="N4" s="67">
        <v>14</v>
      </c>
      <c r="O4" s="67">
        <v>15</v>
      </c>
      <c r="P4" s="67">
        <v>16</v>
      </c>
      <c r="Q4" s="67">
        <v>17</v>
      </c>
      <c r="R4" s="67">
        <v>18</v>
      </c>
      <c r="S4" s="67">
        <v>19</v>
      </c>
      <c r="T4" s="67">
        <v>20</v>
      </c>
      <c r="U4" s="67">
        <v>21</v>
      </c>
      <c r="V4" s="67">
        <v>22</v>
      </c>
      <c r="W4" s="67">
        <v>23</v>
      </c>
      <c r="X4" s="67">
        <v>24</v>
      </c>
      <c r="Y4" s="67">
        <v>25</v>
      </c>
      <c r="Z4" s="67">
        <v>26</v>
      </c>
      <c r="AA4" s="67">
        <v>27</v>
      </c>
      <c r="AB4" s="67">
        <v>28</v>
      </c>
      <c r="AC4" s="67">
        <v>29</v>
      </c>
      <c r="AD4" s="67">
        <v>30</v>
      </c>
      <c r="AE4" s="67">
        <v>31</v>
      </c>
      <c r="AF4" s="67">
        <v>32</v>
      </c>
      <c r="AG4" s="67">
        <v>33</v>
      </c>
      <c r="AH4" s="67">
        <v>34</v>
      </c>
      <c r="AI4" s="67">
        <v>35</v>
      </c>
      <c r="AJ4" s="67">
        <v>36</v>
      </c>
      <c r="AK4" s="67">
        <v>37</v>
      </c>
      <c r="AL4" s="67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N138"/>
  <sheetViews>
    <sheetView showGridLines="0" zoomScaleNormal="100" workbookViewId="0">
      <pane xSplit="9" ySplit="2" topLeftCell="AM3" activePane="bottomRight" state="frozen"/>
      <selection pane="topRight" activeCell="K1" sqref="K1"/>
      <selection pane="bottomLeft" activeCell="A3" sqref="A3"/>
      <selection pane="bottomRight" activeCell="AK2" sqref="AK2"/>
    </sheetView>
  </sheetViews>
  <sheetFormatPr defaultColWidth="9.1328125" defaultRowHeight="14.25" outlineLevelRow="2"/>
  <cols>
    <col min="1" max="1" width="26.1328125" style="7" bestFit="1" customWidth="1"/>
    <col min="2" max="2" width="10" style="7" bestFit="1" customWidth="1"/>
    <col min="3" max="3" width="16" style="7" bestFit="1" customWidth="1"/>
    <col min="4" max="4" width="14.3984375" style="7" bestFit="1" customWidth="1"/>
    <col min="5" max="5" width="22.1328125" style="7" bestFit="1" customWidth="1"/>
    <col min="6" max="6" width="12.86328125" style="7" bestFit="1" customWidth="1"/>
    <col min="7" max="7" width="11.265625" style="7" bestFit="1" customWidth="1"/>
    <col min="8" max="8" width="10.1328125" style="7" customWidth="1"/>
    <col min="9" max="9" width="9.1328125" style="7" bestFit="1" customWidth="1"/>
    <col min="10" max="10" width="14.265625" style="7" bestFit="1" customWidth="1"/>
    <col min="11" max="11" width="11.86328125" style="7" bestFit="1" customWidth="1"/>
    <col min="12" max="12" width="12.3984375" style="7" bestFit="1" customWidth="1"/>
    <col min="13" max="13" width="16" style="7" bestFit="1" customWidth="1"/>
    <col min="14" max="14" width="8.3984375" style="13" bestFit="1" customWidth="1"/>
    <col min="15" max="15" width="10.86328125" style="13" bestFit="1" customWidth="1"/>
    <col min="16" max="16" width="10.59765625" style="7" bestFit="1" customWidth="1"/>
    <col min="17" max="17" width="12.59765625" style="13" bestFit="1" customWidth="1"/>
    <col min="18" max="18" width="15.86328125" style="13" bestFit="1" customWidth="1"/>
    <col min="19" max="19" width="11.1328125" style="13" bestFit="1" customWidth="1"/>
    <col min="20" max="20" width="9.3984375" style="7" bestFit="1" customWidth="1"/>
    <col min="21" max="21" width="20.3984375" style="21" bestFit="1" customWidth="1"/>
    <col min="22" max="22" width="9.73046875" style="22" bestFit="1" customWidth="1"/>
    <col min="23" max="24" width="12.265625" style="7" bestFit="1" customWidth="1"/>
    <col min="25" max="25" width="13" style="7" bestFit="1" customWidth="1"/>
    <col min="26" max="26" width="25.73046875" style="7" bestFit="1" customWidth="1"/>
    <col min="27" max="27" width="33.59765625" style="7" bestFit="1" customWidth="1"/>
    <col min="28" max="29" width="10.73046875" style="7" bestFit="1" customWidth="1"/>
    <col min="30" max="30" width="18.3984375" style="7" bestFit="1" customWidth="1"/>
    <col min="31" max="31" width="36.73046875" style="7" bestFit="1" customWidth="1"/>
    <col min="32" max="32" width="31" style="7" bestFit="1" customWidth="1"/>
    <col min="33" max="33" width="14.265625" style="7" bestFit="1" customWidth="1"/>
    <col min="34" max="34" width="12.73046875" style="7" bestFit="1" customWidth="1"/>
    <col min="35" max="35" width="16.3984375" style="7" bestFit="1" customWidth="1"/>
    <col min="36" max="36" width="33.59765625" style="7" bestFit="1" customWidth="1"/>
    <col min="37" max="37" width="11" style="7" bestFit="1" customWidth="1"/>
    <col min="38" max="38" width="24.59765625" style="8" bestFit="1" customWidth="1"/>
    <col min="39" max="39" width="13.3984375" style="7" bestFit="1" customWidth="1"/>
    <col min="40" max="40" width="17.73046875" style="7" bestFit="1" customWidth="1"/>
    <col min="41" max="16384" width="9.1328125" style="7"/>
  </cols>
  <sheetData>
    <row r="1" spans="1:40" ht="18">
      <c r="A1" s="11" t="s">
        <v>51</v>
      </c>
      <c r="B1" s="10"/>
      <c r="M1" s="13"/>
      <c r="N1" s="7"/>
      <c r="O1" s="7"/>
      <c r="P1" s="13"/>
      <c r="S1" s="7"/>
      <c r="U1" s="63"/>
      <c r="V1" s="20"/>
      <c r="AI1" s="8"/>
    </row>
    <row r="2" spans="1:40" s="1" customFormat="1" ht="35.25" customHeigh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4" t="s">
        <v>8</v>
      </c>
      <c r="J2" s="25" t="s">
        <v>9</v>
      </c>
      <c r="K2" s="26" t="s">
        <v>10</v>
      </c>
      <c r="L2" s="26" t="s">
        <v>11</v>
      </c>
      <c r="M2" s="27" t="s">
        <v>12</v>
      </c>
      <c r="N2" s="27" t="s">
        <v>13</v>
      </c>
      <c r="O2" s="28" t="s">
        <v>14</v>
      </c>
      <c r="P2" s="27" t="s">
        <v>15</v>
      </c>
      <c r="Q2" s="28" t="s">
        <v>16</v>
      </c>
      <c r="R2" s="28" t="s">
        <v>57</v>
      </c>
      <c r="S2" s="29" t="s">
        <v>17</v>
      </c>
      <c r="T2" s="29" t="s">
        <v>18</v>
      </c>
      <c r="U2" s="64" t="s">
        <v>19</v>
      </c>
      <c r="V2" s="62" t="s">
        <v>20</v>
      </c>
      <c r="W2" s="23" t="s">
        <v>21</v>
      </c>
      <c r="X2" s="23" t="s">
        <v>22</v>
      </c>
      <c r="Y2" s="23" t="s">
        <v>23</v>
      </c>
      <c r="Z2" s="23" t="s">
        <v>24</v>
      </c>
      <c r="AA2" s="30" t="s">
        <v>25</v>
      </c>
      <c r="AB2" s="30" t="s">
        <v>26</v>
      </c>
      <c r="AC2" s="30" t="s">
        <v>27</v>
      </c>
      <c r="AD2" s="30" t="s">
        <v>28</v>
      </c>
      <c r="AE2" s="30" t="s">
        <v>29</v>
      </c>
      <c r="AF2" s="31" t="s">
        <v>30</v>
      </c>
      <c r="AG2" s="30" t="s">
        <v>31</v>
      </c>
      <c r="AH2" s="30" t="s">
        <v>32</v>
      </c>
      <c r="AI2" s="1" t="s">
        <v>33</v>
      </c>
      <c r="AJ2" s="1" t="s">
        <v>34</v>
      </c>
      <c r="AK2" s="74" t="s">
        <v>74</v>
      </c>
      <c r="AL2" s="4" t="s">
        <v>35</v>
      </c>
      <c r="AM2" s="1" t="s">
        <v>36</v>
      </c>
      <c r="AN2" s="1" t="s">
        <v>37</v>
      </c>
    </row>
    <row r="3" spans="1:40" ht="35.25" customHeight="1" outlineLevel="2">
      <c r="A3" s="35">
        <v>6000145796</v>
      </c>
      <c r="B3" s="35">
        <v>100</v>
      </c>
      <c r="C3" s="35" t="s">
        <v>55</v>
      </c>
      <c r="D3" s="35" t="s">
        <v>52</v>
      </c>
      <c r="E3" s="35" t="s">
        <v>46</v>
      </c>
      <c r="F3" s="35" t="s">
        <v>39</v>
      </c>
      <c r="G3" s="35">
        <v>1027</v>
      </c>
      <c r="H3" s="35" t="s">
        <v>42</v>
      </c>
      <c r="I3" s="66">
        <v>7000</v>
      </c>
      <c r="J3" s="36">
        <v>44797</v>
      </c>
      <c r="K3" s="35" t="s">
        <v>48</v>
      </c>
      <c r="L3" s="35" t="s">
        <v>47</v>
      </c>
      <c r="M3" s="36">
        <f t="shared" ref="M3" si="0">IFERROR(O3-12-WEEKDAY(O3-12,2)+1,"")</f>
        <v>44900</v>
      </c>
      <c r="N3" s="36">
        <v>44836</v>
      </c>
      <c r="O3" s="36">
        <v>44912</v>
      </c>
      <c r="P3" s="36">
        <f t="shared" ref="P3" si="1">Q3-2</f>
        <v>44909</v>
      </c>
      <c r="Q3" s="36">
        <v>44911</v>
      </c>
      <c r="R3" s="36">
        <v>44911</v>
      </c>
      <c r="S3" s="36"/>
      <c r="T3" s="35"/>
      <c r="U3" s="34" t="s">
        <v>53</v>
      </c>
      <c r="V3" s="33">
        <v>44813</v>
      </c>
      <c r="W3" s="35" t="s">
        <v>40</v>
      </c>
      <c r="X3" s="35">
        <v>6</v>
      </c>
      <c r="Y3" s="39" t="s">
        <v>41</v>
      </c>
      <c r="Z3" s="35" t="s">
        <v>49</v>
      </c>
      <c r="AA3" s="35" t="s">
        <v>43</v>
      </c>
      <c r="AB3" s="47">
        <v>4</v>
      </c>
      <c r="AC3" s="35" t="s">
        <v>38</v>
      </c>
      <c r="AD3" s="35" t="s">
        <v>38</v>
      </c>
      <c r="AE3" s="32" t="s">
        <v>54</v>
      </c>
      <c r="AF3" s="48">
        <f>O3-60</f>
        <v>44852</v>
      </c>
      <c r="AG3" s="35" t="s">
        <v>44</v>
      </c>
      <c r="AH3" s="35"/>
      <c r="AI3" s="10" t="str">
        <f>A3&amp;B3</f>
        <v>6000145796100</v>
      </c>
      <c r="AJ3" s="10" t="str">
        <f>D3&amp;AG3&amp;"APPROVEDINLINE"</f>
        <v>DC3728-003CNAPPROVEDINLINE</v>
      </c>
      <c r="AK3" s="10"/>
      <c r="AL3" s="50">
        <v>44945</v>
      </c>
      <c r="AM3" s="53" t="s">
        <v>50</v>
      </c>
      <c r="AN3" s="10" t="s">
        <v>45</v>
      </c>
    </row>
    <row r="4" spans="1:40" outlineLevel="1">
      <c r="A4" s="5"/>
      <c r="B4" s="5"/>
      <c r="C4" s="5"/>
      <c r="D4" s="5"/>
      <c r="E4" s="5"/>
      <c r="F4" s="5"/>
      <c r="G4" s="5"/>
      <c r="H4" s="5"/>
      <c r="I4" s="49"/>
      <c r="J4" s="3"/>
      <c r="K4" s="5"/>
      <c r="L4" s="5"/>
      <c r="M4" s="3"/>
      <c r="N4" s="3"/>
      <c r="O4" s="3"/>
      <c r="P4" s="3"/>
      <c r="Q4" s="3"/>
      <c r="R4" s="3"/>
      <c r="S4" s="5"/>
      <c r="T4" s="5"/>
      <c r="U4" s="12"/>
      <c r="V4" s="3"/>
      <c r="W4" s="5"/>
      <c r="X4" s="5"/>
      <c r="Y4" s="52"/>
      <c r="Z4" s="5"/>
      <c r="AA4" s="5"/>
      <c r="AB4" s="49"/>
      <c r="AC4" s="5"/>
      <c r="AD4" s="5"/>
      <c r="AE4" s="5"/>
      <c r="AF4" s="5"/>
      <c r="AG4" s="5"/>
      <c r="AH4" s="5"/>
      <c r="AI4" s="5"/>
      <c r="AJ4" s="5"/>
      <c r="AK4" s="5"/>
      <c r="AL4" s="17"/>
      <c r="AM4" s="51"/>
      <c r="AN4" s="51"/>
    </row>
    <row r="5" spans="1:40">
      <c r="A5" s="5"/>
      <c r="B5" s="5"/>
      <c r="C5" s="5"/>
      <c r="D5" s="5"/>
      <c r="E5" s="5"/>
      <c r="F5" s="5"/>
      <c r="G5" s="5"/>
      <c r="H5" s="5"/>
      <c r="I5" s="49"/>
      <c r="J5" s="3"/>
      <c r="K5" s="5"/>
      <c r="L5" s="5"/>
      <c r="M5" s="3"/>
      <c r="N5" s="3"/>
      <c r="O5" s="3"/>
      <c r="P5" s="3"/>
      <c r="Q5" s="3"/>
      <c r="R5" s="3"/>
      <c r="S5" s="5"/>
      <c r="T5" s="5"/>
      <c r="U5" s="12"/>
      <c r="V5" s="3"/>
      <c r="W5" s="5"/>
      <c r="X5" s="5"/>
      <c r="Y5" s="52"/>
      <c r="Z5" s="5"/>
      <c r="AA5" s="5"/>
      <c r="AB5" s="49"/>
      <c r="AC5" s="5"/>
      <c r="AD5" s="5"/>
      <c r="AE5" s="5"/>
      <c r="AF5" s="5"/>
      <c r="AG5" s="5"/>
      <c r="AH5" s="5"/>
      <c r="AI5" s="5"/>
      <c r="AJ5" s="5"/>
      <c r="AK5" s="5"/>
      <c r="AL5" s="17"/>
      <c r="AM5" s="51"/>
      <c r="AN5" s="51"/>
    </row>
    <row r="6" spans="1:40">
      <c r="A6" s="41"/>
      <c r="B6" s="42"/>
      <c r="D6" s="43"/>
      <c r="E6" s="44"/>
      <c r="F6" s="43"/>
      <c r="G6" s="41"/>
      <c r="H6" s="41"/>
      <c r="I6" s="42"/>
      <c r="J6" s="13"/>
      <c r="M6" s="13"/>
      <c r="O6" s="45"/>
      <c r="P6" s="13"/>
      <c r="Y6" s="43"/>
      <c r="Z6" s="44"/>
      <c r="AB6" s="18"/>
      <c r="AM6" s="46"/>
      <c r="AN6" s="44"/>
    </row>
    <row r="7" spans="1:40">
      <c r="A7" s="41"/>
      <c r="B7" s="42"/>
      <c r="D7" s="43"/>
      <c r="E7" s="44"/>
      <c r="F7" s="43"/>
      <c r="G7" s="41"/>
      <c r="H7" s="41"/>
      <c r="I7" s="42"/>
      <c r="J7" s="13"/>
      <c r="M7" s="13"/>
      <c r="O7" s="45"/>
      <c r="P7" s="13"/>
      <c r="S7" s="7"/>
      <c r="Y7" s="43"/>
      <c r="Z7" s="44"/>
      <c r="AB7" s="18"/>
      <c r="AM7" s="46"/>
      <c r="AN7" s="44"/>
    </row>
    <row r="8" spans="1:40">
      <c r="A8" s="41"/>
      <c r="B8" s="42"/>
      <c r="D8" s="43"/>
      <c r="E8" s="44"/>
      <c r="F8" s="43"/>
      <c r="G8" s="41"/>
      <c r="H8" s="41"/>
      <c r="I8" s="42"/>
      <c r="J8" s="13"/>
      <c r="M8" s="13"/>
      <c r="O8" s="45"/>
      <c r="P8" s="13"/>
      <c r="S8" s="7"/>
      <c r="Y8" s="43"/>
      <c r="Z8" s="44"/>
      <c r="AB8" s="18"/>
      <c r="AM8" s="46"/>
      <c r="AN8" s="44"/>
    </row>
    <row r="9" spans="1:40">
      <c r="A9" s="41"/>
      <c r="B9" s="42"/>
      <c r="D9" s="43"/>
      <c r="E9" s="44"/>
      <c r="F9" s="43"/>
      <c r="G9" s="41"/>
      <c r="H9" s="41"/>
      <c r="I9" s="42"/>
      <c r="J9" s="13"/>
      <c r="M9" s="13"/>
      <c r="O9" s="45"/>
      <c r="P9" s="13"/>
      <c r="S9" s="7"/>
      <c r="Y9" s="43"/>
      <c r="Z9" s="44"/>
      <c r="AB9" s="18"/>
      <c r="AM9" s="46"/>
      <c r="AN9" s="44"/>
    </row>
    <row r="10" spans="1:40">
      <c r="A10" s="41"/>
      <c r="B10" s="42"/>
      <c r="D10" s="43"/>
      <c r="E10" s="44"/>
      <c r="F10" s="43"/>
      <c r="G10" s="41"/>
      <c r="H10" s="41"/>
      <c r="I10" s="42"/>
      <c r="J10" s="13"/>
      <c r="M10" s="13"/>
      <c r="O10" s="45"/>
      <c r="P10" s="13"/>
      <c r="S10" s="7"/>
      <c r="Y10" s="43"/>
      <c r="Z10" s="44"/>
      <c r="AB10" s="18"/>
      <c r="AM10" s="46"/>
      <c r="AN10" s="44"/>
    </row>
    <row r="11" spans="1:40" s="2" customFormat="1">
      <c r="A11" s="41"/>
      <c r="B11" s="42"/>
      <c r="C11" s="7"/>
      <c r="D11" s="43"/>
      <c r="E11" s="44"/>
      <c r="F11" s="43"/>
      <c r="G11" s="41"/>
      <c r="H11" s="41"/>
      <c r="I11" s="42"/>
      <c r="J11" s="13"/>
      <c r="K11" s="7"/>
      <c r="L11" s="7"/>
      <c r="M11" s="13"/>
      <c r="N11" s="13"/>
      <c r="O11" s="45"/>
      <c r="P11" s="13"/>
      <c r="Q11" s="13"/>
      <c r="R11" s="13"/>
      <c r="S11" s="7"/>
      <c r="T11" s="7"/>
      <c r="U11" s="21"/>
      <c r="V11" s="22"/>
      <c r="W11" s="7"/>
      <c r="X11" s="7"/>
      <c r="Y11" s="43"/>
      <c r="Z11" s="44"/>
      <c r="AA11" s="7"/>
      <c r="AB11" s="18"/>
      <c r="AC11" s="7"/>
      <c r="AD11" s="7"/>
      <c r="AE11" s="7"/>
      <c r="AF11" s="7"/>
      <c r="AG11" s="7"/>
      <c r="AH11" s="7"/>
      <c r="AI11" s="7"/>
      <c r="AJ11" s="7"/>
      <c r="AK11" s="7"/>
      <c r="AL11" s="8"/>
      <c r="AM11" s="46"/>
      <c r="AN11" s="44"/>
    </row>
    <row r="12" spans="1:40">
      <c r="A12" s="41"/>
      <c r="B12" s="42"/>
      <c r="D12" s="43"/>
      <c r="E12" s="44"/>
      <c r="F12" s="43"/>
      <c r="G12" s="41"/>
      <c r="H12" s="41"/>
      <c r="I12" s="42"/>
      <c r="J12" s="13"/>
      <c r="M12" s="13"/>
      <c r="O12" s="45"/>
      <c r="P12" s="13"/>
      <c r="Y12" s="43"/>
      <c r="Z12" s="44"/>
      <c r="AB12" s="18"/>
      <c r="AM12" s="46"/>
      <c r="AN12" s="44"/>
    </row>
    <row r="13" spans="1:40">
      <c r="A13" s="41"/>
      <c r="B13" s="42"/>
      <c r="D13" s="43"/>
      <c r="E13" s="44"/>
      <c r="F13" s="43"/>
      <c r="G13" s="41"/>
      <c r="H13" s="41"/>
      <c r="I13" s="42"/>
      <c r="J13" s="13"/>
      <c r="M13" s="13"/>
      <c r="O13" s="45"/>
      <c r="P13" s="13"/>
      <c r="S13" s="7"/>
      <c r="Y13" s="43"/>
      <c r="Z13" s="44"/>
      <c r="AB13" s="18"/>
      <c r="AM13" s="46"/>
      <c r="AN13" s="44"/>
    </row>
    <row r="14" spans="1:40">
      <c r="A14" s="41"/>
      <c r="B14" s="42"/>
      <c r="D14" s="43"/>
      <c r="E14" s="44"/>
      <c r="F14" s="43"/>
      <c r="G14" s="41"/>
      <c r="H14" s="41"/>
      <c r="I14" s="42"/>
      <c r="J14" s="13"/>
      <c r="M14" s="13"/>
      <c r="O14" s="45"/>
      <c r="P14" s="13"/>
      <c r="Y14" s="43"/>
      <c r="Z14" s="44"/>
      <c r="AB14" s="18"/>
      <c r="AM14" s="46"/>
      <c r="AN14" s="44"/>
    </row>
    <row r="15" spans="1:40">
      <c r="A15" s="41"/>
      <c r="B15" s="42"/>
      <c r="D15" s="43"/>
      <c r="E15" s="44"/>
      <c r="F15" s="43"/>
      <c r="G15" s="41"/>
      <c r="H15" s="41"/>
      <c r="I15" s="42"/>
      <c r="J15" s="13"/>
      <c r="M15" s="13"/>
      <c r="O15" s="45"/>
      <c r="P15" s="13"/>
      <c r="Y15" s="43"/>
      <c r="Z15" s="44"/>
      <c r="AB15" s="18"/>
      <c r="AM15" s="46"/>
      <c r="AN15" s="44"/>
    </row>
    <row r="16" spans="1:40">
      <c r="A16" s="41"/>
      <c r="B16" s="42"/>
      <c r="D16" s="43"/>
      <c r="E16" s="44"/>
      <c r="F16" s="43"/>
      <c r="G16" s="41"/>
      <c r="H16" s="41"/>
      <c r="I16" s="42"/>
      <c r="J16" s="13"/>
      <c r="M16" s="13"/>
      <c r="O16" s="45"/>
      <c r="P16" s="13"/>
      <c r="S16" s="7"/>
      <c r="Y16" s="43"/>
      <c r="Z16" s="44"/>
      <c r="AB16" s="18"/>
      <c r="AM16" s="46"/>
      <c r="AN16" s="44"/>
    </row>
    <row r="17" spans="1:40">
      <c r="A17" s="41"/>
      <c r="B17" s="42"/>
      <c r="D17" s="43"/>
      <c r="E17" s="44"/>
      <c r="F17" s="43"/>
      <c r="G17" s="41"/>
      <c r="H17" s="41"/>
      <c r="I17" s="42"/>
      <c r="J17" s="13"/>
      <c r="M17" s="13"/>
      <c r="O17" s="45"/>
      <c r="P17" s="13"/>
      <c r="S17" s="20"/>
      <c r="T17" s="20"/>
      <c r="Y17" s="43"/>
      <c r="Z17" s="44"/>
      <c r="AB17" s="18"/>
      <c r="AH17" s="20"/>
      <c r="AM17" s="46"/>
      <c r="AN17" s="44"/>
    </row>
    <row r="18" spans="1:40">
      <c r="A18" s="41"/>
      <c r="B18" s="42"/>
      <c r="D18" s="43"/>
      <c r="E18" s="44"/>
      <c r="F18" s="43"/>
      <c r="G18" s="41"/>
      <c r="H18" s="41"/>
      <c r="I18" s="42"/>
      <c r="J18" s="13"/>
      <c r="M18" s="13"/>
      <c r="O18" s="45"/>
      <c r="P18" s="13"/>
      <c r="S18" s="6"/>
      <c r="T18" s="6"/>
      <c r="Y18" s="43"/>
      <c r="Z18" s="44"/>
      <c r="AB18" s="18"/>
      <c r="AH18" s="6"/>
      <c r="AM18" s="46"/>
      <c r="AN18" s="44"/>
    </row>
    <row r="19" spans="1:40">
      <c r="A19" s="41"/>
      <c r="B19" s="42"/>
      <c r="D19" s="43"/>
      <c r="E19" s="44"/>
      <c r="F19" s="43"/>
      <c r="G19" s="41"/>
      <c r="H19" s="41"/>
      <c r="I19" s="42"/>
      <c r="J19" s="13"/>
      <c r="M19" s="13"/>
      <c r="O19" s="45"/>
      <c r="P19" s="13"/>
      <c r="S19" s="6"/>
      <c r="T19" s="6"/>
      <c r="Y19" s="43"/>
      <c r="Z19" s="44"/>
      <c r="AB19" s="18"/>
      <c r="AH19" s="6"/>
      <c r="AM19" s="46"/>
      <c r="AN19" s="44"/>
    </row>
    <row r="20" spans="1:40">
      <c r="A20" s="41"/>
      <c r="B20" s="42"/>
      <c r="D20" s="43"/>
      <c r="E20" s="44"/>
      <c r="F20" s="43"/>
      <c r="G20" s="41"/>
      <c r="H20" s="43"/>
      <c r="I20" s="42"/>
      <c r="J20" s="13"/>
      <c r="M20" s="13"/>
      <c r="O20" s="45"/>
      <c r="P20" s="13"/>
      <c r="S20" s="6"/>
      <c r="T20" s="6"/>
      <c r="Y20" s="43"/>
      <c r="Z20" s="44"/>
      <c r="AB20" s="18"/>
      <c r="AF20" s="8"/>
      <c r="AH20" s="6"/>
      <c r="AM20" s="46"/>
      <c r="AN20" s="44"/>
    </row>
    <row r="21" spans="1:40">
      <c r="A21" s="41"/>
      <c r="B21" s="42"/>
      <c r="D21" s="43"/>
      <c r="E21" s="44"/>
      <c r="F21" s="43"/>
      <c r="G21" s="41"/>
      <c r="H21" s="43"/>
      <c r="I21" s="42"/>
      <c r="J21" s="13"/>
      <c r="M21" s="13"/>
      <c r="O21" s="45"/>
      <c r="P21" s="13"/>
      <c r="S21" s="7"/>
      <c r="Y21" s="43"/>
      <c r="Z21" s="44"/>
      <c r="AB21" s="18"/>
      <c r="AF21" s="8"/>
      <c r="AM21" s="46"/>
      <c r="AN21" s="44"/>
    </row>
    <row r="22" spans="1:40">
      <c r="A22" s="55"/>
      <c r="B22" s="56"/>
      <c r="C22" s="14"/>
      <c r="D22" s="57"/>
      <c r="E22" s="54"/>
      <c r="F22" s="57"/>
      <c r="G22" s="55"/>
      <c r="H22" s="57"/>
      <c r="I22" s="56"/>
      <c r="J22" s="15"/>
      <c r="K22" s="14"/>
      <c r="L22" s="14"/>
      <c r="M22" s="15"/>
      <c r="N22" s="15"/>
      <c r="O22" s="58"/>
      <c r="P22" s="15"/>
      <c r="Q22" s="15"/>
      <c r="R22" s="15"/>
      <c r="S22" s="14"/>
      <c r="T22" s="14"/>
      <c r="U22" s="16"/>
      <c r="V22" s="15"/>
      <c r="W22" s="14"/>
      <c r="X22" s="14"/>
      <c r="Y22" s="57"/>
      <c r="Z22" s="54"/>
      <c r="AA22" s="14"/>
      <c r="AB22" s="59"/>
      <c r="AC22" s="14"/>
      <c r="AD22" s="14"/>
      <c r="AE22" s="14"/>
      <c r="AF22" s="38"/>
      <c r="AG22" s="14"/>
      <c r="AH22" s="14"/>
      <c r="AI22" s="14"/>
      <c r="AJ22" s="14"/>
      <c r="AK22" s="14"/>
      <c r="AL22" s="38"/>
      <c r="AM22" s="54"/>
      <c r="AN22" s="54"/>
    </row>
    <row r="23" spans="1:40">
      <c r="A23" s="41"/>
      <c r="B23" s="42"/>
      <c r="D23" s="43"/>
      <c r="E23" s="44"/>
      <c r="F23" s="43"/>
      <c r="G23" s="41"/>
      <c r="H23" s="43"/>
      <c r="I23" s="42"/>
      <c r="J23" s="13"/>
      <c r="M23" s="13"/>
      <c r="O23" s="45"/>
      <c r="P23" s="13"/>
      <c r="S23" s="7"/>
      <c r="Y23" s="43"/>
      <c r="Z23" s="44"/>
      <c r="AB23" s="18"/>
      <c r="AM23" s="46"/>
      <c r="AN23" s="44"/>
    </row>
    <row r="24" spans="1:40">
      <c r="A24" s="41"/>
      <c r="B24" s="42"/>
      <c r="D24" s="43"/>
      <c r="E24" s="44"/>
      <c r="F24" s="43"/>
      <c r="G24" s="41"/>
      <c r="H24" s="43"/>
      <c r="I24" s="42"/>
      <c r="J24" s="13"/>
      <c r="M24" s="13"/>
      <c r="O24" s="45"/>
      <c r="P24" s="13"/>
      <c r="S24" s="7"/>
      <c r="Y24" s="43"/>
      <c r="Z24" s="44"/>
      <c r="AB24" s="18"/>
      <c r="AM24" s="46"/>
      <c r="AN24" s="44"/>
    </row>
    <row r="25" spans="1:40">
      <c r="A25" s="41"/>
      <c r="B25" s="42"/>
      <c r="D25" s="43"/>
      <c r="E25" s="44"/>
      <c r="F25" s="43"/>
      <c r="G25" s="41"/>
      <c r="H25" s="41"/>
      <c r="I25" s="42"/>
      <c r="J25" s="13"/>
      <c r="M25" s="13"/>
      <c r="O25" s="45"/>
      <c r="P25" s="13"/>
      <c r="S25" s="14"/>
      <c r="T25" s="14"/>
      <c r="U25" s="16"/>
      <c r="V25" s="15"/>
      <c r="Y25" s="43"/>
      <c r="Z25" s="44"/>
      <c r="AB25" s="18"/>
      <c r="AH25" s="14"/>
      <c r="AM25" s="46"/>
      <c r="AN25" s="44"/>
    </row>
    <row r="26" spans="1:40">
      <c r="A26" s="41"/>
      <c r="B26" s="42"/>
      <c r="D26" s="43"/>
      <c r="E26" s="44"/>
      <c r="F26" s="43"/>
      <c r="G26" s="41"/>
      <c r="H26" s="41"/>
      <c r="I26" s="42"/>
      <c r="J26" s="13"/>
      <c r="M26" s="13"/>
      <c r="O26" s="45"/>
      <c r="P26" s="13"/>
      <c r="S26" s="7"/>
      <c r="Y26" s="43"/>
      <c r="Z26" s="44"/>
      <c r="AB26" s="18"/>
      <c r="AM26" s="46"/>
      <c r="AN26" s="44"/>
    </row>
    <row r="27" spans="1:40">
      <c r="A27" s="41"/>
      <c r="B27" s="42"/>
      <c r="D27" s="43"/>
      <c r="E27" s="44"/>
      <c r="F27" s="43"/>
      <c r="G27" s="41"/>
      <c r="H27" s="41"/>
      <c r="I27" s="42"/>
      <c r="J27" s="13"/>
      <c r="M27" s="13"/>
      <c r="O27" s="45"/>
      <c r="P27" s="13"/>
      <c r="S27" s="7"/>
      <c r="Y27" s="43"/>
      <c r="Z27" s="44"/>
      <c r="AB27" s="18"/>
      <c r="AM27" s="46"/>
      <c r="AN27" s="44"/>
    </row>
    <row r="28" spans="1:40">
      <c r="A28" s="41"/>
      <c r="B28" s="42"/>
      <c r="D28" s="43"/>
      <c r="E28" s="44"/>
      <c r="F28" s="43"/>
      <c r="G28" s="41"/>
      <c r="H28" s="41"/>
      <c r="I28" s="42"/>
      <c r="J28" s="13"/>
      <c r="M28" s="13"/>
      <c r="O28" s="45"/>
      <c r="P28" s="13"/>
      <c r="S28" s="7"/>
      <c r="Y28" s="43"/>
      <c r="Z28" s="44"/>
      <c r="AB28" s="18"/>
      <c r="AM28" s="46"/>
      <c r="AN28" s="44"/>
    </row>
    <row r="29" spans="1:40">
      <c r="A29" s="41"/>
      <c r="B29" s="42"/>
      <c r="D29" s="43"/>
      <c r="E29" s="44"/>
      <c r="F29" s="43"/>
      <c r="G29" s="41"/>
      <c r="H29" s="41"/>
      <c r="I29" s="42"/>
      <c r="J29" s="13"/>
      <c r="M29" s="13"/>
      <c r="O29" s="45"/>
      <c r="P29" s="13"/>
      <c r="S29" s="7"/>
      <c r="Y29" s="43"/>
      <c r="Z29" s="44"/>
      <c r="AB29" s="18"/>
      <c r="AM29" s="46"/>
      <c r="AN29" s="44"/>
    </row>
    <row r="30" spans="1:40">
      <c r="A30" s="41"/>
      <c r="B30" s="42"/>
      <c r="D30" s="43"/>
      <c r="E30" s="44"/>
      <c r="F30" s="43"/>
      <c r="G30" s="41"/>
      <c r="H30" s="43"/>
      <c r="I30" s="42"/>
      <c r="J30" s="13"/>
      <c r="M30" s="13"/>
      <c r="O30" s="45"/>
      <c r="P30" s="13"/>
      <c r="S30" s="7"/>
      <c r="Y30" s="43"/>
      <c r="Z30" s="44"/>
      <c r="AB30" s="18"/>
      <c r="AM30" s="46"/>
      <c r="AN30" s="44"/>
    </row>
    <row r="31" spans="1:40">
      <c r="A31" s="41"/>
      <c r="B31" s="42"/>
      <c r="D31" s="43"/>
      <c r="E31" s="44"/>
      <c r="F31" s="43"/>
      <c r="G31" s="41"/>
      <c r="H31" s="41"/>
      <c r="I31" s="42"/>
      <c r="J31" s="13"/>
      <c r="M31" s="13"/>
      <c r="O31" s="45"/>
      <c r="P31" s="13"/>
      <c r="S31" s="7"/>
      <c r="Y31" s="43"/>
      <c r="Z31" s="44"/>
      <c r="AB31" s="18"/>
      <c r="AM31" s="46"/>
      <c r="AN31" s="44"/>
    </row>
    <row r="32" spans="1:40" s="37" customFormat="1">
      <c r="A32" s="41"/>
      <c r="B32" s="42"/>
      <c r="C32" s="7"/>
      <c r="D32" s="43"/>
      <c r="E32" s="44"/>
      <c r="F32" s="43"/>
      <c r="G32" s="41"/>
      <c r="H32" s="41"/>
      <c r="I32" s="42"/>
      <c r="J32" s="13"/>
      <c r="K32" s="7"/>
      <c r="L32" s="7"/>
      <c r="M32" s="13"/>
      <c r="N32" s="13"/>
      <c r="O32" s="45"/>
      <c r="P32" s="13"/>
      <c r="Q32" s="13"/>
      <c r="R32" s="13"/>
      <c r="S32" s="7"/>
      <c r="T32" s="7"/>
      <c r="U32" s="21"/>
      <c r="V32" s="22"/>
      <c r="W32" s="7"/>
      <c r="X32" s="7"/>
      <c r="Y32" s="43"/>
      <c r="Z32" s="44"/>
      <c r="AA32" s="7"/>
      <c r="AB32" s="18"/>
      <c r="AC32" s="7"/>
      <c r="AD32" s="7"/>
      <c r="AE32" s="7"/>
      <c r="AF32" s="7"/>
      <c r="AG32" s="7"/>
      <c r="AH32" s="7"/>
      <c r="AI32" s="7"/>
      <c r="AJ32" s="7"/>
      <c r="AK32" s="7"/>
      <c r="AL32" s="8"/>
      <c r="AM32" s="46"/>
      <c r="AN32" s="44"/>
    </row>
    <row r="33" spans="1:40">
      <c r="A33" s="41"/>
      <c r="B33" s="42"/>
      <c r="D33" s="43"/>
      <c r="E33" s="44"/>
      <c r="F33" s="43"/>
      <c r="G33" s="41"/>
      <c r="H33" s="41"/>
      <c r="I33" s="42"/>
      <c r="J33" s="13"/>
      <c r="M33" s="13"/>
      <c r="O33" s="45"/>
      <c r="P33" s="13"/>
      <c r="S33" s="7"/>
      <c r="Y33" s="43"/>
      <c r="Z33" s="44"/>
      <c r="AB33" s="18"/>
      <c r="AM33" s="46"/>
      <c r="AN33" s="44"/>
    </row>
    <row r="34" spans="1:40">
      <c r="A34" s="41"/>
      <c r="B34" s="42"/>
      <c r="D34" s="43"/>
      <c r="E34" s="44"/>
      <c r="F34" s="43"/>
      <c r="G34" s="41"/>
      <c r="H34" s="41"/>
      <c r="I34" s="42"/>
      <c r="J34" s="13"/>
      <c r="M34" s="13"/>
      <c r="O34" s="45"/>
      <c r="P34" s="13"/>
      <c r="S34" s="7"/>
      <c r="Y34" s="43"/>
      <c r="Z34" s="44"/>
      <c r="AB34" s="18"/>
      <c r="AM34" s="46"/>
      <c r="AN34" s="44"/>
    </row>
    <row r="35" spans="1:40">
      <c r="A35" s="41"/>
      <c r="B35" s="42"/>
      <c r="D35" s="43"/>
      <c r="E35" s="44"/>
      <c r="F35" s="43"/>
      <c r="G35" s="41"/>
      <c r="H35" s="41"/>
      <c r="I35" s="42"/>
      <c r="J35" s="13"/>
      <c r="M35" s="13"/>
      <c r="O35" s="45"/>
      <c r="P35" s="13"/>
      <c r="S35" s="7"/>
      <c r="Y35" s="43"/>
      <c r="Z35" s="44"/>
      <c r="AB35" s="18"/>
      <c r="AM35" s="46"/>
      <c r="AN35" s="44"/>
    </row>
    <row r="36" spans="1:40" s="19" customFormat="1">
      <c r="A36" s="41"/>
      <c r="B36" s="42"/>
      <c r="C36" s="7"/>
      <c r="D36" s="43"/>
      <c r="E36" s="44"/>
      <c r="F36" s="43"/>
      <c r="G36" s="41"/>
      <c r="H36" s="41"/>
      <c r="I36" s="42"/>
      <c r="J36" s="13"/>
      <c r="K36" s="7"/>
      <c r="L36" s="7"/>
      <c r="M36" s="13"/>
      <c r="N36" s="13"/>
      <c r="O36" s="45"/>
      <c r="P36" s="13"/>
      <c r="Q36" s="13"/>
      <c r="R36" s="13"/>
      <c r="S36" s="7"/>
      <c r="T36" s="7"/>
      <c r="U36" s="21"/>
      <c r="V36" s="22"/>
      <c r="W36" s="7"/>
      <c r="X36" s="7"/>
      <c r="Y36" s="43"/>
      <c r="Z36" s="44"/>
      <c r="AA36" s="7"/>
      <c r="AB36" s="18"/>
      <c r="AC36" s="7"/>
      <c r="AD36" s="7"/>
      <c r="AE36" s="7"/>
      <c r="AF36" s="7"/>
      <c r="AG36" s="7"/>
      <c r="AH36" s="7"/>
      <c r="AI36" s="7"/>
      <c r="AJ36" s="7"/>
      <c r="AK36" s="7"/>
      <c r="AL36" s="8"/>
      <c r="AM36" s="46"/>
      <c r="AN36" s="44"/>
    </row>
    <row r="37" spans="1:40" s="19" customFormat="1">
      <c r="A37" s="41"/>
      <c r="B37" s="42"/>
      <c r="C37" s="7"/>
      <c r="D37" s="43"/>
      <c r="E37" s="44"/>
      <c r="F37" s="43"/>
      <c r="G37" s="41"/>
      <c r="H37" s="41"/>
      <c r="I37" s="42"/>
      <c r="J37" s="13"/>
      <c r="K37" s="7"/>
      <c r="L37" s="7"/>
      <c r="M37" s="13"/>
      <c r="N37" s="13"/>
      <c r="O37" s="45"/>
      <c r="P37" s="13"/>
      <c r="Q37" s="13"/>
      <c r="R37" s="13"/>
      <c r="S37" s="7"/>
      <c r="T37" s="7"/>
      <c r="U37" s="21"/>
      <c r="V37" s="22"/>
      <c r="W37" s="7"/>
      <c r="X37" s="7"/>
      <c r="Y37" s="43"/>
      <c r="Z37" s="44"/>
      <c r="AA37" s="7"/>
      <c r="AB37" s="18"/>
      <c r="AC37" s="7"/>
      <c r="AD37" s="7"/>
      <c r="AE37" s="7"/>
      <c r="AF37" s="7"/>
      <c r="AG37" s="7"/>
      <c r="AH37" s="7"/>
      <c r="AI37" s="7"/>
      <c r="AJ37" s="7"/>
      <c r="AK37" s="7"/>
      <c r="AL37" s="8"/>
      <c r="AM37" s="46"/>
      <c r="AN37" s="44"/>
    </row>
    <row r="38" spans="1:40" s="19" customFormat="1">
      <c r="A38" s="41"/>
      <c r="B38" s="42"/>
      <c r="C38" s="7"/>
      <c r="D38" s="43"/>
      <c r="E38" s="44"/>
      <c r="F38" s="43"/>
      <c r="G38" s="41"/>
      <c r="H38" s="41"/>
      <c r="I38" s="42"/>
      <c r="J38" s="13"/>
      <c r="K38" s="7"/>
      <c r="L38" s="7"/>
      <c r="M38" s="13"/>
      <c r="N38" s="13"/>
      <c r="O38" s="45"/>
      <c r="P38" s="13"/>
      <c r="Q38" s="13"/>
      <c r="R38" s="13"/>
      <c r="S38" s="7"/>
      <c r="T38" s="7"/>
      <c r="U38" s="21"/>
      <c r="V38" s="22"/>
      <c r="W38" s="7"/>
      <c r="X38" s="7"/>
      <c r="Y38" s="43"/>
      <c r="Z38" s="44"/>
      <c r="AA38" s="7"/>
      <c r="AB38" s="18"/>
      <c r="AC38" s="7"/>
      <c r="AD38" s="7"/>
      <c r="AE38" s="7"/>
      <c r="AF38" s="7"/>
      <c r="AG38" s="7"/>
      <c r="AH38" s="7"/>
      <c r="AI38" s="7"/>
      <c r="AJ38" s="7"/>
      <c r="AK38" s="7"/>
      <c r="AL38" s="8"/>
      <c r="AM38" s="46"/>
      <c r="AN38" s="44"/>
    </row>
    <row r="39" spans="1:40" s="19" customFormat="1">
      <c r="A39" s="41"/>
      <c r="B39" s="42"/>
      <c r="C39" s="7"/>
      <c r="D39" s="43"/>
      <c r="E39" s="44"/>
      <c r="F39" s="43"/>
      <c r="G39" s="41"/>
      <c r="H39" s="41"/>
      <c r="I39" s="42"/>
      <c r="J39" s="13"/>
      <c r="K39" s="7"/>
      <c r="L39" s="7"/>
      <c r="M39" s="13"/>
      <c r="N39" s="13"/>
      <c r="O39" s="45"/>
      <c r="P39" s="13"/>
      <c r="Q39" s="13"/>
      <c r="R39" s="13"/>
      <c r="S39" s="7"/>
      <c r="T39" s="7"/>
      <c r="U39" s="21"/>
      <c r="V39" s="22"/>
      <c r="W39" s="7"/>
      <c r="X39" s="7"/>
      <c r="Y39" s="43"/>
      <c r="Z39" s="44"/>
      <c r="AA39" s="7"/>
      <c r="AB39" s="18"/>
      <c r="AC39" s="7"/>
      <c r="AD39" s="7"/>
      <c r="AE39" s="7"/>
      <c r="AF39" s="7"/>
      <c r="AG39" s="7"/>
      <c r="AH39" s="7"/>
      <c r="AI39" s="7"/>
      <c r="AJ39" s="7"/>
      <c r="AK39" s="7"/>
      <c r="AL39" s="8"/>
      <c r="AM39" s="46"/>
      <c r="AN39" s="44"/>
    </row>
    <row r="40" spans="1:40" s="19" customFormat="1">
      <c r="A40" s="41"/>
      <c r="B40" s="42"/>
      <c r="C40" s="7"/>
      <c r="D40" s="43"/>
      <c r="E40" s="44"/>
      <c r="F40" s="43"/>
      <c r="G40" s="41"/>
      <c r="H40" s="41"/>
      <c r="I40" s="42"/>
      <c r="J40" s="13"/>
      <c r="K40" s="7"/>
      <c r="L40" s="7"/>
      <c r="M40" s="13"/>
      <c r="N40" s="13"/>
      <c r="O40" s="45"/>
      <c r="P40" s="13"/>
      <c r="Q40" s="13"/>
      <c r="R40" s="13"/>
      <c r="S40" s="7"/>
      <c r="T40" s="7"/>
      <c r="U40" s="21"/>
      <c r="V40" s="22"/>
      <c r="W40" s="7"/>
      <c r="X40" s="7"/>
      <c r="Y40" s="43"/>
      <c r="Z40" s="44"/>
      <c r="AA40" s="7"/>
      <c r="AB40" s="18"/>
      <c r="AC40" s="7"/>
      <c r="AD40" s="7"/>
      <c r="AE40" s="7"/>
      <c r="AF40" s="7"/>
      <c r="AG40" s="7"/>
      <c r="AH40" s="7"/>
      <c r="AI40" s="7"/>
      <c r="AJ40" s="7"/>
      <c r="AK40" s="7"/>
      <c r="AL40" s="8"/>
      <c r="AM40" s="46"/>
      <c r="AN40" s="44"/>
    </row>
    <row r="41" spans="1:40" s="19" customFormat="1">
      <c r="A41" s="41"/>
      <c r="B41" s="42"/>
      <c r="C41" s="7"/>
      <c r="D41" s="43"/>
      <c r="E41" s="44"/>
      <c r="F41" s="43"/>
      <c r="G41" s="41"/>
      <c r="H41" s="41"/>
      <c r="I41" s="42"/>
      <c r="J41" s="13"/>
      <c r="K41" s="7"/>
      <c r="L41" s="7"/>
      <c r="M41" s="13"/>
      <c r="N41" s="13"/>
      <c r="O41" s="45"/>
      <c r="P41" s="13"/>
      <c r="Q41" s="13"/>
      <c r="R41" s="13"/>
      <c r="S41" s="7"/>
      <c r="T41" s="7"/>
      <c r="U41" s="21"/>
      <c r="V41" s="22"/>
      <c r="W41" s="7"/>
      <c r="X41" s="7"/>
      <c r="Y41" s="43"/>
      <c r="Z41" s="44"/>
      <c r="AA41" s="7"/>
      <c r="AB41" s="18"/>
      <c r="AC41" s="7"/>
      <c r="AD41" s="7"/>
      <c r="AE41" s="7"/>
      <c r="AF41" s="7"/>
      <c r="AG41" s="7"/>
      <c r="AH41" s="7"/>
      <c r="AI41" s="7"/>
      <c r="AJ41" s="7"/>
      <c r="AK41" s="7"/>
      <c r="AL41" s="8"/>
      <c r="AM41" s="46"/>
      <c r="AN41" s="44"/>
    </row>
    <row r="42" spans="1:40" s="19" customFormat="1">
      <c r="A42" s="41"/>
      <c r="B42" s="42"/>
      <c r="C42" s="7"/>
      <c r="D42" s="43"/>
      <c r="E42" s="44"/>
      <c r="F42" s="43"/>
      <c r="G42" s="41"/>
      <c r="H42" s="41"/>
      <c r="I42" s="42"/>
      <c r="J42" s="13"/>
      <c r="K42" s="7"/>
      <c r="L42" s="7"/>
      <c r="M42" s="13"/>
      <c r="N42" s="13"/>
      <c r="O42" s="45"/>
      <c r="P42" s="13"/>
      <c r="Q42" s="13"/>
      <c r="R42" s="13"/>
      <c r="S42" s="14"/>
      <c r="T42" s="14"/>
      <c r="U42" s="16"/>
      <c r="V42" s="15"/>
      <c r="W42" s="7"/>
      <c r="X42" s="7"/>
      <c r="Y42" s="43"/>
      <c r="Z42" s="44"/>
      <c r="AA42" s="7"/>
      <c r="AB42" s="18"/>
      <c r="AC42" s="7"/>
      <c r="AD42" s="7"/>
      <c r="AE42" s="7"/>
      <c r="AF42" s="7"/>
      <c r="AG42" s="7"/>
      <c r="AH42" s="14"/>
      <c r="AI42" s="7"/>
      <c r="AJ42" s="7"/>
      <c r="AK42" s="7"/>
      <c r="AL42" s="8"/>
      <c r="AM42" s="46"/>
      <c r="AN42" s="44"/>
    </row>
    <row r="43" spans="1:40" s="19" customFormat="1">
      <c r="A43" s="41"/>
      <c r="B43" s="42"/>
      <c r="C43" s="7"/>
      <c r="D43" s="43"/>
      <c r="E43" s="44"/>
      <c r="F43" s="43"/>
      <c r="G43" s="41"/>
      <c r="H43" s="41"/>
      <c r="I43" s="42"/>
      <c r="J43" s="13"/>
      <c r="K43" s="7"/>
      <c r="L43" s="7"/>
      <c r="M43" s="13"/>
      <c r="N43" s="13"/>
      <c r="O43" s="45"/>
      <c r="P43" s="13"/>
      <c r="Q43" s="13"/>
      <c r="R43" s="13"/>
      <c r="S43" s="7"/>
      <c r="T43" s="7"/>
      <c r="U43" s="21"/>
      <c r="V43" s="22"/>
      <c r="W43" s="7"/>
      <c r="X43" s="7"/>
      <c r="Y43" s="43"/>
      <c r="Z43" s="44"/>
      <c r="AA43" s="7"/>
      <c r="AB43" s="18"/>
      <c r="AC43" s="7"/>
      <c r="AD43" s="7"/>
      <c r="AE43" s="7"/>
      <c r="AF43" s="7"/>
      <c r="AG43" s="7"/>
      <c r="AH43" s="7"/>
      <c r="AI43" s="7"/>
      <c r="AJ43" s="7"/>
      <c r="AK43" s="7"/>
      <c r="AL43" s="8"/>
      <c r="AM43" s="46"/>
      <c r="AN43" s="44"/>
    </row>
    <row r="44" spans="1:40" s="19" customFormat="1">
      <c r="A44" s="41"/>
      <c r="B44" s="42"/>
      <c r="C44" s="7"/>
      <c r="D44" s="43"/>
      <c r="E44" s="44"/>
      <c r="F44" s="43"/>
      <c r="G44" s="41"/>
      <c r="H44" s="41"/>
      <c r="I44" s="42"/>
      <c r="J44" s="13"/>
      <c r="K44" s="7"/>
      <c r="L44" s="7"/>
      <c r="M44" s="13"/>
      <c r="N44" s="13"/>
      <c r="O44" s="45"/>
      <c r="P44" s="13"/>
      <c r="Q44" s="13"/>
      <c r="R44" s="13"/>
      <c r="S44" s="7"/>
      <c r="T44" s="7"/>
      <c r="U44" s="21"/>
      <c r="V44" s="22"/>
      <c r="W44" s="7"/>
      <c r="X44" s="7"/>
      <c r="Y44" s="43"/>
      <c r="Z44" s="44"/>
      <c r="AA44" s="7"/>
      <c r="AB44" s="18"/>
      <c r="AC44" s="7"/>
      <c r="AD44" s="7"/>
      <c r="AE44" s="7"/>
      <c r="AF44" s="7"/>
      <c r="AG44" s="7"/>
      <c r="AH44" s="7"/>
      <c r="AI44" s="7"/>
      <c r="AJ44" s="7"/>
      <c r="AK44" s="7"/>
      <c r="AL44" s="8"/>
      <c r="AM44" s="46"/>
      <c r="AN44" s="44"/>
    </row>
    <row r="45" spans="1:40">
      <c r="A45" s="41"/>
      <c r="B45" s="42"/>
      <c r="D45" s="43"/>
      <c r="E45" s="44"/>
      <c r="F45" s="43"/>
      <c r="G45" s="41"/>
      <c r="H45" s="41"/>
      <c r="I45" s="42"/>
      <c r="J45" s="13"/>
      <c r="M45" s="13"/>
      <c r="O45" s="45"/>
      <c r="P45" s="13"/>
      <c r="S45" s="7"/>
      <c r="Y45" s="43"/>
      <c r="Z45" s="44"/>
      <c r="AB45" s="18"/>
      <c r="AM45" s="46"/>
      <c r="AN45" s="44"/>
    </row>
    <row r="46" spans="1:40">
      <c r="A46" s="55"/>
      <c r="B46" s="56"/>
      <c r="C46" s="14"/>
      <c r="D46" s="57"/>
      <c r="E46" s="54"/>
      <c r="F46" s="57"/>
      <c r="G46" s="55"/>
      <c r="H46" s="55"/>
      <c r="I46" s="56"/>
      <c r="J46" s="15"/>
      <c r="K46" s="14"/>
      <c r="L46" s="14"/>
      <c r="M46" s="15"/>
      <c r="N46" s="15"/>
      <c r="O46" s="58"/>
      <c r="P46" s="15"/>
      <c r="Q46" s="15"/>
      <c r="R46" s="15"/>
      <c r="S46" s="14"/>
      <c r="T46" s="14"/>
      <c r="U46" s="16"/>
      <c r="V46" s="15"/>
      <c r="W46" s="14"/>
      <c r="X46" s="14"/>
      <c r="Y46" s="57"/>
      <c r="Z46" s="54"/>
      <c r="AA46" s="14"/>
      <c r="AB46" s="59"/>
      <c r="AC46" s="14"/>
      <c r="AD46" s="14"/>
      <c r="AE46" s="14"/>
      <c r="AF46" s="14"/>
      <c r="AG46" s="14"/>
      <c r="AH46" s="14"/>
      <c r="AI46" s="14"/>
      <c r="AJ46" s="14"/>
      <c r="AK46" s="14"/>
      <c r="AL46" s="38"/>
      <c r="AM46" s="54"/>
      <c r="AN46" s="54"/>
    </row>
    <row r="47" spans="1:40">
      <c r="A47" s="41"/>
      <c r="B47" s="42"/>
      <c r="D47" s="43"/>
      <c r="E47" s="44"/>
      <c r="F47" s="43"/>
      <c r="G47" s="41"/>
      <c r="H47" s="43"/>
      <c r="I47" s="42"/>
      <c r="J47" s="13"/>
      <c r="M47" s="13"/>
      <c r="O47" s="45"/>
      <c r="P47" s="13"/>
      <c r="S47" s="7"/>
      <c r="Y47" s="43"/>
      <c r="Z47" s="44"/>
      <c r="AB47" s="18"/>
      <c r="AM47" s="46"/>
      <c r="AN47" s="44"/>
    </row>
    <row r="48" spans="1:40">
      <c r="A48" s="41"/>
      <c r="B48" s="42"/>
      <c r="D48" s="43"/>
      <c r="E48" s="44"/>
      <c r="F48" s="43"/>
      <c r="G48" s="41"/>
      <c r="H48" s="43"/>
      <c r="I48" s="42"/>
      <c r="J48" s="13"/>
      <c r="M48" s="13"/>
      <c r="O48" s="45"/>
      <c r="P48" s="13"/>
      <c r="S48" s="7"/>
      <c r="Y48" s="43"/>
      <c r="Z48" s="44"/>
      <c r="AB48" s="18"/>
      <c r="AM48" s="46"/>
      <c r="AN48" s="44"/>
    </row>
    <row r="49" spans="1:40">
      <c r="A49" s="41"/>
      <c r="B49" s="42"/>
      <c r="D49" s="43"/>
      <c r="E49" s="44"/>
      <c r="F49" s="43"/>
      <c r="G49" s="41"/>
      <c r="H49" s="41"/>
      <c r="I49" s="42"/>
      <c r="J49" s="13"/>
      <c r="M49" s="13"/>
      <c r="O49" s="45"/>
      <c r="P49" s="13"/>
      <c r="S49" s="7"/>
      <c r="Y49" s="43"/>
      <c r="Z49" s="44"/>
      <c r="AB49" s="18"/>
      <c r="AM49" s="46"/>
      <c r="AN49" s="44"/>
    </row>
    <row r="50" spans="1:40">
      <c r="A50" s="41"/>
      <c r="B50" s="42"/>
      <c r="D50" s="43"/>
      <c r="E50" s="44"/>
      <c r="F50" s="43"/>
      <c r="G50" s="41"/>
      <c r="H50" s="41"/>
      <c r="I50" s="42"/>
      <c r="J50" s="13"/>
      <c r="M50" s="13"/>
      <c r="O50" s="45"/>
      <c r="P50" s="13"/>
      <c r="S50" s="7"/>
      <c r="Y50" s="43"/>
      <c r="Z50" s="44"/>
      <c r="AB50" s="18"/>
      <c r="AM50" s="46"/>
      <c r="AN50" s="44"/>
    </row>
    <row r="51" spans="1:40">
      <c r="A51" s="41"/>
      <c r="B51" s="42"/>
      <c r="D51" s="43"/>
      <c r="E51" s="44"/>
      <c r="F51" s="43"/>
      <c r="G51" s="41"/>
      <c r="H51" s="41"/>
      <c r="I51" s="42"/>
      <c r="J51" s="13"/>
      <c r="M51" s="13"/>
      <c r="O51" s="45"/>
      <c r="P51" s="13"/>
      <c r="S51" s="7"/>
      <c r="Y51" s="43"/>
      <c r="Z51" s="44"/>
      <c r="AB51" s="18"/>
      <c r="AM51" s="46"/>
      <c r="AN51" s="44"/>
    </row>
    <row r="52" spans="1:40">
      <c r="A52" s="41"/>
      <c r="B52" s="42"/>
      <c r="D52" s="43"/>
      <c r="E52" s="44"/>
      <c r="F52" s="43"/>
      <c r="G52" s="41"/>
      <c r="H52" s="41"/>
      <c r="I52" s="42"/>
      <c r="J52" s="13"/>
      <c r="M52" s="13"/>
      <c r="O52" s="45"/>
      <c r="P52" s="13"/>
      <c r="S52" s="7"/>
      <c r="Y52" s="43"/>
      <c r="Z52" s="44"/>
      <c r="AB52" s="18"/>
      <c r="AM52" s="46"/>
      <c r="AN52" s="44"/>
    </row>
    <row r="53" spans="1:40">
      <c r="A53" s="41"/>
      <c r="B53" s="42"/>
      <c r="D53" s="43"/>
      <c r="E53" s="44"/>
      <c r="F53" s="43"/>
      <c r="G53" s="41"/>
      <c r="H53" s="41"/>
      <c r="I53" s="42"/>
      <c r="J53" s="13"/>
      <c r="M53" s="13"/>
      <c r="O53" s="45"/>
      <c r="P53" s="13"/>
      <c r="S53" s="7"/>
      <c r="Y53" s="43"/>
      <c r="Z53" s="44"/>
      <c r="AB53" s="18"/>
      <c r="AM53" s="46"/>
      <c r="AN53" s="44"/>
    </row>
    <row r="54" spans="1:40">
      <c r="A54" s="41"/>
      <c r="B54" s="42"/>
      <c r="D54" s="43"/>
      <c r="E54" s="44"/>
      <c r="F54" s="43"/>
      <c r="G54" s="41"/>
      <c r="H54" s="41"/>
      <c r="I54" s="42"/>
      <c r="J54" s="13"/>
      <c r="M54" s="13"/>
      <c r="O54" s="45"/>
      <c r="P54" s="13"/>
      <c r="S54" s="7"/>
      <c r="Y54" s="43"/>
      <c r="Z54" s="44"/>
      <c r="AB54" s="18"/>
      <c r="AM54" s="46"/>
      <c r="AN54" s="44"/>
    </row>
    <row r="55" spans="1:40">
      <c r="A55" s="41"/>
      <c r="B55" s="42"/>
      <c r="D55" s="43"/>
      <c r="E55" s="46"/>
      <c r="F55" s="43"/>
      <c r="G55" s="41"/>
      <c r="H55" s="41"/>
      <c r="I55" s="42"/>
      <c r="J55" s="13"/>
      <c r="M55" s="13"/>
      <c r="O55" s="45"/>
      <c r="P55" s="13"/>
      <c r="S55" s="7"/>
      <c r="Y55" s="43"/>
      <c r="Z55" s="44"/>
      <c r="AB55" s="18"/>
      <c r="AM55" s="46"/>
      <c r="AN55" s="44"/>
    </row>
    <row r="56" spans="1:40">
      <c r="A56" s="41"/>
      <c r="B56" s="42"/>
      <c r="D56" s="43"/>
      <c r="E56" s="44"/>
      <c r="F56" s="43"/>
      <c r="G56" s="41"/>
      <c r="H56" s="41"/>
      <c r="I56" s="42"/>
      <c r="J56" s="13"/>
      <c r="M56" s="13"/>
      <c r="O56" s="45"/>
      <c r="P56" s="13"/>
      <c r="Y56" s="43"/>
      <c r="Z56" s="44"/>
      <c r="AB56" s="18"/>
      <c r="AM56" s="46"/>
      <c r="AN56" s="44"/>
    </row>
    <row r="57" spans="1:40">
      <c r="A57" s="41"/>
      <c r="B57" s="42"/>
      <c r="D57" s="43"/>
      <c r="E57" s="44"/>
      <c r="F57" s="43"/>
      <c r="G57" s="41"/>
      <c r="H57" s="41"/>
      <c r="I57" s="42"/>
      <c r="J57" s="13"/>
      <c r="M57" s="13"/>
      <c r="O57" s="45"/>
      <c r="P57" s="13"/>
      <c r="Y57" s="43"/>
      <c r="Z57" s="44"/>
      <c r="AB57" s="18"/>
      <c r="AM57" s="46"/>
      <c r="AN57" s="44"/>
    </row>
    <row r="58" spans="1:40">
      <c r="A58" s="41"/>
      <c r="B58" s="42"/>
      <c r="D58" s="43"/>
      <c r="E58" s="44"/>
      <c r="F58" s="43"/>
      <c r="G58" s="41"/>
      <c r="H58" s="41"/>
      <c r="I58" s="42"/>
      <c r="J58" s="13"/>
      <c r="M58" s="13"/>
      <c r="O58" s="45"/>
      <c r="P58" s="13"/>
      <c r="S58" s="7"/>
      <c r="Y58" s="43"/>
      <c r="Z58" s="44"/>
      <c r="AB58" s="18"/>
      <c r="AM58" s="46"/>
      <c r="AN58" s="44"/>
    </row>
    <row r="59" spans="1:40">
      <c r="A59" s="55"/>
      <c r="B59" s="56"/>
      <c r="C59" s="14"/>
      <c r="D59" s="57"/>
      <c r="E59" s="54"/>
      <c r="F59" s="57"/>
      <c r="G59" s="55"/>
      <c r="H59" s="55"/>
      <c r="I59" s="56"/>
      <c r="J59" s="15"/>
      <c r="K59" s="14"/>
      <c r="L59" s="14"/>
      <c r="M59" s="15"/>
      <c r="N59" s="15"/>
      <c r="O59" s="58"/>
      <c r="P59" s="15"/>
      <c r="Q59" s="15"/>
      <c r="R59" s="15"/>
      <c r="S59" s="14"/>
      <c r="T59" s="14"/>
      <c r="U59" s="16"/>
      <c r="V59" s="15"/>
      <c r="W59" s="14"/>
      <c r="X59" s="14"/>
      <c r="Y59" s="57"/>
      <c r="Z59" s="54"/>
      <c r="AA59" s="14"/>
      <c r="AB59" s="59"/>
      <c r="AC59" s="14"/>
      <c r="AD59" s="14"/>
      <c r="AE59" s="14"/>
      <c r="AF59" s="14"/>
      <c r="AG59" s="14"/>
      <c r="AH59" s="14"/>
      <c r="AI59" s="14"/>
      <c r="AJ59" s="14"/>
      <c r="AK59" s="14"/>
      <c r="AL59" s="38"/>
      <c r="AM59" s="54"/>
      <c r="AN59" s="54"/>
    </row>
    <row r="60" spans="1:40">
      <c r="A60" s="41"/>
      <c r="B60" s="42"/>
      <c r="D60" s="43"/>
      <c r="E60" s="44"/>
      <c r="F60" s="43"/>
      <c r="G60" s="41"/>
      <c r="H60" s="43"/>
      <c r="I60" s="42"/>
      <c r="J60" s="13"/>
      <c r="M60" s="13"/>
      <c r="O60" s="45"/>
      <c r="P60" s="13"/>
      <c r="S60" s="7"/>
      <c r="Y60" s="43"/>
      <c r="Z60" s="44"/>
      <c r="AB60" s="18"/>
      <c r="AM60" s="46"/>
      <c r="AN60" s="44"/>
    </row>
    <row r="61" spans="1:40">
      <c r="F61" s="43"/>
      <c r="G61" s="41"/>
      <c r="H61" s="18"/>
      <c r="I61" s="42"/>
      <c r="J61" s="13"/>
      <c r="M61" s="13"/>
      <c r="O61" s="45"/>
      <c r="P61" s="13"/>
      <c r="S61" s="7"/>
      <c r="Y61" s="43"/>
      <c r="Z61" s="44"/>
      <c r="AB61" s="18"/>
      <c r="AL61" s="40"/>
      <c r="AM61" s="46"/>
    </row>
    <row r="62" spans="1:40">
      <c r="F62" s="43"/>
      <c r="G62" s="41"/>
      <c r="H62" s="18"/>
      <c r="I62" s="42"/>
      <c r="J62" s="13"/>
      <c r="M62" s="13"/>
      <c r="O62" s="45"/>
      <c r="P62" s="13"/>
      <c r="S62" s="7"/>
      <c r="Y62" s="43"/>
      <c r="Z62" s="44"/>
      <c r="AB62" s="18"/>
      <c r="AL62" s="40"/>
      <c r="AM62" s="46"/>
    </row>
    <row r="63" spans="1:40" s="2" customFormat="1">
      <c r="A63" s="41"/>
      <c r="B63" s="42"/>
      <c r="C63" s="7"/>
      <c r="D63" s="43"/>
      <c r="E63" s="44"/>
      <c r="F63" s="43"/>
      <c r="G63" s="41"/>
      <c r="H63" s="41"/>
      <c r="I63" s="42"/>
      <c r="J63" s="13"/>
      <c r="K63" s="7"/>
      <c r="L63" s="7"/>
      <c r="M63" s="13"/>
      <c r="N63" s="13"/>
      <c r="O63" s="45"/>
      <c r="P63" s="13"/>
      <c r="Q63" s="13"/>
      <c r="R63" s="13"/>
      <c r="S63" s="7"/>
      <c r="T63" s="7"/>
      <c r="U63" s="21"/>
      <c r="V63" s="22"/>
      <c r="W63" s="7"/>
      <c r="X63" s="7"/>
      <c r="Y63" s="43"/>
      <c r="Z63" s="44"/>
      <c r="AA63" s="7"/>
      <c r="AB63" s="18"/>
      <c r="AC63" s="7"/>
      <c r="AD63" s="7"/>
      <c r="AE63" s="7"/>
      <c r="AF63" s="7"/>
      <c r="AG63" s="7"/>
      <c r="AH63" s="7"/>
      <c r="AI63" s="7"/>
      <c r="AJ63" s="7"/>
      <c r="AK63" s="7"/>
      <c r="AL63" s="8"/>
      <c r="AM63" s="46"/>
      <c r="AN63" s="44"/>
    </row>
    <row r="64" spans="1:40">
      <c r="A64" s="41"/>
      <c r="B64" s="42"/>
      <c r="D64" s="43"/>
      <c r="E64" s="44"/>
      <c r="F64" s="43"/>
      <c r="G64" s="41"/>
      <c r="H64" s="41"/>
      <c r="I64" s="42"/>
      <c r="J64" s="13"/>
      <c r="M64" s="13"/>
      <c r="O64" s="45"/>
      <c r="P64" s="13"/>
      <c r="S64" s="7"/>
      <c r="Y64" s="43"/>
      <c r="Z64" s="44"/>
      <c r="AB64" s="18"/>
      <c r="AM64" s="46"/>
      <c r="AN64" s="44"/>
    </row>
    <row r="65" spans="1:40">
      <c r="A65" s="41"/>
      <c r="B65" s="42"/>
      <c r="D65" s="43"/>
      <c r="E65" s="44"/>
      <c r="F65" s="43"/>
      <c r="G65" s="41"/>
      <c r="H65" s="41"/>
      <c r="I65" s="42"/>
      <c r="J65" s="13"/>
      <c r="M65" s="13"/>
      <c r="O65" s="45"/>
      <c r="P65" s="13"/>
      <c r="S65" s="7"/>
      <c r="Y65" s="43"/>
      <c r="Z65" s="44"/>
      <c r="AB65" s="18"/>
      <c r="AM65" s="46"/>
      <c r="AN65" s="44"/>
    </row>
    <row r="66" spans="1:40">
      <c r="A66" s="41"/>
      <c r="B66" s="42"/>
      <c r="D66" s="43"/>
      <c r="E66" s="44"/>
      <c r="F66" s="43"/>
      <c r="G66" s="41"/>
      <c r="H66" s="41"/>
      <c r="I66" s="42"/>
      <c r="J66" s="13"/>
      <c r="M66" s="13"/>
      <c r="O66" s="45"/>
      <c r="P66" s="13"/>
      <c r="S66" s="7"/>
      <c r="Y66" s="43"/>
      <c r="Z66" s="44"/>
      <c r="AB66" s="18"/>
      <c r="AM66" s="46"/>
      <c r="AN66" s="44"/>
    </row>
    <row r="67" spans="1:40">
      <c r="A67" s="41"/>
      <c r="B67" s="42"/>
      <c r="D67" s="43"/>
      <c r="E67" s="44"/>
      <c r="F67" s="43"/>
      <c r="G67" s="41"/>
      <c r="H67" s="41"/>
      <c r="I67" s="42"/>
      <c r="J67" s="13"/>
      <c r="M67" s="13"/>
      <c r="O67" s="45"/>
      <c r="P67" s="13"/>
      <c r="S67" s="7"/>
      <c r="Y67" s="43"/>
      <c r="Z67" s="44"/>
      <c r="AB67" s="18"/>
      <c r="AM67" s="46"/>
      <c r="AN67" s="44"/>
    </row>
    <row r="68" spans="1:40">
      <c r="A68" s="55"/>
      <c r="B68" s="56"/>
      <c r="C68" s="14"/>
      <c r="D68" s="57"/>
      <c r="E68" s="54"/>
      <c r="F68" s="57"/>
      <c r="G68" s="55"/>
      <c r="H68" s="55"/>
      <c r="I68" s="56"/>
      <c r="J68" s="15"/>
      <c r="K68" s="14"/>
      <c r="L68" s="14"/>
      <c r="M68" s="15"/>
      <c r="N68" s="15"/>
      <c r="O68" s="58"/>
      <c r="P68" s="15"/>
      <c r="Q68" s="15"/>
      <c r="R68" s="15"/>
      <c r="S68" s="14"/>
      <c r="T68" s="14"/>
      <c r="U68" s="16"/>
      <c r="V68" s="15"/>
      <c r="W68" s="14"/>
      <c r="X68" s="14"/>
      <c r="Y68" s="57"/>
      <c r="Z68" s="54"/>
      <c r="AA68" s="14"/>
      <c r="AB68" s="59"/>
      <c r="AC68" s="14"/>
      <c r="AD68" s="14"/>
      <c r="AE68" s="14"/>
      <c r="AF68" s="14"/>
      <c r="AG68" s="14"/>
      <c r="AH68" s="14"/>
      <c r="AI68" s="14"/>
      <c r="AJ68" s="14"/>
      <c r="AK68" s="14"/>
      <c r="AL68" s="38"/>
      <c r="AM68" s="54"/>
      <c r="AN68" s="54"/>
    </row>
    <row r="69" spans="1:40">
      <c r="A69" s="41"/>
      <c r="B69" s="42"/>
      <c r="D69" s="43"/>
      <c r="E69" s="44"/>
      <c r="F69" s="43"/>
      <c r="G69" s="41"/>
      <c r="I69" s="42"/>
      <c r="J69" s="13"/>
      <c r="M69" s="9"/>
      <c r="O69" s="45"/>
      <c r="P69" s="13"/>
      <c r="Z69" s="44"/>
      <c r="AI69" s="6"/>
      <c r="AL69" s="60"/>
    </row>
    <row r="70" spans="1:40">
      <c r="A70" s="41"/>
      <c r="B70" s="42"/>
      <c r="D70" s="43"/>
      <c r="E70" s="44"/>
      <c r="F70" s="43"/>
      <c r="G70" s="41"/>
      <c r="I70" s="42"/>
      <c r="J70" s="13"/>
      <c r="M70" s="9"/>
      <c r="O70" s="45"/>
      <c r="P70" s="13"/>
      <c r="Z70" s="44"/>
      <c r="AI70" s="6"/>
      <c r="AL70" s="60"/>
    </row>
    <row r="71" spans="1:40">
      <c r="A71" s="41"/>
      <c r="B71" s="42"/>
      <c r="D71" s="43"/>
      <c r="E71" s="44"/>
      <c r="F71" s="43"/>
      <c r="G71" s="41"/>
      <c r="I71" s="42"/>
      <c r="J71" s="13"/>
      <c r="M71" s="9"/>
      <c r="O71" s="45"/>
      <c r="P71" s="13"/>
      <c r="Z71" s="44"/>
      <c r="AI71" s="6"/>
      <c r="AL71" s="60"/>
    </row>
    <row r="72" spans="1:40">
      <c r="A72" s="41"/>
      <c r="B72" s="42"/>
      <c r="D72" s="43"/>
      <c r="E72" s="44"/>
      <c r="F72" s="43"/>
      <c r="G72" s="41"/>
      <c r="I72" s="42"/>
      <c r="J72" s="13"/>
      <c r="M72" s="9"/>
      <c r="O72" s="45"/>
      <c r="P72" s="13"/>
      <c r="Z72" s="44"/>
      <c r="AI72" s="6"/>
      <c r="AL72" s="60"/>
    </row>
    <row r="73" spans="1:40">
      <c r="A73" s="41"/>
      <c r="B73" s="42"/>
      <c r="D73" s="43"/>
      <c r="E73" s="44"/>
      <c r="F73" s="43"/>
      <c r="G73" s="41"/>
      <c r="I73" s="42"/>
      <c r="J73" s="13"/>
      <c r="M73" s="9"/>
      <c r="O73" s="45"/>
      <c r="P73" s="13"/>
      <c r="Z73" s="44"/>
      <c r="AI73" s="6"/>
      <c r="AL73" s="60"/>
    </row>
    <row r="74" spans="1:40">
      <c r="A74" s="55"/>
      <c r="B74" s="56"/>
      <c r="C74" s="14"/>
      <c r="D74" s="57"/>
      <c r="E74" s="54"/>
      <c r="F74" s="57"/>
      <c r="G74" s="55"/>
      <c r="H74" s="14"/>
      <c r="I74" s="56"/>
      <c r="J74" s="15"/>
      <c r="K74" s="14"/>
      <c r="L74" s="14"/>
      <c r="M74" s="15"/>
      <c r="N74" s="15"/>
      <c r="O74" s="58"/>
      <c r="P74" s="15"/>
      <c r="Q74" s="15"/>
      <c r="R74" s="15"/>
      <c r="S74" s="15"/>
      <c r="T74" s="14"/>
      <c r="U74" s="16"/>
      <c r="V74" s="15"/>
      <c r="W74" s="14"/>
      <c r="X74" s="14"/>
      <c r="Y74" s="14"/>
      <c r="Z74" s="5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61"/>
      <c r="AM74" s="14"/>
      <c r="AN74" s="14"/>
    </row>
    <row r="75" spans="1:40">
      <c r="A75" s="55"/>
      <c r="B75" s="56"/>
      <c r="C75" s="14"/>
      <c r="D75" s="57"/>
      <c r="E75" s="54"/>
      <c r="F75" s="57"/>
      <c r="G75" s="55"/>
      <c r="H75" s="14"/>
      <c r="I75" s="56"/>
      <c r="J75" s="15"/>
      <c r="K75" s="14"/>
      <c r="L75" s="14"/>
      <c r="M75" s="15"/>
      <c r="N75" s="15"/>
      <c r="O75" s="58"/>
      <c r="P75" s="15"/>
      <c r="Q75" s="15"/>
      <c r="R75" s="15"/>
      <c r="S75" s="15"/>
      <c r="T75" s="14"/>
      <c r="U75" s="16"/>
      <c r="V75" s="15"/>
      <c r="W75" s="14"/>
      <c r="X75" s="14"/>
      <c r="Y75" s="14"/>
      <c r="Z75" s="5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61"/>
      <c r="AM75" s="14"/>
      <c r="AN75" s="14"/>
    </row>
    <row r="78" spans="1:40">
      <c r="D78" s="43"/>
      <c r="E78" s="44"/>
      <c r="F78" s="43"/>
      <c r="G78" s="41"/>
      <c r="H78" s="41"/>
      <c r="I78" s="42"/>
      <c r="J78" s="13"/>
      <c r="M78" s="13"/>
      <c r="P78" s="13"/>
      <c r="S78" s="9"/>
      <c r="T78" s="6"/>
      <c r="Y78" s="43"/>
      <c r="Z78" s="44"/>
      <c r="AB78" s="18"/>
      <c r="AH78" s="6"/>
      <c r="AM78" s="46"/>
      <c r="AN78" s="44"/>
    </row>
    <row r="79" spans="1:40">
      <c r="D79" s="43"/>
      <c r="E79" s="44"/>
      <c r="F79" s="43"/>
      <c r="G79" s="41"/>
      <c r="H79" s="41"/>
      <c r="I79" s="42"/>
      <c r="J79" s="13"/>
      <c r="M79" s="13"/>
      <c r="P79" s="13"/>
      <c r="S79" s="7"/>
      <c r="Y79" s="43"/>
      <c r="Z79" s="44"/>
      <c r="AB79" s="18"/>
      <c r="AM79" s="46"/>
      <c r="AN79" s="44"/>
    </row>
    <row r="80" spans="1:40">
      <c r="D80" s="43"/>
      <c r="E80" s="44"/>
      <c r="F80" s="43"/>
      <c r="G80" s="41"/>
      <c r="H80" s="41"/>
      <c r="I80" s="42"/>
      <c r="J80" s="13"/>
      <c r="M80" s="13"/>
      <c r="P80" s="13"/>
      <c r="S80" s="9"/>
      <c r="T80" s="6"/>
      <c r="Y80" s="43"/>
      <c r="Z80" s="44"/>
      <c r="AB80" s="18"/>
      <c r="AH80" s="6"/>
      <c r="AM80" s="46"/>
      <c r="AN80" s="44"/>
    </row>
    <row r="81" spans="1:40">
      <c r="D81" s="43"/>
      <c r="E81" s="44"/>
      <c r="F81" s="43"/>
      <c r="G81" s="41"/>
      <c r="H81" s="41"/>
      <c r="I81" s="42"/>
      <c r="J81" s="13"/>
      <c r="M81" s="13"/>
      <c r="P81" s="13"/>
      <c r="S81" s="15"/>
      <c r="T81" s="14"/>
      <c r="Y81" s="43"/>
      <c r="Z81" s="44"/>
      <c r="AB81" s="18"/>
      <c r="AH81" s="14"/>
      <c r="AM81" s="46"/>
      <c r="AN81" s="44"/>
    </row>
    <row r="82" spans="1:40">
      <c r="D82" s="43"/>
      <c r="E82" s="44"/>
      <c r="F82" s="43"/>
      <c r="G82" s="41"/>
      <c r="H82" s="41"/>
      <c r="I82" s="42"/>
      <c r="J82" s="13"/>
      <c r="M82" s="13"/>
      <c r="P82" s="13"/>
      <c r="S82" s="7"/>
      <c r="Y82" s="43"/>
      <c r="Z82" s="44"/>
      <c r="AB82" s="18"/>
      <c r="AM82" s="46"/>
      <c r="AN82" s="44"/>
    </row>
    <row r="83" spans="1:40">
      <c r="A83" s="41"/>
      <c r="B83" s="42"/>
      <c r="D83" s="43"/>
      <c r="E83" s="44"/>
      <c r="F83" s="43"/>
      <c r="G83" s="41"/>
      <c r="H83" s="41"/>
      <c r="I83" s="42"/>
      <c r="J83" s="13"/>
      <c r="M83" s="13"/>
      <c r="P83" s="13"/>
      <c r="S83" s="7"/>
      <c r="Y83" s="43"/>
      <c r="Z83" s="44"/>
      <c r="AB83" s="18"/>
      <c r="AM83" s="46"/>
      <c r="AN83" s="44"/>
    </row>
    <row r="84" spans="1:40">
      <c r="A84" s="41"/>
      <c r="B84" s="42"/>
      <c r="D84" s="43"/>
      <c r="E84" s="44"/>
      <c r="F84" s="43"/>
      <c r="G84" s="41"/>
      <c r="H84" s="41"/>
      <c r="I84" s="42"/>
      <c r="J84" s="13"/>
      <c r="M84" s="13"/>
      <c r="P84" s="13"/>
      <c r="S84" s="7"/>
      <c r="Y84" s="43"/>
      <c r="Z84" s="44"/>
      <c r="AB84" s="18"/>
      <c r="AM84" s="46"/>
      <c r="AN84" s="44"/>
    </row>
    <row r="85" spans="1:40">
      <c r="A85" s="41"/>
      <c r="B85" s="42"/>
      <c r="D85" s="43"/>
      <c r="E85" s="44"/>
      <c r="F85" s="43"/>
      <c r="G85" s="41"/>
      <c r="H85" s="41"/>
      <c r="I85" s="42"/>
      <c r="J85" s="13"/>
      <c r="M85" s="13"/>
      <c r="P85" s="13"/>
      <c r="S85" s="7"/>
      <c r="Y85" s="43"/>
      <c r="Z85" s="44"/>
      <c r="AB85" s="18"/>
      <c r="AM85" s="46"/>
      <c r="AN85" s="44"/>
    </row>
    <row r="86" spans="1:40">
      <c r="A86" s="41"/>
      <c r="B86" s="42"/>
      <c r="D86" s="43"/>
      <c r="E86" s="44"/>
      <c r="F86" s="43"/>
      <c r="G86" s="41"/>
      <c r="H86" s="41"/>
      <c r="I86" s="42"/>
      <c r="J86" s="13"/>
      <c r="M86" s="13"/>
      <c r="P86" s="13"/>
      <c r="Y86" s="43"/>
      <c r="Z86" s="44"/>
      <c r="AB86" s="18"/>
      <c r="AM86" s="46"/>
      <c r="AN86" s="44"/>
    </row>
    <row r="87" spans="1:40">
      <c r="A87" s="41"/>
      <c r="B87" s="42"/>
      <c r="D87" s="43"/>
      <c r="E87" s="44"/>
      <c r="F87" s="43"/>
      <c r="G87" s="41"/>
      <c r="H87" s="41"/>
      <c r="I87" s="42"/>
      <c r="J87" s="13"/>
      <c r="M87" s="13"/>
      <c r="P87" s="13"/>
      <c r="Y87" s="43"/>
      <c r="Z87" s="44"/>
      <c r="AB87" s="18"/>
      <c r="AM87" s="46"/>
      <c r="AN87" s="44"/>
    </row>
    <row r="88" spans="1:40" s="2" customFormat="1">
      <c r="A88" s="41"/>
      <c r="B88" s="42"/>
      <c r="C88" s="7"/>
      <c r="D88" s="43"/>
      <c r="E88" s="44"/>
      <c r="F88" s="43"/>
      <c r="G88" s="41"/>
      <c r="H88" s="41"/>
      <c r="I88" s="42"/>
      <c r="J88" s="13"/>
      <c r="K88" s="7"/>
      <c r="L88" s="7"/>
      <c r="M88" s="13"/>
      <c r="N88" s="13"/>
      <c r="O88" s="13"/>
      <c r="P88" s="13"/>
      <c r="Q88" s="13"/>
      <c r="R88" s="13"/>
      <c r="S88" s="13"/>
      <c r="T88" s="7"/>
      <c r="U88" s="21"/>
      <c r="V88" s="22"/>
      <c r="W88" s="7"/>
      <c r="X88" s="7"/>
      <c r="Y88" s="43"/>
      <c r="Z88" s="44"/>
      <c r="AA88" s="7"/>
      <c r="AB88" s="18"/>
      <c r="AC88" s="7"/>
      <c r="AD88" s="7"/>
      <c r="AE88" s="7"/>
      <c r="AF88" s="7"/>
      <c r="AG88" s="7"/>
      <c r="AH88" s="7"/>
      <c r="AI88" s="7"/>
      <c r="AJ88" s="7"/>
      <c r="AK88" s="7"/>
      <c r="AL88" s="8"/>
      <c r="AM88" s="46"/>
      <c r="AN88" s="44"/>
    </row>
    <row r="89" spans="1:40">
      <c r="A89" s="41"/>
      <c r="B89" s="42"/>
      <c r="D89" s="43"/>
      <c r="E89" s="44"/>
      <c r="F89" s="43"/>
      <c r="G89" s="41"/>
      <c r="H89" s="41"/>
      <c r="I89" s="42"/>
      <c r="J89" s="13"/>
      <c r="M89" s="13"/>
      <c r="P89" s="13"/>
      <c r="S89" s="7"/>
      <c r="Y89" s="43"/>
      <c r="Z89" s="44"/>
      <c r="AB89" s="18"/>
      <c r="AM89" s="46"/>
      <c r="AN89" s="44"/>
    </row>
    <row r="90" spans="1:40">
      <c r="A90" s="41"/>
      <c r="B90" s="42"/>
      <c r="D90" s="43"/>
      <c r="E90" s="44"/>
      <c r="F90" s="43"/>
      <c r="G90" s="41"/>
      <c r="H90" s="41"/>
      <c r="I90" s="42"/>
      <c r="J90" s="13"/>
      <c r="M90" s="13"/>
      <c r="P90" s="13"/>
      <c r="S90" s="7"/>
      <c r="Y90" s="43"/>
      <c r="Z90" s="44"/>
      <c r="AB90" s="18"/>
      <c r="AM90" s="46"/>
      <c r="AN90" s="44"/>
    </row>
    <row r="91" spans="1:40">
      <c r="A91" s="41"/>
      <c r="B91" s="42"/>
      <c r="D91" s="43"/>
      <c r="E91" s="44"/>
      <c r="F91" s="43"/>
      <c r="G91" s="41"/>
      <c r="H91" s="41"/>
      <c r="I91" s="42"/>
      <c r="J91" s="13"/>
      <c r="M91" s="13"/>
      <c r="P91" s="13"/>
      <c r="S91" s="7"/>
      <c r="Y91" s="43"/>
      <c r="Z91" s="44"/>
      <c r="AB91" s="18"/>
      <c r="AM91" s="46"/>
      <c r="AN91" s="44"/>
    </row>
    <row r="92" spans="1:40">
      <c r="A92" s="41"/>
      <c r="B92" s="42"/>
      <c r="D92" s="43"/>
      <c r="E92" s="44"/>
      <c r="F92" s="43"/>
      <c r="G92" s="41"/>
      <c r="H92" s="41"/>
      <c r="I92" s="42"/>
      <c r="J92" s="13"/>
      <c r="M92" s="13"/>
      <c r="P92" s="13"/>
      <c r="S92" s="14"/>
      <c r="T92" s="14"/>
      <c r="Y92" s="43"/>
      <c r="Z92" s="44"/>
      <c r="AB92" s="18"/>
      <c r="AH92" s="14"/>
      <c r="AM92" s="46"/>
      <c r="AN92" s="44"/>
    </row>
    <row r="93" spans="1:40">
      <c r="A93" s="41"/>
      <c r="B93" s="42"/>
      <c r="D93" s="43"/>
      <c r="E93" s="44"/>
      <c r="F93" s="43"/>
      <c r="G93" s="41"/>
      <c r="H93" s="41"/>
      <c r="I93" s="42"/>
      <c r="J93" s="13"/>
      <c r="M93" s="13"/>
      <c r="P93" s="13"/>
      <c r="S93" s="7"/>
      <c r="Y93" s="43"/>
      <c r="Z93" s="44"/>
      <c r="AB93" s="18"/>
      <c r="AM93" s="46"/>
      <c r="AN93" s="44"/>
    </row>
    <row r="94" spans="1:40">
      <c r="A94" s="41"/>
      <c r="B94" s="42"/>
      <c r="D94" s="43"/>
      <c r="E94" s="44"/>
      <c r="F94" s="43"/>
      <c r="G94" s="41"/>
      <c r="H94" s="41"/>
      <c r="I94" s="42"/>
      <c r="J94" s="13"/>
      <c r="M94" s="13"/>
      <c r="P94" s="13"/>
      <c r="Y94" s="43"/>
      <c r="Z94" s="44"/>
      <c r="AB94" s="18"/>
      <c r="AM94" s="46"/>
      <c r="AN94" s="44"/>
    </row>
    <row r="95" spans="1:40" s="2" customFormat="1">
      <c r="A95" s="41"/>
      <c r="B95" s="42"/>
      <c r="C95" s="7"/>
      <c r="D95" s="43"/>
      <c r="E95" s="44"/>
      <c r="F95" s="43"/>
      <c r="G95" s="41"/>
      <c r="H95" s="43"/>
      <c r="I95" s="42"/>
      <c r="J95" s="13"/>
      <c r="K95" s="7"/>
      <c r="L95" s="7"/>
      <c r="M95" s="13"/>
      <c r="N95" s="13"/>
      <c r="O95" s="13"/>
      <c r="P95" s="13"/>
      <c r="Q95" s="13"/>
      <c r="R95" s="13"/>
      <c r="S95" s="13"/>
      <c r="T95" s="7"/>
      <c r="U95" s="21"/>
      <c r="V95" s="22"/>
      <c r="W95" s="7"/>
      <c r="X95" s="7"/>
      <c r="Y95" s="43"/>
      <c r="Z95" s="44"/>
      <c r="AA95" s="7"/>
      <c r="AB95" s="18"/>
      <c r="AC95" s="7"/>
      <c r="AD95" s="7"/>
      <c r="AE95" s="7"/>
      <c r="AF95" s="7"/>
      <c r="AG95" s="7"/>
      <c r="AH95" s="7"/>
      <c r="AI95" s="7"/>
      <c r="AJ95" s="7"/>
      <c r="AK95" s="7"/>
      <c r="AL95" s="8"/>
      <c r="AM95" s="46"/>
      <c r="AN95" s="44"/>
    </row>
    <row r="96" spans="1:40">
      <c r="A96" s="41"/>
      <c r="B96" s="42"/>
      <c r="D96" s="43"/>
      <c r="E96" s="44"/>
      <c r="F96" s="43"/>
      <c r="G96" s="41"/>
      <c r="H96" s="43"/>
      <c r="I96" s="42"/>
      <c r="J96" s="13"/>
      <c r="M96" s="13"/>
      <c r="P96" s="13"/>
      <c r="S96" s="7"/>
      <c r="Y96" s="43"/>
      <c r="Z96" s="44"/>
      <c r="AB96" s="18"/>
      <c r="AM96" s="46"/>
      <c r="AN96" s="44"/>
    </row>
    <row r="97" spans="1:40">
      <c r="A97" s="41"/>
      <c r="B97" s="42"/>
      <c r="D97" s="43"/>
      <c r="E97" s="44"/>
      <c r="F97" s="43"/>
      <c r="G97" s="41"/>
      <c r="H97" s="43"/>
      <c r="I97" s="42"/>
      <c r="J97" s="13"/>
      <c r="M97" s="13"/>
      <c r="P97" s="13"/>
      <c r="S97" s="7"/>
      <c r="Y97" s="43"/>
      <c r="Z97" s="44"/>
      <c r="AB97" s="18"/>
      <c r="AM97" s="46"/>
      <c r="AN97" s="44"/>
    </row>
    <row r="98" spans="1:40">
      <c r="A98" s="41"/>
      <c r="B98" s="42"/>
      <c r="D98" s="43"/>
      <c r="E98" s="44"/>
      <c r="F98" s="43"/>
      <c r="G98" s="41"/>
      <c r="H98" s="41"/>
      <c r="I98" s="42"/>
      <c r="J98" s="13"/>
      <c r="M98" s="13"/>
      <c r="P98" s="13"/>
      <c r="S98" s="7"/>
      <c r="Y98" s="43"/>
      <c r="Z98" s="44"/>
      <c r="AB98" s="18"/>
      <c r="AM98" s="46"/>
      <c r="AN98" s="44"/>
    </row>
    <row r="99" spans="1:40">
      <c r="A99" s="41"/>
      <c r="B99" s="42"/>
      <c r="D99" s="43"/>
      <c r="E99" s="44"/>
      <c r="F99" s="43"/>
      <c r="G99" s="41"/>
      <c r="H99" s="41"/>
      <c r="I99" s="42"/>
      <c r="J99" s="13"/>
      <c r="M99" s="13"/>
      <c r="P99" s="13"/>
      <c r="S99" s="14"/>
      <c r="T99" s="14"/>
      <c r="Y99" s="43"/>
      <c r="Z99" s="44"/>
      <c r="AB99" s="18"/>
      <c r="AH99" s="14"/>
      <c r="AM99" s="46"/>
      <c r="AN99" s="44"/>
    </row>
    <row r="100" spans="1:40">
      <c r="A100" s="41"/>
      <c r="B100" s="42"/>
      <c r="D100" s="43"/>
      <c r="E100" s="44"/>
      <c r="F100" s="43"/>
      <c r="G100" s="41"/>
      <c r="H100" s="41"/>
      <c r="I100" s="42"/>
      <c r="J100" s="13"/>
      <c r="M100" s="13"/>
      <c r="P100" s="13"/>
      <c r="S100" s="7"/>
      <c r="Y100" s="43"/>
      <c r="Z100" s="44"/>
      <c r="AB100" s="18"/>
      <c r="AM100" s="46"/>
      <c r="AN100" s="44"/>
    </row>
    <row r="101" spans="1:40">
      <c r="A101" s="41"/>
      <c r="B101" s="42"/>
      <c r="D101" s="43"/>
      <c r="E101" s="44"/>
      <c r="F101" s="43"/>
      <c r="G101" s="41"/>
      <c r="H101" s="41"/>
      <c r="I101" s="42"/>
      <c r="J101" s="13"/>
      <c r="M101" s="13"/>
      <c r="P101" s="13"/>
      <c r="S101" s="7"/>
      <c r="Y101" s="43"/>
      <c r="Z101" s="44"/>
      <c r="AB101" s="18"/>
      <c r="AM101" s="46"/>
      <c r="AN101" s="44"/>
    </row>
    <row r="102" spans="1:40">
      <c r="A102" s="41"/>
      <c r="B102" s="42"/>
      <c r="D102" s="43"/>
      <c r="E102" s="44"/>
      <c r="F102" s="43"/>
      <c r="G102" s="41"/>
      <c r="H102" s="41"/>
      <c r="I102" s="42"/>
      <c r="J102" s="13"/>
      <c r="M102" s="13"/>
      <c r="P102" s="13"/>
      <c r="Y102" s="43"/>
      <c r="Z102" s="44"/>
      <c r="AB102" s="18"/>
      <c r="AM102" s="46"/>
      <c r="AN102" s="44"/>
    </row>
    <row r="103" spans="1:40">
      <c r="A103" s="41"/>
      <c r="B103" s="42"/>
      <c r="D103" s="43"/>
      <c r="E103" s="44"/>
      <c r="F103" s="43"/>
      <c r="G103" s="41"/>
      <c r="H103" s="41"/>
      <c r="I103" s="42"/>
      <c r="J103" s="13"/>
      <c r="M103" s="13"/>
      <c r="P103" s="13"/>
      <c r="Y103" s="43"/>
      <c r="Z103" s="44"/>
      <c r="AB103" s="18"/>
      <c r="AM103" s="46"/>
      <c r="AN103" s="44"/>
    </row>
    <row r="104" spans="1:40">
      <c r="A104" s="41"/>
      <c r="B104" s="42"/>
      <c r="D104" s="43"/>
      <c r="E104" s="44"/>
      <c r="F104" s="43"/>
      <c r="G104" s="41"/>
      <c r="H104" s="41"/>
      <c r="I104" s="42"/>
      <c r="J104" s="13"/>
      <c r="M104" s="13"/>
      <c r="P104" s="13"/>
      <c r="Y104" s="43"/>
      <c r="Z104" s="44"/>
      <c r="AB104" s="18"/>
      <c r="AM104" s="46"/>
      <c r="AN104" s="44"/>
    </row>
    <row r="105" spans="1:40" s="2" customFormat="1">
      <c r="A105" s="41"/>
      <c r="B105" s="42"/>
      <c r="C105" s="7"/>
      <c r="D105" s="43"/>
      <c r="E105" s="44"/>
      <c r="F105" s="43"/>
      <c r="G105" s="41"/>
      <c r="H105" s="41"/>
      <c r="I105" s="42"/>
      <c r="J105" s="13"/>
      <c r="K105" s="7"/>
      <c r="L105" s="7"/>
      <c r="M105" s="13"/>
      <c r="N105" s="13"/>
      <c r="O105" s="13"/>
      <c r="P105" s="13"/>
      <c r="Q105" s="13"/>
      <c r="R105" s="13"/>
      <c r="S105" s="13"/>
      <c r="T105" s="7"/>
      <c r="U105" s="21"/>
      <c r="V105" s="22"/>
      <c r="W105" s="7"/>
      <c r="X105" s="7"/>
      <c r="Y105" s="43"/>
      <c r="Z105" s="44"/>
      <c r="AA105" s="7"/>
      <c r="AB105" s="18"/>
      <c r="AC105" s="7"/>
      <c r="AD105" s="7"/>
      <c r="AE105" s="7"/>
      <c r="AF105" s="7"/>
      <c r="AG105" s="7"/>
      <c r="AH105" s="7"/>
      <c r="AI105" s="7"/>
      <c r="AJ105" s="7"/>
      <c r="AK105" s="7"/>
      <c r="AL105" s="8"/>
      <c r="AM105" s="46"/>
      <c r="AN105" s="44"/>
    </row>
    <row r="106" spans="1:40" s="2" customFormat="1">
      <c r="A106" s="41"/>
      <c r="B106" s="42"/>
      <c r="C106" s="7"/>
      <c r="D106" s="43"/>
      <c r="E106" s="44"/>
      <c r="F106" s="43"/>
      <c r="G106" s="41"/>
      <c r="H106" s="41"/>
      <c r="I106" s="42"/>
      <c r="J106" s="13"/>
      <c r="K106" s="7"/>
      <c r="L106" s="7"/>
      <c r="M106" s="13"/>
      <c r="N106" s="13"/>
      <c r="O106" s="13"/>
      <c r="P106" s="13"/>
      <c r="Q106" s="13"/>
      <c r="R106" s="13"/>
      <c r="S106" s="13"/>
      <c r="T106" s="7"/>
      <c r="U106" s="21"/>
      <c r="V106" s="22"/>
      <c r="W106" s="7"/>
      <c r="X106" s="7"/>
      <c r="Y106" s="43"/>
      <c r="Z106" s="44"/>
      <c r="AA106" s="7"/>
      <c r="AB106" s="18"/>
      <c r="AC106" s="7"/>
      <c r="AD106" s="7"/>
      <c r="AE106" s="7"/>
      <c r="AF106" s="7"/>
      <c r="AG106" s="7"/>
      <c r="AH106" s="7"/>
      <c r="AI106" s="7"/>
      <c r="AJ106" s="7"/>
      <c r="AK106" s="7"/>
      <c r="AL106" s="8"/>
      <c r="AM106" s="46"/>
      <c r="AN106" s="44"/>
    </row>
    <row r="107" spans="1:40">
      <c r="A107" s="41"/>
      <c r="B107" s="42"/>
      <c r="D107" s="43"/>
      <c r="E107" s="44"/>
      <c r="F107" s="43"/>
      <c r="G107" s="41"/>
      <c r="H107" s="41"/>
      <c r="I107" s="42"/>
      <c r="J107" s="13"/>
      <c r="M107" s="13"/>
      <c r="P107" s="13"/>
      <c r="S107" s="7"/>
      <c r="Y107" s="43"/>
      <c r="Z107" s="44"/>
      <c r="AB107" s="18"/>
      <c r="AM107" s="46"/>
      <c r="AN107" s="44"/>
    </row>
    <row r="108" spans="1:40">
      <c r="A108" s="41"/>
      <c r="B108" s="42"/>
      <c r="D108" s="43"/>
      <c r="E108" s="44"/>
      <c r="F108" s="43"/>
      <c r="G108" s="41"/>
      <c r="H108" s="41"/>
      <c r="I108" s="42"/>
      <c r="J108" s="13"/>
      <c r="M108" s="13"/>
      <c r="P108" s="13"/>
      <c r="S108" s="7"/>
      <c r="Y108" s="43"/>
      <c r="Z108" s="44"/>
      <c r="AB108" s="18"/>
      <c r="AM108" s="46"/>
      <c r="AN108" s="44"/>
    </row>
    <row r="109" spans="1:40">
      <c r="A109" s="41"/>
      <c r="B109" s="42"/>
      <c r="D109" s="43"/>
      <c r="E109" s="44"/>
      <c r="F109" s="43"/>
      <c r="G109" s="41"/>
      <c r="H109" s="43"/>
      <c r="I109" s="42"/>
      <c r="J109" s="13"/>
      <c r="M109" s="13"/>
      <c r="P109" s="13"/>
      <c r="S109" s="14"/>
      <c r="T109" s="14"/>
      <c r="Y109" s="43"/>
      <c r="Z109" s="44"/>
      <c r="AB109" s="18"/>
      <c r="AH109" s="14"/>
      <c r="AM109" s="46"/>
      <c r="AN109" s="44"/>
    </row>
    <row r="110" spans="1:40">
      <c r="A110" s="41"/>
      <c r="B110" s="42"/>
      <c r="D110" s="43"/>
      <c r="E110" s="44"/>
      <c r="F110" s="43"/>
      <c r="G110" s="41"/>
      <c r="H110" s="41"/>
      <c r="I110" s="42"/>
      <c r="J110" s="13"/>
      <c r="M110" s="13"/>
      <c r="P110" s="13"/>
      <c r="S110" s="14"/>
      <c r="T110" s="14"/>
      <c r="Y110" s="43"/>
      <c r="Z110" s="44"/>
      <c r="AB110" s="18"/>
      <c r="AH110" s="14"/>
      <c r="AM110" s="46"/>
      <c r="AN110" s="44"/>
    </row>
    <row r="111" spans="1:40">
      <c r="A111" s="41"/>
      <c r="B111" s="42"/>
      <c r="D111" s="43"/>
      <c r="E111" s="44"/>
      <c r="F111" s="43"/>
      <c r="G111" s="41"/>
      <c r="H111" s="41"/>
      <c r="I111" s="42"/>
      <c r="J111" s="13"/>
      <c r="M111" s="13"/>
      <c r="P111" s="13"/>
      <c r="Y111" s="43"/>
      <c r="Z111" s="44"/>
      <c r="AB111" s="18"/>
      <c r="AM111" s="46"/>
      <c r="AN111" s="44"/>
    </row>
    <row r="112" spans="1:40">
      <c r="A112" s="41"/>
      <c r="B112" s="42"/>
      <c r="D112" s="43"/>
      <c r="E112" s="44"/>
      <c r="F112" s="43"/>
      <c r="G112" s="41"/>
      <c r="H112" s="41"/>
      <c r="I112" s="42"/>
      <c r="J112" s="13"/>
      <c r="M112" s="13"/>
      <c r="P112" s="13"/>
      <c r="Y112" s="43"/>
      <c r="Z112" s="44"/>
      <c r="AB112" s="18"/>
      <c r="AM112" s="46"/>
      <c r="AN112" s="44"/>
    </row>
    <row r="113" spans="1:40">
      <c r="A113" s="41"/>
      <c r="B113" s="42"/>
      <c r="D113" s="43"/>
      <c r="E113" s="44"/>
      <c r="F113" s="43"/>
      <c r="G113" s="41"/>
      <c r="H113" s="41"/>
      <c r="I113" s="42"/>
      <c r="J113" s="13"/>
      <c r="M113" s="13"/>
      <c r="P113" s="13"/>
      <c r="Y113" s="43"/>
      <c r="Z113" s="44"/>
      <c r="AB113" s="18"/>
      <c r="AM113" s="46"/>
      <c r="AN113" s="44"/>
    </row>
    <row r="114" spans="1:40">
      <c r="A114" s="41"/>
      <c r="B114" s="42"/>
      <c r="D114" s="43"/>
      <c r="E114" s="44"/>
      <c r="F114" s="43"/>
      <c r="G114" s="41"/>
      <c r="H114" s="41"/>
      <c r="I114" s="42"/>
      <c r="J114" s="13"/>
      <c r="M114" s="13"/>
      <c r="P114" s="13"/>
      <c r="Y114" s="43"/>
      <c r="Z114" s="44"/>
      <c r="AB114" s="18"/>
      <c r="AM114" s="46"/>
      <c r="AN114" s="44"/>
    </row>
    <row r="115" spans="1:40">
      <c r="A115" s="41"/>
      <c r="B115" s="42"/>
      <c r="D115" s="43"/>
      <c r="E115" s="44"/>
      <c r="F115" s="43"/>
      <c r="G115" s="41"/>
      <c r="H115" s="41"/>
      <c r="I115" s="42"/>
      <c r="J115" s="13"/>
      <c r="M115" s="13"/>
      <c r="P115" s="13"/>
      <c r="Y115" s="43"/>
      <c r="Z115" s="44"/>
      <c r="AB115" s="18"/>
      <c r="AM115" s="46"/>
      <c r="AN115" s="46"/>
    </row>
    <row r="116" spans="1:40">
      <c r="A116" s="41"/>
      <c r="B116" s="42"/>
      <c r="D116" s="43"/>
      <c r="E116" s="44"/>
      <c r="F116" s="43"/>
      <c r="G116" s="41"/>
      <c r="H116" s="41"/>
      <c r="I116" s="42"/>
      <c r="J116" s="13"/>
      <c r="M116" s="13"/>
      <c r="P116" s="13"/>
      <c r="Y116" s="43"/>
      <c r="Z116" s="44"/>
      <c r="AB116" s="18"/>
      <c r="AM116" s="46"/>
      <c r="AN116" s="44"/>
    </row>
    <row r="117" spans="1:40">
      <c r="A117" s="41"/>
      <c r="B117" s="42"/>
      <c r="D117" s="43"/>
      <c r="E117" s="44"/>
      <c r="F117" s="43"/>
      <c r="G117" s="41"/>
      <c r="H117" s="41"/>
      <c r="I117" s="42"/>
      <c r="J117" s="13"/>
      <c r="M117" s="13"/>
      <c r="P117" s="13"/>
      <c r="Y117" s="43"/>
      <c r="Z117" s="44"/>
      <c r="AB117" s="18"/>
      <c r="AM117" s="46"/>
      <c r="AN117" s="44"/>
    </row>
    <row r="118" spans="1:40">
      <c r="A118" s="41"/>
      <c r="B118" s="42"/>
      <c r="D118" s="43"/>
      <c r="E118" s="44"/>
      <c r="F118" s="43"/>
      <c r="G118" s="41"/>
      <c r="H118" s="41"/>
      <c r="I118" s="42"/>
      <c r="J118" s="13"/>
      <c r="M118" s="13"/>
      <c r="P118" s="13"/>
      <c r="Y118" s="43"/>
      <c r="Z118" s="44"/>
      <c r="AB118" s="18"/>
      <c r="AM118" s="46"/>
      <c r="AN118" s="44"/>
    </row>
    <row r="119" spans="1:40">
      <c r="A119" s="41"/>
      <c r="B119" s="42"/>
      <c r="D119" s="43"/>
      <c r="E119" s="44"/>
      <c r="F119" s="43"/>
      <c r="G119" s="41"/>
      <c r="H119" s="41"/>
      <c r="I119" s="42"/>
      <c r="J119" s="13"/>
      <c r="M119" s="13"/>
      <c r="P119" s="13"/>
      <c r="Y119" s="43"/>
      <c r="Z119" s="44"/>
      <c r="AB119" s="18"/>
      <c r="AM119" s="46"/>
      <c r="AN119" s="44"/>
    </row>
    <row r="120" spans="1:40">
      <c r="A120" s="41"/>
      <c r="B120" s="42"/>
      <c r="D120" s="43"/>
      <c r="E120" s="44"/>
      <c r="F120" s="43"/>
      <c r="G120" s="41"/>
      <c r="H120" s="41"/>
      <c r="I120" s="42"/>
      <c r="J120" s="13"/>
      <c r="M120" s="13"/>
      <c r="P120" s="13"/>
      <c r="Y120" s="43"/>
      <c r="Z120" s="44"/>
      <c r="AB120" s="18"/>
      <c r="AM120" s="46"/>
      <c r="AN120" s="44"/>
    </row>
    <row r="121" spans="1:40">
      <c r="A121" s="41"/>
      <c r="B121" s="42"/>
      <c r="D121" s="43"/>
      <c r="E121" s="44"/>
      <c r="F121" s="43"/>
      <c r="G121" s="41"/>
      <c r="H121" s="43"/>
      <c r="I121" s="42"/>
      <c r="J121" s="13"/>
      <c r="M121" s="13"/>
      <c r="P121" s="13"/>
      <c r="Y121" s="43"/>
      <c r="Z121" s="44"/>
      <c r="AB121" s="18"/>
      <c r="AM121" s="46"/>
      <c r="AN121" s="44"/>
    </row>
    <row r="122" spans="1:40" ht="16.5" customHeight="1">
      <c r="A122" s="41"/>
      <c r="B122" s="42"/>
      <c r="C122" s="20"/>
      <c r="D122" s="43"/>
      <c r="E122" s="44"/>
      <c r="F122" s="43"/>
      <c r="G122" s="41"/>
      <c r="H122" s="18"/>
      <c r="I122" s="42"/>
      <c r="J122" s="13"/>
      <c r="M122" s="13"/>
      <c r="P122" s="13"/>
      <c r="U122" s="65"/>
      <c r="Y122" s="43"/>
      <c r="Z122" s="44"/>
      <c r="AB122" s="18"/>
      <c r="AM122" s="46"/>
      <c r="AN122" s="46"/>
    </row>
    <row r="123" spans="1:40">
      <c r="C123" s="20"/>
      <c r="G123" s="41"/>
      <c r="H123" s="18"/>
      <c r="J123" s="13"/>
      <c r="M123" s="13"/>
      <c r="P123" s="13"/>
      <c r="Y123" s="43"/>
      <c r="Z123" s="44"/>
      <c r="AB123" s="18"/>
      <c r="AM123" s="46"/>
    </row>
    <row r="124" spans="1:40">
      <c r="C124" s="20"/>
      <c r="G124" s="41"/>
      <c r="H124" s="18"/>
      <c r="J124" s="13"/>
      <c r="M124" s="13"/>
      <c r="P124" s="13"/>
      <c r="Y124" s="43"/>
      <c r="Z124" s="44"/>
      <c r="AB124" s="18"/>
      <c r="AM124" s="46"/>
    </row>
    <row r="125" spans="1:40">
      <c r="C125" s="20"/>
      <c r="G125" s="41"/>
      <c r="H125" s="18"/>
      <c r="J125" s="13"/>
      <c r="M125" s="13"/>
      <c r="P125" s="13"/>
      <c r="Y125" s="43"/>
      <c r="Z125" s="44"/>
      <c r="AB125" s="18"/>
      <c r="AM125" s="46"/>
    </row>
    <row r="126" spans="1:40">
      <c r="C126" s="20"/>
      <c r="G126" s="41"/>
      <c r="H126" s="18"/>
      <c r="J126" s="13"/>
      <c r="M126" s="13"/>
      <c r="P126" s="13"/>
      <c r="Y126" s="43"/>
      <c r="Z126" s="44"/>
      <c r="AB126" s="18"/>
      <c r="AM126" s="46"/>
    </row>
    <row r="127" spans="1:40">
      <c r="C127" s="20"/>
      <c r="G127" s="41"/>
      <c r="H127" s="18"/>
      <c r="J127" s="13"/>
      <c r="M127" s="13"/>
      <c r="P127" s="13"/>
      <c r="Y127" s="43"/>
      <c r="Z127" s="44"/>
      <c r="AB127" s="18"/>
      <c r="AM127" s="46"/>
    </row>
    <row r="128" spans="1:40">
      <c r="A128" s="41"/>
      <c r="B128" s="42"/>
      <c r="D128" s="43"/>
      <c r="E128" s="44"/>
      <c r="F128" s="43"/>
      <c r="G128" s="41"/>
      <c r="H128" s="43"/>
      <c r="I128" s="42"/>
      <c r="J128" s="13"/>
      <c r="M128" s="13"/>
      <c r="P128" s="13"/>
      <c r="Y128" s="43"/>
      <c r="Z128" s="44"/>
      <c r="AB128" s="18"/>
      <c r="AM128" s="46"/>
      <c r="AN128" s="44"/>
    </row>
    <row r="129" spans="1:40">
      <c r="A129" s="41"/>
      <c r="B129" s="42"/>
      <c r="D129" s="43"/>
      <c r="E129" s="44"/>
      <c r="F129" s="43"/>
      <c r="G129" s="41"/>
      <c r="H129" s="41"/>
      <c r="I129" s="42"/>
      <c r="J129" s="13"/>
      <c r="M129" s="13"/>
      <c r="P129" s="13"/>
      <c r="Y129" s="43"/>
      <c r="Z129" s="44"/>
      <c r="AB129" s="18"/>
      <c r="AM129" s="46"/>
      <c r="AN129" s="44"/>
    </row>
    <row r="130" spans="1:40">
      <c r="A130" s="41"/>
      <c r="B130" s="42"/>
      <c r="D130" s="43"/>
      <c r="E130" s="44"/>
      <c r="F130" s="43"/>
      <c r="G130" s="41"/>
      <c r="H130" s="41"/>
      <c r="I130" s="42"/>
      <c r="J130" s="13"/>
      <c r="M130" s="13"/>
      <c r="P130" s="13"/>
      <c r="Y130" s="43"/>
      <c r="Z130" s="44"/>
      <c r="AB130" s="18"/>
      <c r="AM130" s="46"/>
      <c r="AN130" s="44"/>
    </row>
    <row r="131" spans="1:40">
      <c r="A131" s="41"/>
      <c r="B131" s="42"/>
      <c r="D131" s="43"/>
      <c r="E131" s="44"/>
      <c r="F131" s="43"/>
      <c r="G131" s="41"/>
      <c r="H131" s="41"/>
      <c r="I131" s="42"/>
      <c r="J131" s="13"/>
      <c r="M131" s="13"/>
      <c r="P131" s="13"/>
      <c r="Y131" s="43"/>
      <c r="Z131" s="44"/>
      <c r="AB131" s="18"/>
      <c r="AM131" s="46"/>
      <c r="AN131" s="44"/>
    </row>
    <row r="132" spans="1:40">
      <c r="A132" s="41"/>
      <c r="B132" s="42"/>
      <c r="D132" s="43"/>
      <c r="E132" s="44"/>
      <c r="F132" s="43"/>
      <c r="G132" s="41"/>
      <c r="H132" s="41"/>
      <c r="I132" s="42"/>
      <c r="J132" s="13"/>
      <c r="M132" s="13"/>
      <c r="P132" s="13"/>
      <c r="Y132" s="43"/>
      <c r="Z132" s="44"/>
      <c r="AB132" s="18"/>
      <c r="AM132" s="46"/>
      <c r="AN132" s="44"/>
    </row>
    <row r="133" spans="1:40">
      <c r="A133" s="41"/>
      <c r="B133" s="42"/>
      <c r="D133" s="43"/>
      <c r="E133" s="44"/>
      <c r="F133" s="43"/>
      <c r="G133" s="41"/>
      <c r="H133" s="41"/>
      <c r="I133" s="42"/>
      <c r="J133" s="13"/>
      <c r="M133" s="13"/>
      <c r="P133" s="13"/>
      <c r="Y133" s="43"/>
      <c r="Z133" s="44"/>
      <c r="AB133" s="18"/>
      <c r="AM133" s="46"/>
      <c r="AN133" s="44"/>
    </row>
    <row r="134" spans="1:40">
      <c r="A134" s="41"/>
      <c r="B134" s="42"/>
      <c r="D134" s="43"/>
      <c r="E134" s="44"/>
      <c r="F134" s="43"/>
      <c r="G134" s="41"/>
      <c r="H134" s="41"/>
      <c r="I134" s="42"/>
      <c r="J134" s="13"/>
      <c r="M134" s="13"/>
      <c r="P134" s="13"/>
      <c r="Y134" s="43"/>
      <c r="Z134" s="44"/>
      <c r="AB134" s="18"/>
      <c r="AM134" s="46"/>
      <c r="AN134" s="44"/>
    </row>
    <row r="135" spans="1:40">
      <c r="A135" s="41"/>
      <c r="B135" s="42"/>
      <c r="D135" s="43"/>
      <c r="E135" s="44"/>
      <c r="F135" s="43"/>
      <c r="G135" s="41"/>
      <c r="H135" s="41"/>
      <c r="I135" s="42"/>
      <c r="J135" s="13"/>
      <c r="M135" s="13"/>
      <c r="P135" s="13"/>
      <c r="Y135" s="43"/>
      <c r="Z135" s="44"/>
      <c r="AB135" s="18"/>
      <c r="AM135" s="46"/>
      <c r="AN135" s="44"/>
    </row>
    <row r="136" spans="1:40">
      <c r="A136" s="41"/>
      <c r="B136" s="42"/>
      <c r="D136" s="43"/>
      <c r="E136" s="44"/>
      <c r="F136" s="43"/>
      <c r="G136" s="41"/>
      <c r="H136" s="41"/>
      <c r="I136" s="42"/>
      <c r="J136" s="13"/>
      <c r="M136" s="13"/>
      <c r="P136" s="13"/>
      <c r="Y136" s="43"/>
      <c r="Z136" s="44"/>
      <c r="AB136" s="18"/>
      <c r="AM136" s="46"/>
      <c r="AN136" s="44"/>
    </row>
    <row r="137" spans="1:40">
      <c r="A137" s="41"/>
      <c r="B137" s="42"/>
      <c r="D137" s="43"/>
      <c r="E137" s="44"/>
      <c r="F137" s="43"/>
      <c r="G137" s="41"/>
      <c r="H137" s="41"/>
      <c r="I137" s="42"/>
      <c r="J137" s="13"/>
      <c r="M137" s="13"/>
      <c r="P137" s="13"/>
      <c r="Y137" s="43"/>
      <c r="Z137" s="44"/>
      <c r="AB137" s="18"/>
      <c r="AM137" s="46"/>
      <c r="AN137" s="44"/>
    </row>
    <row r="138" spans="1:40">
      <c r="A138" s="41"/>
      <c r="B138" s="42"/>
      <c r="D138" s="43"/>
      <c r="E138" s="44"/>
      <c r="F138" s="43"/>
      <c r="G138" s="41"/>
      <c r="H138" s="41"/>
      <c r="I138" s="42"/>
      <c r="J138" s="13"/>
      <c r="M138" s="13"/>
      <c r="P138" s="13"/>
      <c r="Y138" s="43"/>
      <c r="Z138" s="44"/>
      <c r="AB138" s="18"/>
      <c r="AM138" s="46"/>
      <c r="AN138" s="44"/>
    </row>
  </sheetData>
  <autoFilter ref="A2:AN4"/>
  <conditionalFormatting sqref="C2">
    <cfRule type="duplicateValues" dxfId="6" priority="15"/>
    <cfRule type="duplicateValues" dxfId="5" priority="16"/>
    <cfRule type="duplicateValues" dxfId="4" priority="17"/>
    <cfRule type="duplicateValues" dxfId="3" priority="18"/>
  </conditionalFormatting>
  <conditionalFormatting sqref="C2">
    <cfRule type="duplicateValues" dxfId="2" priority="14"/>
  </conditionalFormatting>
  <conditionalFormatting sqref="C2">
    <cfRule type="duplicateValues" dxfId="1" priority="12"/>
    <cfRule type="duplicateValues" dxfId="0" priority="1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sizerun</vt:lpstr>
      <vt:lpstr>GBD 8-24 (MPO)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Quyen</cp:lastModifiedBy>
  <cp:lastPrinted>2022-04-25T01:47:33Z</cp:lastPrinted>
  <dcterms:created xsi:type="dcterms:W3CDTF">2021-11-29T08:24:02Z</dcterms:created>
  <dcterms:modified xsi:type="dcterms:W3CDTF">2023-05-23T08:29:53Z</dcterms:modified>
</cp:coreProperties>
</file>