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hhu\Desktop\"/>
    </mc:Choice>
  </mc:AlternateContent>
  <xr:revisionPtr revIDLastSave="0" documentId="13_ncr:1_{B9B92807-4951-4B4F-A88A-0C491EA852E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V &amp; PK" sheetId="1" r:id="rId1"/>
    <sheet name="Sheet1" sheetId="2" r:id="rId2"/>
  </sheets>
  <definedNames>
    <definedName name="_xlnm.Print_Area" localSheetId="0">'IV &amp; PK'!$A$1:$X$143</definedName>
  </definedNames>
  <calcPr calcId="191029"/>
</workbook>
</file>

<file path=xl/calcChain.xml><?xml version="1.0" encoding="utf-8"?>
<calcChain xmlns="http://schemas.openxmlformats.org/spreadsheetml/2006/main">
  <c r="B96" i="1" l="1"/>
  <c r="B97" i="1"/>
  <c r="B98" i="1"/>
  <c r="B99" i="1"/>
  <c r="B100" i="1"/>
  <c r="B101" i="1"/>
  <c r="B102" i="1"/>
  <c r="B103" i="1"/>
  <c r="B104" i="1"/>
  <c r="B105" i="1"/>
  <c r="W87" i="1"/>
  <c r="U87" i="1"/>
  <c r="S87" i="1"/>
  <c r="Q87" i="1"/>
  <c r="O87" i="1"/>
  <c r="O116" i="1" l="1"/>
  <c r="F127" i="1"/>
  <c r="M126" i="1"/>
  <c r="O126" i="1" s="1"/>
  <c r="F126" i="1"/>
  <c r="F125" i="1"/>
  <c r="M124" i="1"/>
  <c r="O124" i="1" s="1"/>
  <c r="F124" i="1"/>
  <c r="F123" i="1"/>
  <c r="M122" i="1"/>
  <c r="O122" i="1" s="1"/>
  <c r="F122" i="1"/>
  <c r="F121" i="1"/>
  <c r="M120" i="1"/>
  <c r="O120" i="1" s="1"/>
  <c r="F120" i="1"/>
  <c r="F119" i="1"/>
  <c r="M118" i="1"/>
  <c r="O118" i="1" s="1"/>
  <c r="F118" i="1"/>
  <c r="W90" i="1"/>
  <c r="W89" i="1"/>
  <c r="W88" i="1"/>
  <c r="U90" i="1"/>
  <c r="U89" i="1"/>
  <c r="U88" i="1"/>
  <c r="S90" i="1"/>
  <c r="S89" i="1"/>
  <c r="S88" i="1"/>
  <c r="Q90" i="1"/>
  <c r="Q89" i="1"/>
  <c r="Q88" i="1"/>
  <c r="O90" i="1"/>
  <c r="W86" i="1"/>
  <c r="W85" i="1"/>
  <c r="W84" i="1"/>
  <c r="U86" i="1"/>
  <c r="U85" i="1"/>
  <c r="U84" i="1"/>
  <c r="S86" i="1"/>
  <c r="S85" i="1"/>
  <c r="S84" i="1"/>
  <c r="Q86" i="1"/>
  <c r="Q85" i="1"/>
  <c r="Q84" i="1"/>
  <c r="S49" i="1"/>
  <c r="S47" i="1"/>
  <c r="S45" i="1"/>
  <c r="S43" i="1"/>
  <c r="J52" i="1"/>
  <c r="S41" i="1" l="1"/>
  <c r="B86" i="1" l="1"/>
  <c r="B87" i="1"/>
  <c r="B88" i="1"/>
  <c r="B89" i="1"/>
  <c r="B90" i="1"/>
  <c r="B91" i="1"/>
  <c r="F117" i="1"/>
  <c r="F116" i="1"/>
  <c r="O89" i="1"/>
  <c r="O88" i="1"/>
  <c r="O86" i="1"/>
  <c r="O85" i="1"/>
  <c r="O84" i="1"/>
  <c r="B85" i="1"/>
  <c r="U78" i="1"/>
  <c r="K78" i="1" l="1"/>
  <c r="M116" i="1"/>
  <c r="Q129" i="1" s="1"/>
  <c r="T129" i="1" l="1"/>
  <c r="J129" i="1"/>
  <c r="A131" i="1"/>
  <c r="A130" i="1"/>
  <c r="E121" i="1"/>
  <c r="E117" i="1"/>
  <c r="E116" i="1"/>
  <c r="L109" i="1"/>
  <c r="K109" i="1"/>
  <c r="F109" i="1"/>
  <c r="A109" i="1"/>
  <c r="G107" i="1"/>
  <c r="B107" i="1"/>
  <c r="W96" i="1"/>
  <c r="U96" i="1"/>
  <c r="W95" i="1"/>
  <c r="U95" i="1"/>
  <c r="B95" i="1"/>
  <c r="Z93" i="1"/>
  <c r="X93" i="1"/>
  <c r="W93" i="1"/>
  <c r="U93" i="1"/>
  <c r="Z92" i="1"/>
  <c r="X92" i="1"/>
  <c r="W92" i="1"/>
  <c r="U92" i="1"/>
  <c r="X87" i="1"/>
  <c r="W83" i="1"/>
  <c r="S83" i="1"/>
  <c r="O83" i="1"/>
  <c r="N83" i="1"/>
  <c r="L83" i="1"/>
  <c r="Z82" i="1"/>
  <c r="W82" i="1"/>
  <c r="U82" i="1"/>
  <c r="S82" i="1"/>
  <c r="N82" i="1"/>
  <c r="L82" i="1"/>
  <c r="K82" i="1"/>
  <c r="O78" i="1"/>
  <c r="S52" i="1"/>
  <c r="O108" i="1" l="1"/>
  <c r="N129" i="1"/>
</calcChain>
</file>

<file path=xl/sharedStrings.xml><?xml version="1.0" encoding="utf-8"?>
<sst xmlns="http://schemas.openxmlformats.org/spreadsheetml/2006/main" count="119" uniqueCount="68">
  <si>
    <t>8)No. &amp; date of invoice</t>
  </si>
  <si>
    <t>2)For Account &amp; Risk of Messrs.</t>
  </si>
  <si>
    <t xml:space="preserve">ATTN : MS. Karen Valenzuela </t>
  </si>
  <si>
    <t xml:space="preserve">Ave. de los Sauces No. 9 </t>
  </si>
  <si>
    <t xml:space="preserve">Parque Industrial Lerma 
</t>
  </si>
  <si>
    <t>LOT No.</t>
  </si>
  <si>
    <t>México</t>
  </si>
  <si>
    <t>Tel )52.728.2827600 (ext)7631</t>
  </si>
  <si>
    <t>3)Notify party</t>
  </si>
  <si>
    <t>4)Port of loading</t>
  </si>
  <si>
    <t>5)Final destination</t>
  </si>
  <si>
    <t>6)Carrier</t>
  </si>
  <si>
    <t>7)Sailing on or about</t>
  </si>
  <si>
    <t>※</t>
  </si>
  <si>
    <t>//////////////////////////////////</t>
  </si>
  <si>
    <t xml:space="preserve">* BANK INFORMATION </t>
  </si>
  <si>
    <t>PACKING LIST</t>
  </si>
  <si>
    <t>1)Shipper/Exporter</t>
  </si>
  <si>
    <t>9)Remarks :</t>
  </si>
  <si>
    <t>:</t>
  </si>
  <si>
    <t>COMMERCIAL INVOICE</t>
  </si>
  <si>
    <t>1)Shipper/Exporter/Manufacturer</t>
  </si>
  <si>
    <t>9) Terms of delivery and payment</t>
  </si>
  <si>
    <t>PO No.</t>
  </si>
  <si>
    <t>P/No.</t>
  </si>
  <si>
    <t>RAN No.</t>
  </si>
  <si>
    <t>C/No.</t>
  </si>
  <si>
    <t>Q'TY/CTN</t>
  </si>
  <si>
    <t>OUT BOUND SHIPMENT</t>
  </si>
  <si>
    <t xml:space="preserve">  T O T A L</t>
  </si>
  <si>
    <t>18)Signed By</t>
  </si>
  <si>
    <t xml:space="preserve">SKID SIZE </t>
  </si>
  <si>
    <t xml:space="preserve">※ </t>
  </si>
  <si>
    <t>WEIGHT</t>
  </si>
  <si>
    <t>17)Signed By</t>
  </si>
  <si>
    <t>10) Country of Origin of Goods                   VIET NAM</t>
  </si>
  <si>
    <t>OT MOTOR VINA CO.,LTD</t>
  </si>
  <si>
    <t xml:space="preserve">Lot No B-3.1, Nhon Trach 6B Subdivision of IZ, </t>
  </si>
  <si>
    <t>Nhon Trach 6 IZ, Long Tho Commune, Nhon Trach Dist</t>
  </si>
  <si>
    <t>Dong Nai Province, Vietnam</t>
  </si>
  <si>
    <t>TEL: +84 2513 569 066</t>
  </si>
  <si>
    <t>12)Remarks :</t>
  </si>
  <si>
    <t xml:space="preserve">11) Consignee </t>
  </si>
  <si>
    <t>Ho Chi Minh, Viet Nam</t>
  </si>
  <si>
    <t>MADE IN VIET NAM</t>
  </si>
  <si>
    <t>12)Marks and numbers of PKGS 13)Description of goods  14)Quantity/Unit       15)Unit Price                                    16)Amount</t>
  </si>
  <si>
    <t>10)Marks and numbers of PKGS 11)Description of goods   12)Quantity       13)Net Weight          14)Gross Weight                    15)Measurement</t>
  </si>
  <si>
    <t>SKID No</t>
  </si>
  <si>
    <t>17)Commodity HTS Number                                          " Automotive Component" (HS: 87082920)</t>
  </si>
  <si>
    <t xml:space="preserve">Autoliv México S.A. de C.V.  (AMX) </t>
  </si>
  <si>
    <t xml:space="preserve">Lerma, MX, 52000 </t>
  </si>
  <si>
    <t>Manzanillo, Mexico</t>
  </si>
  <si>
    <t>SHIP TO AMX PLAN #84</t>
  </si>
  <si>
    <t>EDOC Number: 3097310</t>
  </si>
  <si>
    <t>Generation Date: 120092</t>
  </si>
  <si>
    <t>WAN HAI 306 N293</t>
  </si>
  <si>
    <t>SHIP TO AMX PLAN #84</t>
    <phoneticPr fontId="45" type="noConversion"/>
  </si>
  <si>
    <t>16)Commodity HTS Number                                "Automotive Seat Belt Component" (HS: 87082920)</t>
    <phoneticPr fontId="45" type="noConversion"/>
  </si>
  <si>
    <t xml:space="preserve">*** CONT/SEAL: </t>
  </si>
  <si>
    <t>Corporativo Enciso SC</t>
  </si>
  <si>
    <t>Blvd. Miguel de la Madrid hurtado No. 324-A</t>
  </si>
  <si>
    <t>Col. Tapeixtles, Manzanillo, Colima, C.p. 28238</t>
  </si>
  <si>
    <t>Imelda Reyes</t>
  </si>
  <si>
    <t>Tel )52 (314) 138 2328 Ext. 127</t>
  </si>
  <si>
    <t>Email: imelda.reyescorporativoenciso.com</t>
  </si>
  <si>
    <t>- Bank Name : Industrial Bank of Korea - Ho Chi Minh City Branch</t>
  </si>
  <si>
    <t>- Address : Unit 604, Diamond Plaza, 34 Le Duan Blvd., Dist. 1, HCMC, Vietnam</t>
  </si>
  <si>
    <t>- Bank Account Number/SWIFT: 0764-0054-932-0001 // IBKOVNVX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</si>
</sst>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_-* #,##0_-;\-* #,##0_-;_-* &quot;-&quot;_-;_-@_-"/>
    <numFmt numFmtId="165" formatCode="_-* #,##0.00_-;\-* #,##0.00_-;_-* &quot;-&quot;??_-;_-@_-"/>
    <numFmt numFmtId="166" formatCode="&quot;I-000&quot;##&quot;,&quot;"/>
    <numFmt numFmtId="167" formatCode="mm&quot;월&quot;\ dd&quot;일&quot;"/>
    <numFmt numFmtId="168" formatCode="&quot;(&quot;#\ &quot;SKIDS)&quot;"/>
    <numFmt numFmtId="169" formatCode="&quot;(&quot;#\ &quot;SKID)&quot;"/>
    <numFmt numFmtId="170" formatCode="&quot;0&quot;00#"/>
    <numFmt numFmtId="171" formatCode="\(#\ &quot;BOXES)&quot;"/>
    <numFmt numFmtId="172" formatCode="#,##0\ &quot;PCS&quot;"/>
    <numFmt numFmtId="173" formatCode="&quot;(0&quot;.0#\ &quot;SKID)&quot;"/>
    <numFmt numFmtId="174" formatCode="m&quot;/&quot;d&quot;/&quot;yy;@"/>
    <numFmt numFmtId="175" formatCode="&quot;US$&quot;#,##0.00"/>
    <numFmt numFmtId="176" formatCode="&quot;@$ &quot;0.0000"/>
    <numFmt numFmtId="177" formatCode="&quot;US$&quot;\ #,##0.00"/>
    <numFmt numFmtId="178" formatCode="&quot;￦ &quot;#,##0"/>
    <numFmt numFmtId="179" formatCode="&quot;￦ &quot;#,##0.00"/>
    <numFmt numFmtId="180" formatCode="0.000\ &quot;CBM&quot;"/>
    <numFmt numFmtId="181" formatCode="#,##0\ &quot;kgs&quot;"/>
    <numFmt numFmtId="182" formatCode="0.00\ &quot;CBM&quot;"/>
    <numFmt numFmtId="183" formatCode="_(* #,##0_);_(* \(#,##0\);_(* &quot;-&quot;??_);_(@_)"/>
    <numFmt numFmtId="184" formatCode="&quot;₩&quot;#,##0.00\ ;\(&quot;₩&quot;#,##0.00\)"/>
    <numFmt numFmtId="185" formatCode="&quot;₩&quot;#,##0;&quot;₩&quot;\-#,##0"/>
    <numFmt numFmtId="186" formatCode="[$-409]d&quot;-&quot;mmm&quot;-&quot;yy;@"/>
    <numFmt numFmtId="187" formatCode="0.0000000"/>
  </numFmts>
  <fonts count="49">
    <font>
      <sz val="10"/>
      <name val="MS Sans Serif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1"/>
      <color indexed="20"/>
      <name val="Calibri"/>
      <family val="2"/>
    </font>
    <font>
      <b/>
      <sz val="11"/>
      <name val="Helv"/>
      <family val="2"/>
    </font>
    <font>
      <sz val="12"/>
      <name val="굴림체"/>
      <family val="3"/>
      <charset val="129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宋体"/>
      <family val="3"/>
      <charset val="129"/>
    </font>
    <font>
      <sz val="12"/>
      <name val="宋体"/>
      <charset val="129"/>
    </font>
    <font>
      <sz val="13"/>
      <name val="돋움"/>
      <family val="3"/>
      <charset val="129"/>
    </font>
    <font>
      <sz val="12"/>
      <name val="돋움"/>
      <family val="3"/>
      <charset val="129"/>
    </font>
    <font>
      <b/>
      <sz val="14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2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sz val="10"/>
      <color indexed="9"/>
      <name val="Tahoma"/>
      <family val="2"/>
    </font>
    <font>
      <u/>
      <sz val="10"/>
      <name val="Tahoma"/>
      <family val="2"/>
    </font>
    <font>
      <sz val="10"/>
      <color indexed="8"/>
      <name val="Tahoma"/>
      <family val="2"/>
    </font>
    <font>
      <b/>
      <sz val="9"/>
      <name val="Tahoma"/>
      <family val="2"/>
    </font>
    <font>
      <i/>
      <sz val="10"/>
      <name val="Tahoma"/>
      <family val="2"/>
    </font>
    <font>
      <b/>
      <sz val="10"/>
      <color indexed="8"/>
      <name val="Tahoma"/>
      <family val="2"/>
    </font>
    <font>
      <sz val="8"/>
      <name val="돋움"/>
      <family val="3"/>
      <charset val="129"/>
    </font>
    <font>
      <b/>
      <sz val="9"/>
      <color indexed="8"/>
      <name val="Tahoma"/>
      <family val="2"/>
    </font>
    <font>
      <b/>
      <sz val="12"/>
      <name val="Tahoma"/>
      <family val="2"/>
    </font>
    <font>
      <b/>
      <sz val="11"/>
      <color rgb="FF000066"/>
      <name val="Verdana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16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5" borderId="0" applyNumberFormat="0" applyBorder="0" applyAlignment="0" applyProtection="0"/>
    <xf numFmtId="0" fontId="5" fillId="17" borderId="9" applyNumberFormat="0" applyAlignment="0" applyProtection="0"/>
    <xf numFmtId="0" fontId="6" fillId="0" borderId="0"/>
    <xf numFmtId="0" fontId="7" fillId="18" borderId="10" applyNumberFormat="0" applyAlignment="0" applyProtection="0"/>
    <xf numFmtId="0" fontId="8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22" borderId="0" applyNumberFormat="0" applyBorder="0" applyAlignment="0" applyProtection="0"/>
    <xf numFmtId="0" fontId="11" fillId="8" borderId="9" applyNumberFormat="0" applyAlignment="0" applyProtection="0"/>
    <xf numFmtId="38" fontId="12" fillId="23" borderId="0" applyNumberFormat="0" applyBorder="0" applyAlignment="0" applyProtection="0"/>
    <xf numFmtId="0" fontId="13" fillId="0" borderId="0">
      <alignment horizontal="left"/>
    </xf>
    <xf numFmtId="0" fontId="14" fillId="0" borderId="12" applyNumberFormat="0" applyAlignment="0" applyProtection="0">
      <alignment horizontal="left" vertical="center"/>
    </xf>
    <xf numFmtId="0" fontId="14" fillId="0" borderId="13">
      <alignment horizontal="left" vertical="center"/>
    </xf>
    <xf numFmtId="0" fontId="15" fillId="4" borderId="0" applyNumberFormat="0" applyBorder="0" applyAlignment="0" applyProtection="0"/>
    <xf numFmtId="10" fontId="12" fillId="23" borderId="14" applyNumberFormat="0" applyBorder="0" applyAlignment="0" applyProtection="0"/>
    <xf numFmtId="0" fontId="16" fillId="0" borderId="15"/>
    <xf numFmtId="183" fontId="17" fillId="0" borderId="0"/>
    <xf numFmtId="0" fontId="2" fillId="24" borderId="16" applyNumberFormat="0" applyFont="0" applyAlignment="0" applyProtection="0"/>
    <xf numFmtId="10" fontId="9" fillId="0" borderId="0" applyFont="0" applyFill="0" applyBorder="0" applyAlignment="0" applyProtection="0"/>
    <xf numFmtId="0" fontId="18" fillId="17" borderId="17" applyNumberFormat="0" applyAlignment="0" applyProtection="0"/>
    <xf numFmtId="0" fontId="16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10" fillId="0" borderId="20" applyNumberFormat="0" applyFill="0" applyAlignment="0" applyProtection="0"/>
    <xf numFmtId="2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8" fillId="0" borderId="0" applyFont="0" applyFill="0" applyBorder="0" applyAlignment="0" applyProtection="0">
      <alignment vertical="center"/>
    </xf>
    <xf numFmtId="164" fontId="28" fillId="0" borderId="0" applyFont="0" applyFill="0" applyBorder="0" applyAlignment="0" applyProtection="0">
      <alignment vertical="center"/>
    </xf>
    <xf numFmtId="164" fontId="28" fillId="0" borderId="0" applyFont="0" applyFill="0" applyBorder="0" applyAlignment="0" applyProtection="0">
      <alignment vertical="center"/>
    </xf>
    <xf numFmtId="164" fontId="28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" fontId="24" fillId="0" borderId="0" applyFont="0" applyFill="0" applyBorder="0" applyAlignment="0" applyProtection="0"/>
    <xf numFmtId="3" fontId="24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49" fontId="32" fillId="0" borderId="0" applyNumberFormat="0" applyFill="0" applyBorder="0" applyAlignment="0" applyProtection="0"/>
    <xf numFmtId="49" fontId="27" fillId="0" borderId="0" applyNumberFormat="0" applyFill="0" applyBorder="0" applyAlignment="0" applyProtection="0"/>
    <xf numFmtId="164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49" fontId="33" fillId="0" borderId="0" applyNumberFormat="0" applyFill="0" applyBorder="0" applyAlignment="0" applyProtection="0"/>
    <xf numFmtId="10" fontId="24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24" fillId="0" borderId="21" applyNumberFormat="0" applyFont="0" applyFill="0" applyAlignment="0" applyProtection="0"/>
    <xf numFmtId="184" fontId="24" fillId="0" borderId="0" applyFont="0" applyFill="0" applyBorder="0" applyAlignment="0" applyProtection="0"/>
    <xf numFmtId="185" fontId="24" fillId="0" borderId="0" applyFont="0" applyFill="0" applyBorder="0" applyAlignment="0" applyProtection="0"/>
  </cellStyleXfs>
  <cellXfs count="240">
    <xf numFmtId="0" fontId="0" fillId="0" borderId="0" xfId="0"/>
    <xf numFmtId="0" fontId="35" fillId="2" borderId="0" xfId="0" applyFont="1" applyFill="1" applyBorder="1" applyAlignment="1">
      <alignment horizontal="center" vertical="center"/>
    </xf>
    <xf numFmtId="0" fontId="36" fillId="2" borderId="0" xfId="0" applyFont="1" applyFill="1" applyAlignment="1">
      <alignment vertical="center"/>
    </xf>
    <xf numFmtId="0" fontId="37" fillId="2" borderId="0" xfId="0" applyFont="1" applyFill="1" applyBorder="1" applyAlignment="1">
      <alignment vertical="center"/>
    </xf>
    <xf numFmtId="0" fontId="36" fillId="2" borderId="0" xfId="0" applyFont="1" applyFill="1" applyBorder="1" applyAlignment="1">
      <alignment vertical="center"/>
    </xf>
    <xf numFmtId="0" fontId="36" fillId="2" borderId="2" xfId="0" applyFont="1" applyFill="1" applyBorder="1" applyAlignment="1">
      <alignment vertical="center"/>
    </xf>
    <xf numFmtId="0" fontId="36" fillId="2" borderId="1" xfId="0" applyFont="1" applyFill="1" applyBorder="1" applyAlignment="1">
      <alignment vertical="center"/>
    </xf>
    <xf numFmtId="167" fontId="36" fillId="2" borderId="1" xfId="0" applyNumberFormat="1" applyFont="1" applyFill="1" applyBorder="1" applyAlignment="1">
      <alignment vertical="center"/>
    </xf>
    <xf numFmtId="15" fontId="36" fillId="2" borderId="1" xfId="0" applyNumberFormat="1" applyFont="1" applyFill="1" applyBorder="1" applyAlignment="1">
      <alignment vertical="center"/>
    </xf>
    <xf numFmtId="0" fontId="37" fillId="2" borderId="3" xfId="0" applyFont="1" applyFill="1" applyBorder="1" applyAlignment="1">
      <alignment vertical="center"/>
    </xf>
    <xf numFmtId="0" fontId="38" fillId="2" borderId="0" xfId="0" applyFont="1" applyFill="1" applyAlignment="1">
      <alignment vertical="center"/>
    </xf>
    <xf numFmtId="0" fontId="38" fillId="2" borderId="1" xfId="0" applyFont="1" applyFill="1" applyBorder="1" applyAlignment="1">
      <alignment vertical="center"/>
    </xf>
    <xf numFmtId="0" fontId="37" fillId="2" borderId="4" xfId="0" applyFont="1" applyFill="1" applyBorder="1" applyAlignment="1">
      <alignment vertical="center"/>
    </xf>
    <xf numFmtId="0" fontId="36" fillId="2" borderId="3" xfId="0" applyFont="1" applyFill="1" applyBorder="1" applyAlignment="1">
      <alignment vertical="center"/>
    </xf>
    <xf numFmtId="0" fontId="37" fillId="0" borderId="3" xfId="0" applyFont="1" applyFill="1" applyBorder="1" applyAlignment="1">
      <alignment vertical="center"/>
    </xf>
    <xf numFmtId="0" fontId="36" fillId="0" borderId="3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0" fontId="36" fillId="0" borderId="0" xfId="0" applyFont="1"/>
    <xf numFmtId="0" fontId="36" fillId="0" borderId="0" xfId="0" applyFont="1" applyFill="1" applyBorder="1" applyAlignment="1">
      <alignment vertical="center"/>
    </xf>
    <xf numFmtId="0" fontId="37" fillId="0" borderId="4" xfId="0" applyFont="1" applyFill="1" applyBorder="1" applyAlignment="1">
      <alignment vertical="center"/>
    </xf>
    <xf numFmtId="0" fontId="37" fillId="0" borderId="0" xfId="0" applyFont="1" applyFill="1" applyAlignment="1">
      <alignment vertical="center"/>
    </xf>
    <xf numFmtId="0" fontId="36" fillId="0" borderId="6" xfId="0" applyFont="1" applyFill="1" applyBorder="1" applyAlignment="1">
      <alignment vertical="center"/>
    </xf>
    <xf numFmtId="0" fontId="36" fillId="0" borderId="0" xfId="0" applyFont="1" applyFill="1" applyBorder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36" fillId="2" borderId="0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6" fillId="0" borderId="0" xfId="0" applyFont="1" applyFill="1" applyBorder="1" applyAlignment="1">
      <alignment horizontal="left" vertical="center"/>
    </xf>
    <xf numFmtId="0" fontId="36" fillId="0" borderId="0" xfId="0" quotePrefix="1" applyFont="1" applyFill="1" applyAlignment="1">
      <alignment horizontal="left" vertical="center"/>
    </xf>
    <xf numFmtId="0" fontId="36" fillId="0" borderId="0" xfId="0" applyFont="1" applyFill="1" applyAlignment="1">
      <alignment horizontal="left" vertical="center"/>
    </xf>
    <xf numFmtId="0" fontId="36" fillId="0" borderId="0" xfId="0" applyFont="1" applyFill="1" applyBorder="1" applyAlignment="1">
      <alignment horizontal="left" vertical="center" wrapText="1"/>
    </xf>
    <xf numFmtId="0" fontId="37" fillId="0" borderId="6" xfId="0" applyFont="1" applyFill="1" applyBorder="1" applyAlignment="1">
      <alignment vertical="center"/>
    </xf>
    <xf numFmtId="3" fontId="36" fillId="0" borderId="0" xfId="0" applyNumberFormat="1" applyFont="1" applyFill="1" applyAlignment="1">
      <alignment horizontal="left" vertical="center"/>
    </xf>
    <xf numFmtId="168" fontId="36" fillId="0" borderId="0" xfId="0" applyNumberFormat="1" applyFont="1" applyFill="1" applyBorder="1" applyAlignment="1">
      <alignment horizontal="left" vertical="center"/>
    </xf>
    <xf numFmtId="169" fontId="36" fillId="0" borderId="0" xfId="0" applyNumberFormat="1" applyFont="1" applyFill="1" applyBorder="1" applyAlignment="1">
      <alignment horizontal="left" vertical="center"/>
    </xf>
    <xf numFmtId="0" fontId="39" fillId="0" borderId="0" xfId="0" applyFont="1" applyFill="1" applyBorder="1" applyAlignment="1">
      <alignment vertical="center"/>
    </xf>
    <xf numFmtId="0" fontId="36" fillId="2" borderId="0" xfId="0" applyFont="1" applyFill="1" applyAlignment="1">
      <alignment horizontal="left" vertical="center" wrapText="1"/>
    </xf>
    <xf numFmtId="0" fontId="40" fillId="0" borderId="0" xfId="0" applyFont="1" applyFill="1" applyAlignment="1">
      <alignment vertical="center"/>
    </xf>
    <xf numFmtId="49" fontId="36" fillId="0" borderId="0" xfId="0" applyNumberFormat="1" applyFont="1" applyFill="1" applyAlignment="1">
      <alignment horizontal="left" vertical="center"/>
    </xf>
    <xf numFmtId="170" fontId="36" fillId="0" borderId="0" xfId="0" quotePrefix="1" applyNumberFormat="1" applyFont="1" applyFill="1" applyBorder="1" applyAlignment="1">
      <alignment horizontal="left" vertical="center" wrapText="1"/>
    </xf>
    <xf numFmtId="170" fontId="36" fillId="0" borderId="0" xfId="0" quotePrefix="1" applyNumberFormat="1" applyFont="1" applyFill="1" applyAlignment="1">
      <alignment horizontal="left" vertical="center" wrapText="1"/>
    </xf>
    <xf numFmtId="168" fontId="36" fillId="0" borderId="0" xfId="0" applyNumberFormat="1" applyFont="1" applyFill="1" applyAlignment="1">
      <alignment horizontal="left" vertical="center"/>
    </xf>
    <xf numFmtId="168" fontId="36" fillId="2" borderId="0" xfId="0" applyNumberFormat="1" applyFont="1" applyFill="1" applyAlignment="1">
      <alignment horizontal="left" vertical="center"/>
    </xf>
    <xf numFmtId="0" fontId="38" fillId="0" borderId="0" xfId="0" applyFont="1" applyFill="1" applyBorder="1" applyAlignment="1">
      <alignment horizontal="left" vertical="center"/>
    </xf>
    <xf numFmtId="171" fontId="36" fillId="0" borderId="0" xfId="0" applyNumberFormat="1" applyFont="1" applyFill="1" applyAlignment="1">
      <alignment horizontal="left" vertical="center"/>
    </xf>
    <xf numFmtId="0" fontId="36" fillId="0" borderId="0" xfId="0" applyNumberFormat="1" applyFont="1" applyFill="1" applyAlignment="1">
      <alignment vertical="center" wrapText="1"/>
    </xf>
    <xf numFmtId="0" fontId="36" fillId="0" borderId="0" xfId="0" applyNumberFormat="1" applyFont="1" applyFill="1" applyAlignment="1">
      <alignment horizontal="left" vertical="center" wrapText="1"/>
    </xf>
    <xf numFmtId="172" fontId="41" fillId="0" borderId="0" xfId="0" applyNumberFormat="1" applyFont="1" applyFill="1" applyBorder="1" applyAlignment="1">
      <alignment horizontal="left" vertical="center"/>
    </xf>
    <xf numFmtId="172" fontId="41" fillId="0" borderId="0" xfId="0" applyNumberFormat="1" applyFont="1" applyFill="1" applyAlignment="1">
      <alignment horizontal="left" vertical="center"/>
    </xf>
    <xf numFmtId="0" fontId="38" fillId="0" borderId="0" xfId="0" applyFont="1" applyFill="1" applyAlignment="1">
      <alignment horizontal="left" vertical="center" wrapText="1"/>
    </xf>
    <xf numFmtId="0" fontId="36" fillId="0" borderId="0" xfId="0" quotePrefix="1" applyFont="1" applyFill="1" applyBorder="1" applyAlignment="1">
      <alignment horizontal="left" vertical="center"/>
    </xf>
    <xf numFmtId="0" fontId="37" fillId="0" borderId="2" xfId="0" applyFont="1" applyFill="1" applyBorder="1" applyAlignment="1">
      <alignment vertical="center"/>
    </xf>
    <xf numFmtId="171" fontId="36" fillId="0" borderId="0" xfId="0" applyNumberFormat="1" applyFont="1" applyFill="1" applyBorder="1" applyAlignment="1">
      <alignment horizontal="left" vertical="center"/>
    </xf>
    <xf numFmtId="172" fontId="36" fillId="2" borderId="0" xfId="0" applyNumberFormat="1" applyFont="1" applyFill="1" applyAlignment="1">
      <alignment vertical="center"/>
    </xf>
    <xf numFmtId="0" fontId="36" fillId="0" borderId="2" xfId="0" applyFont="1" applyFill="1" applyBorder="1" applyAlignment="1">
      <alignment vertical="center"/>
    </xf>
    <xf numFmtId="173" fontId="36" fillId="0" borderId="0" xfId="0" applyNumberFormat="1" applyFont="1" applyFill="1" applyBorder="1" applyAlignment="1">
      <alignment horizontal="left" vertical="center"/>
    </xf>
    <xf numFmtId="170" fontId="36" fillId="0" borderId="0" xfId="0" quotePrefix="1" applyNumberFormat="1" applyFont="1" applyFill="1" applyBorder="1" applyAlignment="1">
      <alignment horizontal="left" vertical="center"/>
    </xf>
    <xf numFmtId="0" fontId="36" fillId="0" borderId="0" xfId="0" quotePrefix="1" applyFont="1" applyFill="1" applyAlignment="1">
      <alignment vertical="center"/>
    </xf>
    <xf numFmtId="0" fontId="37" fillId="0" borderId="0" xfId="0" applyFont="1" applyFill="1" applyBorder="1" applyAlignment="1">
      <alignment vertical="center"/>
    </xf>
    <xf numFmtId="0" fontId="41" fillId="0" borderId="0" xfId="0" applyFont="1" applyFill="1" applyAlignment="1">
      <alignment horizontal="left" vertical="center"/>
    </xf>
    <xf numFmtId="0" fontId="42" fillId="0" borderId="6" xfId="0" applyFont="1" applyFill="1" applyBorder="1" applyAlignment="1">
      <alignment vertical="center"/>
    </xf>
    <xf numFmtId="0" fontId="36" fillId="0" borderId="0" xfId="0" applyFont="1" applyFill="1"/>
    <xf numFmtId="175" fontId="36" fillId="2" borderId="0" xfId="0" applyNumberFormat="1" applyFont="1" applyFill="1" applyAlignment="1">
      <alignment vertical="center"/>
    </xf>
    <xf numFmtId="0" fontId="36" fillId="2" borderId="0" xfId="0" applyFont="1" applyFill="1" applyBorder="1" applyAlignment="1">
      <alignment horizontal="center" vertical="center"/>
    </xf>
    <xf numFmtId="178" fontId="36" fillId="2" borderId="0" xfId="0" applyNumberFormat="1" applyFont="1" applyFill="1" applyBorder="1" applyAlignment="1">
      <alignment vertical="center"/>
    </xf>
    <xf numFmtId="172" fontId="36" fillId="0" borderId="0" xfId="0" applyNumberFormat="1" applyFont="1" applyFill="1" applyAlignment="1">
      <alignment vertical="center"/>
    </xf>
    <xf numFmtId="0" fontId="36" fillId="2" borderId="0" xfId="0" quotePrefix="1" applyFont="1" applyFill="1" applyAlignment="1">
      <alignment vertical="center"/>
    </xf>
    <xf numFmtId="0" fontId="36" fillId="2" borderId="0" xfId="0" applyFont="1" applyFill="1"/>
    <xf numFmtId="177" fontId="36" fillId="0" borderId="0" xfId="0" applyNumberFormat="1" applyFont="1" applyFill="1" applyBorder="1" applyAlignment="1">
      <alignment vertical="center"/>
    </xf>
    <xf numFmtId="177" fontId="36" fillId="0" borderId="0" xfId="0" applyNumberFormat="1" applyFont="1" applyFill="1" applyAlignment="1">
      <alignment vertical="center"/>
    </xf>
    <xf numFmtId="0" fontId="41" fillId="0" borderId="0" xfId="0" applyFont="1" applyFill="1" applyBorder="1" applyAlignment="1">
      <alignment vertical="center"/>
    </xf>
    <xf numFmtId="0" fontId="36" fillId="0" borderId="0" xfId="0" applyNumberFormat="1" applyFont="1" applyFill="1" applyBorder="1" applyAlignment="1">
      <alignment horizontal="left" vertical="center"/>
    </xf>
    <xf numFmtId="4" fontId="36" fillId="0" borderId="0" xfId="0" applyNumberFormat="1" applyFont="1" applyFill="1" applyBorder="1" applyAlignment="1">
      <alignment vertical="center"/>
    </xf>
    <xf numFmtId="177" fontId="36" fillId="0" borderId="0" xfId="0" applyNumberFormat="1" applyFont="1" applyFill="1" applyBorder="1" applyAlignment="1">
      <alignment horizontal="right" vertical="center"/>
    </xf>
    <xf numFmtId="178" fontId="36" fillId="0" borderId="0" xfId="0" applyNumberFormat="1" applyFont="1" applyFill="1" applyBorder="1" applyAlignment="1">
      <alignment vertical="center"/>
    </xf>
    <xf numFmtId="179" fontId="36" fillId="0" borderId="0" xfId="0" applyNumberFormat="1" applyFont="1" applyFill="1" applyBorder="1" applyAlignment="1">
      <alignment vertical="center"/>
    </xf>
    <xf numFmtId="0" fontId="41" fillId="2" borderId="0" xfId="0" applyFont="1" applyFill="1" applyBorder="1" applyAlignment="1">
      <alignment vertical="center"/>
    </xf>
    <xf numFmtId="0" fontId="36" fillId="2" borderId="0" xfId="0" applyNumberFormat="1" applyFont="1" applyFill="1" applyBorder="1" applyAlignment="1">
      <alignment horizontal="left" vertical="center"/>
    </xf>
    <xf numFmtId="4" fontId="36" fillId="2" borderId="0" xfId="0" applyNumberFormat="1" applyFont="1" applyFill="1" applyBorder="1" applyAlignment="1">
      <alignment vertical="center"/>
    </xf>
    <xf numFmtId="177" fontId="36" fillId="2" borderId="0" xfId="0" applyNumberFormat="1" applyFont="1" applyFill="1" applyBorder="1" applyAlignment="1">
      <alignment horizontal="right" vertical="center"/>
    </xf>
    <xf numFmtId="0" fontId="41" fillId="2" borderId="0" xfId="0" applyFont="1" applyFill="1" applyAlignment="1">
      <alignment vertical="center"/>
    </xf>
    <xf numFmtId="0" fontId="41" fillId="2" borderId="0" xfId="0" quotePrefix="1" applyFont="1" applyFill="1" applyBorder="1" applyAlignment="1">
      <alignment vertical="center"/>
    </xf>
    <xf numFmtId="0" fontId="36" fillId="2" borderId="0" xfId="0" quotePrefix="1" applyFont="1" applyFill="1" applyBorder="1" applyAlignment="1">
      <alignment vertical="center"/>
    </xf>
    <xf numFmtId="0" fontId="37" fillId="2" borderId="0" xfId="0" applyFont="1" applyFill="1" applyAlignment="1">
      <alignment vertical="center"/>
    </xf>
    <xf numFmtId="0" fontId="37" fillId="2" borderId="0" xfId="0" applyFont="1" applyFill="1" applyBorder="1" applyAlignment="1">
      <alignment horizontal="centerContinuous" vertical="center"/>
    </xf>
    <xf numFmtId="0" fontId="36" fillId="2" borderId="5" xfId="0" applyFont="1" applyFill="1" applyBorder="1" applyAlignment="1">
      <alignment vertical="center"/>
    </xf>
    <xf numFmtId="0" fontId="36" fillId="2" borderId="8" xfId="0" applyFont="1" applyFill="1" applyBorder="1" applyAlignment="1">
      <alignment vertical="center"/>
    </xf>
    <xf numFmtId="170" fontId="36" fillId="2" borderId="0" xfId="0" applyNumberFormat="1" applyFont="1" applyFill="1" applyAlignment="1">
      <alignment horizontal="left" vertical="center"/>
    </xf>
    <xf numFmtId="0" fontId="41" fillId="0" borderId="0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0" fontId="36" fillId="0" borderId="0" xfId="0" quotePrefix="1" applyNumberFormat="1" applyFont="1" applyFill="1" applyAlignment="1">
      <alignment horizontal="left" vertical="center" wrapText="1"/>
    </xf>
    <xf numFmtId="171" fontId="36" fillId="2" borderId="0" xfId="0" applyNumberFormat="1" applyFont="1" applyFill="1" applyAlignment="1">
      <alignment horizontal="left" vertical="center"/>
    </xf>
    <xf numFmtId="0" fontId="36" fillId="0" borderId="0" xfId="0" applyNumberFormat="1" applyFont="1" applyFill="1" applyAlignment="1">
      <alignment horizontal="left" vertical="center"/>
    </xf>
    <xf numFmtId="172" fontId="36" fillId="2" borderId="0" xfId="0" applyNumberFormat="1" applyFont="1" applyFill="1" applyAlignment="1">
      <alignment horizontal="left" vertical="center"/>
    </xf>
    <xf numFmtId="169" fontId="36" fillId="2" borderId="0" xfId="0" applyNumberFormat="1" applyFont="1" applyFill="1" applyBorder="1" applyAlignment="1">
      <alignment horizontal="left" vertical="center"/>
    </xf>
    <xf numFmtId="172" fontId="41" fillId="2" borderId="0" xfId="0" applyNumberFormat="1" applyFont="1" applyFill="1" applyBorder="1" applyAlignment="1">
      <alignment horizontal="left" vertical="center"/>
    </xf>
    <xf numFmtId="49" fontId="36" fillId="2" borderId="0" xfId="0" applyNumberFormat="1" applyFont="1" applyFill="1" applyAlignment="1">
      <alignment horizontal="left" vertical="center"/>
    </xf>
    <xf numFmtId="49" fontId="36" fillId="0" borderId="0" xfId="0" quotePrefix="1" applyNumberFormat="1" applyFont="1" applyFill="1" applyBorder="1" applyAlignment="1">
      <alignment horizontal="left" vertical="center"/>
    </xf>
    <xf numFmtId="0" fontId="41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left" vertical="center"/>
    </xf>
    <xf numFmtId="180" fontId="41" fillId="2" borderId="0" xfId="0" applyNumberFormat="1" applyFont="1" applyFill="1" applyAlignment="1">
      <alignment horizontal="center" vertical="center"/>
    </xf>
    <xf numFmtId="0" fontId="37" fillId="2" borderId="8" xfId="0" applyFont="1" applyFill="1" applyBorder="1" applyAlignment="1">
      <alignment vertical="center"/>
    </xf>
    <xf numFmtId="180" fontId="41" fillId="0" borderId="0" xfId="0" applyNumberFormat="1" applyFont="1" applyFill="1" applyBorder="1" applyAlignment="1">
      <alignment horizontal="left" vertical="center"/>
    </xf>
    <xf numFmtId="0" fontId="42" fillId="2" borderId="6" xfId="0" applyFont="1" applyFill="1" applyBorder="1" applyAlignment="1">
      <alignment vertical="center"/>
    </xf>
    <xf numFmtId="0" fontId="37" fillId="2" borderId="2" xfId="0" applyFont="1" applyFill="1" applyBorder="1" applyAlignment="1">
      <alignment vertical="center"/>
    </xf>
    <xf numFmtId="0" fontId="36" fillId="2" borderId="6" xfId="0" applyFont="1" applyFill="1" applyBorder="1" applyAlignment="1">
      <alignment vertical="center"/>
    </xf>
    <xf numFmtId="180" fontId="41" fillId="2" borderId="0" xfId="0" quotePrefix="1" applyNumberFormat="1" applyFont="1" applyFill="1" applyAlignment="1">
      <alignment horizontal="left" vertical="center"/>
    </xf>
    <xf numFmtId="0" fontId="42" fillId="2" borderId="3" xfId="0" applyFont="1" applyFill="1" applyBorder="1" applyAlignment="1">
      <alignment vertical="center"/>
    </xf>
    <xf numFmtId="180" fontId="36" fillId="0" borderId="0" xfId="0" applyNumberFormat="1" applyFont="1" applyFill="1" applyBorder="1" applyAlignment="1">
      <alignment horizontal="right" vertical="center"/>
    </xf>
    <xf numFmtId="182" fontId="36" fillId="0" borderId="0" xfId="0" applyNumberFormat="1" applyFont="1" applyFill="1" applyBorder="1" applyAlignment="1">
      <alignment horizontal="right" vertical="center"/>
    </xf>
    <xf numFmtId="180" fontId="36" fillId="2" borderId="0" xfId="0" applyNumberFormat="1" applyFont="1" applyFill="1" applyBorder="1" applyAlignment="1">
      <alignment horizontal="right" vertical="center"/>
    </xf>
    <xf numFmtId="181" fontId="36" fillId="2" borderId="0" xfId="0" applyNumberFormat="1" applyFont="1" applyFill="1" applyAlignment="1">
      <alignment vertical="center"/>
    </xf>
    <xf numFmtId="180" fontId="36" fillId="2" borderId="0" xfId="0" applyNumberFormat="1" applyFont="1" applyFill="1" applyBorder="1" applyAlignment="1">
      <alignment vertical="center"/>
    </xf>
    <xf numFmtId="180" fontId="36" fillId="0" borderId="0" xfId="0" applyNumberFormat="1" applyFont="1" applyFill="1" applyBorder="1" applyAlignment="1">
      <alignment vertical="center"/>
    </xf>
    <xf numFmtId="0" fontId="36" fillId="2" borderId="0" xfId="0" applyFont="1" applyFill="1" applyBorder="1" applyAlignment="1">
      <alignment horizontal="right" vertical="center"/>
    </xf>
    <xf numFmtId="0" fontId="36" fillId="0" borderId="0" xfId="0" applyFont="1" applyFill="1" applyBorder="1" applyAlignment="1">
      <alignment horizontal="right" vertical="center"/>
    </xf>
    <xf numFmtId="181" fontId="36" fillId="0" borderId="0" xfId="0" applyNumberFormat="1" applyFont="1" applyFill="1" applyBorder="1" applyAlignment="1">
      <alignment vertical="center"/>
    </xf>
    <xf numFmtId="0" fontId="36" fillId="2" borderId="0" xfId="0" applyFont="1" applyFill="1" applyBorder="1" applyAlignment="1">
      <alignment horizontal="centerContinuous" vertical="center"/>
    </xf>
    <xf numFmtId="181" fontId="41" fillId="2" borderId="0" xfId="0" applyNumberFormat="1" applyFont="1" applyFill="1" applyBorder="1" applyAlignment="1">
      <alignment horizontal="right" vertical="center"/>
    </xf>
    <xf numFmtId="182" fontId="36" fillId="2" borderId="0" xfId="0" applyNumberFormat="1" applyFont="1" applyFill="1" applyBorder="1" applyAlignment="1">
      <alignment horizontal="right" vertical="center"/>
    </xf>
    <xf numFmtId="0" fontId="43" fillId="2" borderId="0" xfId="0" applyFont="1" applyFill="1" applyBorder="1" applyAlignment="1">
      <alignment vertical="center"/>
    </xf>
    <xf numFmtId="0" fontId="36" fillId="2" borderId="0" xfId="0" quotePrefix="1" applyFont="1" applyFill="1" applyAlignment="1">
      <alignment horizontal="left" vertical="center"/>
    </xf>
    <xf numFmtId="0" fontId="36" fillId="2" borderId="0" xfId="0" applyFont="1" applyFill="1" applyBorder="1" applyAlignment="1">
      <alignment horizontal="left" vertical="center" wrapText="1"/>
    </xf>
    <xf numFmtId="168" fontId="36" fillId="2" borderId="0" xfId="0" applyNumberFormat="1" applyFont="1" applyFill="1" applyBorder="1" applyAlignment="1">
      <alignment horizontal="left" vertical="center"/>
    </xf>
    <xf numFmtId="0" fontId="37" fillId="0" borderId="3" xfId="0" applyNumberFormat="1" applyFont="1" applyFill="1" applyBorder="1" applyAlignment="1">
      <alignment horizontal="left" vertical="center"/>
    </xf>
    <xf numFmtId="4" fontId="37" fillId="0" borderId="3" xfId="0" applyNumberFormat="1" applyFont="1" applyFill="1" applyBorder="1" applyAlignment="1">
      <alignment vertical="center"/>
    </xf>
    <xf numFmtId="177" fontId="37" fillId="0" borderId="3" xfId="0" applyNumberFormat="1" applyFont="1" applyFill="1" applyBorder="1" applyAlignment="1">
      <alignment horizontal="right" vertical="center"/>
    </xf>
    <xf numFmtId="0" fontId="44" fillId="0" borderId="0" xfId="0" applyFont="1" applyFill="1" applyBorder="1" applyAlignment="1">
      <alignment vertical="center"/>
    </xf>
    <xf numFmtId="0" fontId="37" fillId="0" borderId="3" xfId="0" applyFont="1" applyFill="1" applyBorder="1" applyAlignment="1">
      <alignment horizontal="left" vertical="center"/>
    </xf>
    <xf numFmtId="180" fontId="37" fillId="0" borderId="3" xfId="0" applyNumberFormat="1" applyFont="1" applyFill="1" applyBorder="1" applyAlignment="1">
      <alignment horizontal="right" vertical="center"/>
    </xf>
    <xf numFmtId="182" fontId="37" fillId="0" borderId="0" xfId="0" applyNumberFormat="1" applyFont="1" applyFill="1" applyBorder="1" applyAlignment="1">
      <alignment horizontal="right" vertical="center"/>
    </xf>
    <xf numFmtId="180" fontId="37" fillId="2" borderId="0" xfId="0" applyNumberFormat="1" applyFont="1" applyFill="1" applyBorder="1" applyAlignment="1">
      <alignment horizontal="right" vertical="center"/>
    </xf>
    <xf numFmtId="0" fontId="37" fillId="2" borderId="1" xfId="0" applyFont="1" applyFill="1" applyBorder="1" applyAlignment="1">
      <alignment vertical="center"/>
    </xf>
    <xf numFmtId="15" fontId="37" fillId="2" borderId="1" xfId="0" applyNumberFormat="1" applyFont="1" applyFill="1" applyBorder="1" applyAlignment="1">
      <alignment vertical="center"/>
    </xf>
    <xf numFmtId="173" fontId="36" fillId="0" borderId="1" xfId="0" applyNumberFormat="1" applyFont="1" applyFill="1" applyBorder="1" applyAlignment="1">
      <alignment horizontal="left" vertical="center"/>
    </xf>
    <xf numFmtId="172" fontId="41" fillId="0" borderId="1" xfId="0" applyNumberFormat="1" applyFont="1" applyFill="1" applyBorder="1" applyAlignment="1">
      <alignment horizontal="left" vertical="center"/>
    </xf>
    <xf numFmtId="178" fontId="36" fillId="2" borderId="1" xfId="0" applyNumberFormat="1" applyFont="1" applyFill="1" applyBorder="1" applyAlignment="1">
      <alignment vertical="center"/>
    </xf>
    <xf numFmtId="174" fontId="36" fillId="0" borderId="0" xfId="0" applyNumberFormat="1" applyFont="1" applyFill="1" applyBorder="1" applyAlignment="1">
      <alignment horizontal="center" vertical="center"/>
    </xf>
    <xf numFmtId="172" fontId="36" fillId="0" borderId="0" xfId="0" applyNumberFormat="1" applyFont="1" applyFill="1" applyBorder="1" applyAlignment="1">
      <alignment horizontal="right" vertical="center"/>
    </xf>
    <xf numFmtId="181" fontId="41" fillId="0" borderId="0" xfId="0" applyNumberFormat="1" applyFont="1" applyFill="1" applyBorder="1" applyAlignment="1">
      <alignment horizontal="right" vertical="center"/>
    </xf>
    <xf numFmtId="172" fontId="36" fillId="2" borderId="0" xfId="0" applyNumberFormat="1" applyFont="1" applyFill="1" applyBorder="1" applyAlignment="1">
      <alignment horizontal="right" vertical="center"/>
    </xf>
    <xf numFmtId="181" fontId="41" fillId="2" borderId="0" xfId="0" applyNumberFormat="1" applyFont="1" applyFill="1" applyBorder="1" applyAlignment="1">
      <alignment horizontal="right" vertical="center"/>
    </xf>
    <xf numFmtId="0" fontId="36" fillId="0" borderId="1" xfId="0" applyFont="1" applyFill="1" applyBorder="1" applyAlignment="1">
      <alignment vertical="top"/>
    </xf>
    <xf numFmtId="0" fontId="36" fillId="0" borderId="7" xfId="0" applyFont="1" applyFill="1" applyBorder="1" applyAlignment="1">
      <alignment vertical="top"/>
    </xf>
    <xf numFmtId="0" fontId="36" fillId="0" borderId="6" xfId="0" applyFont="1" applyFill="1" applyBorder="1" applyAlignment="1">
      <alignment vertical="top"/>
    </xf>
    <xf numFmtId="0" fontId="36" fillId="0" borderId="0" xfId="0" applyFont="1" applyFill="1" applyAlignment="1">
      <alignment vertical="top"/>
    </xf>
    <xf numFmtId="0" fontId="36" fillId="0" borderId="0" xfId="0" applyFont="1" applyFill="1" applyAlignment="1">
      <alignment horizontal="center" vertical="top"/>
    </xf>
    <xf numFmtId="0" fontId="36" fillId="2" borderId="0" xfId="0" applyFont="1" applyFill="1" applyAlignment="1">
      <alignment vertical="top"/>
    </xf>
    <xf numFmtId="170" fontId="36" fillId="0" borderId="0" xfId="0" quotePrefix="1" applyNumberFormat="1" applyFont="1" applyFill="1" applyBorder="1" applyAlignment="1">
      <alignment horizontal="left" vertical="top" wrapText="1"/>
    </xf>
    <xf numFmtId="170" fontId="38" fillId="0" borderId="0" xfId="0" applyNumberFormat="1" applyFont="1" applyFill="1" applyBorder="1" applyAlignment="1">
      <alignment horizontal="left" vertical="top"/>
    </xf>
    <xf numFmtId="0" fontId="36" fillId="0" borderId="0" xfId="0" applyFont="1" applyFill="1" applyBorder="1" applyAlignment="1">
      <alignment vertical="top"/>
    </xf>
    <xf numFmtId="0" fontId="36" fillId="0" borderId="0" xfId="0" applyNumberFormat="1" applyFont="1" applyFill="1" applyAlignment="1">
      <alignment vertical="top"/>
    </xf>
    <xf numFmtId="0" fontId="37" fillId="0" borderId="0" xfId="0" applyFont="1" applyFill="1"/>
    <xf numFmtId="186" fontId="36" fillId="0" borderId="1" xfId="0" applyNumberFormat="1" applyFont="1" applyFill="1" applyBorder="1" applyAlignment="1">
      <alignment horizontal="right" vertical="center"/>
    </xf>
    <xf numFmtId="0" fontId="37" fillId="2" borderId="6" xfId="0" applyFont="1" applyFill="1" applyBorder="1" applyAlignment="1">
      <alignment vertical="center"/>
    </xf>
    <xf numFmtId="0" fontId="37" fillId="2" borderId="0" xfId="0" applyFont="1" applyFill="1" applyBorder="1" applyAlignment="1">
      <alignment horizontal="center" vertical="center"/>
    </xf>
    <xf numFmtId="0" fontId="37" fillId="2" borderId="0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181" fontId="41" fillId="0" borderId="0" xfId="0" applyNumberFormat="1" applyFont="1" applyFill="1" applyBorder="1" applyAlignment="1">
      <alignment horizontal="right" vertical="center"/>
    </xf>
    <xf numFmtId="172" fontId="36" fillId="2" borderId="0" xfId="0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0" xfId="0" applyFont="1" applyFill="1" applyAlignment="1">
      <alignment horizontal="left" vertical="center"/>
    </xf>
    <xf numFmtId="0" fontId="36" fillId="2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vertical="center"/>
    </xf>
    <xf numFmtId="0" fontId="44" fillId="0" borderId="1" xfId="0" applyFont="1" applyFill="1" applyBorder="1" applyAlignment="1">
      <alignment vertical="center"/>
    </xf>
    <xf numFmtId="0" fontId="37" fillId="0" borderId="7" xfId="0" applyFont="1" applyFill="1" applyBorder="1" applyAlignment="1">
      <alignment vertical="center"/>
    </xf>
    <xf numFmtId="0" fontId="44" fillId="0" borderId="7" xfId="0" applyFont="1" applyFill="1" applyBorder="1" applyAlignment="1">
      <alignment vertical="center"/>
    </xf>
    <xf numFmtId="172" fontId="44" fillId="0" borderId="0" xfId="0" applyNumberFormat="1" applyFont="1" applyFill="1" applyBorder="1" applyAlignment="1">
      <alignment horizontal="left" vertical="center"/>
    </xf>
    <xf numFmtId="0" fontId="36" fillId="0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44" fillId="2" borderId="1" xfId="0" applyFont="1" applyFill="1" applyBorder="1" applyAlignment="1">
      <alignment vertical="center"/>
    </xf>
    <xf numFmtId="0" fontId="37" fillId="2" borderId="7" xfId="0" applyFont="1" applyFill="1" applyBorder="1" applyAlignment="1">
      <alignment vertical="center"/>
    </xf>
    <xf numFmtId="0" fontId="44" fillId="2" borderId="7" xfId="0" applyFont="1" applyFill="1" applyBorder="1" applyAlignment="1">
      <alignment vertical="center"/>
    </xf>
    <xf numFmtId="180" fontId="44" fillId="0" borderId="0" xfId="0" applyNumberFormat="1" applyFont="1" applyFill="1" applyBorder="1" applyAlignment="1">
      <alignment horizontal="left" vertical="center"/>
    </xf>
    <xf numFmtId="0" fontId="36" fillId="0" borderId="0" xfId="0" applyFont="1" applyFill="1" applyAlignment="1">
      <alignment horizontal="center" vertical="center"/>
    </xf>
    <xf numFmtId="181" fontId="41" fillId="0" borderId="0" xfId="0" applyNumberFormat="1" applyFont="1" applyFill="1" applyBorder="1" applyAlignment="1">
      <alignment horizontal="right" vertical="center"/>
    </xf>
    <xf numFmtId="172" fontId="36" fillId="0" borderId="0" xfId="0" applyNumberFormat="1" applyFont="1" applyFill="1" applyBorder="1" applyAlignment="1">
      <alignment horizontal="right" vertical="center"/>
    </xf>
    <xf numFmtId="187" fontId="36" fillId="2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center" vertical="center"/>
    </xf>
    <xf numFmtId="17" fontId="36" fillId="0" borderId="0" xfId="0" applyNumberFormat="1" applyFont="1" applyFill="1" applyAlignment="1">
      <alignment horizontal="left" vertical="center" wrapText="1"/>
    </xf>
    <xf numFmtId="168" fontId="36" fillId="0" borderId="0" xfId="0" quotePrefix="1" applyNumberFormat="1" applyFont="1" applyFill="1" applyAlignment="1">
      <alignment horizontal="left" vertical="center" wrapText="1"/>
    </xf>
    <xf numFmtId="0" fontId="36" fillId="0" borderId="0" xfId="0" applyFont="1" applyFill="1" applyAlignment="1">
      <alignment horizontal="left" vertical="center" wrapText="1"/>
    </xf>
    <xf numFmtId="0" fontId="37" fillId="0" borderId="0" xfId="0" applyNumberFormat="1" applyFont="1" applyFill="1" applyAlignment="1">
      <alignment vertical="center" wrapText="1"/>
    </xf>
    <xf numFmtId="172" fontId="36" fillId="0" borderId="0" xfId="0" applyNumberFormat="1" applyFont="1" applyFill="1" applyAlignment="1">
      <alignment horizontal="left" vertical="center"/>
    </xf>
    <xf numFmtId="166" fontId="37" fillId="0" borderId="1" xfId="0" applyNumberFormat="1" applyFont="1" applyFill="1" applyBorder="1" applyAlignment="1">
      <alignment horizontal="left" vertical="center"/>
    </xf>
    <xf numFmtId="166" fontId="36" fillId="0" borderId="1" xfId="0" applyNumberFormat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17" fontId="36" fillId="0" borderId="0" xfId="0" quotePrefix="1" applyNumberFormat="1" applyFont="1" applyFill="1" applyAlignment="1">
      <alignment horizontal="left" vertical="center"/>
    </xf>
    <xf numFmtId="181" fontId="36" fillId="0" borderId="0" xfId="0" applyNumberFormat="1" applyFont="1" applyFill="1" applyBorder="1" applyAlignment="1">
      <alignment horizontal="left" vertical="center"/>
    </xf>
    <xf numFmtId="180" fontId="41" fillId="0" borderId="0" xfId="0" applyNumberFormat="1" applyFont="1" applyFill="1" applyAlignment="1">
      <alignment horizontal="center" vertical="center"/>
    </xf>
    <xf numFmtId="181" fontId="41" fillId="0" borderId="1" xfId="0" applyNumberFormat="1" applyFont="1" applyFill="1" applyBorder="1" applyAlignment="1">
      <alignment vertical="center"/>
    </xf>
    <xf numFmtId="172" fontId="36" fillId="0" borderId="1" xfId="0" applyNumberFormat="1" applyFont="1" applyFill="1" applyBorder="1" applyAlignment="1">
      <alignment vertical="center"/>
    </xf>
    <xf numFmtId="180" fontId="36" fillId="0" borderId="1" xfId="0" applyNumberFormat="1" applyFont="1" applyFill="1" applyBorder="1" applyAlignment="1">
      <alignment vertical="center"/>
    </xf>
    <xf numFmtId="181" fontId="36" fillId="0" borderId="1" xfId="0" applyNumberFormat="1" applyFont="1" applyFill="1" applyBorder="1" applyAlignment="1">
      <alignment vertical="center"/>
    </xf>
    <xf numFmtId="181" fontId="36" fillId="0" borderId="0" xfId="0" applyNumberFormat="1" applyFont="1" applyFill="1" applyAlignment="1">
      <alignment vertical="center"/>
    </xf>
    <xf numFmtId="49" fontId="36" fillId="0" borderId="0" xfId="0" quotePrefix="1" applyNumberFormat="1" applyFont="1" applyFill="1" applyAlignment="1">
      <alignment horizontal="left" vertical="center"/>
    </xf>
    <xf numFmtId="49" fontId="36" fillId="0" borderId="0" xfId="0" quotePrefix="1" applyNumberFormat="1" applyFont="1" applyFill="1" applyAlignment="1">
      <alignment horizontal="left" vertical="center" wrapText="1"/>
    </xf>
    <xf numFmtId="49" fontId="36" fillId="0" borderId="0" xfId="0" applyNumberFormat="1" applyFont="1" applyFill="1" applyAlignment="1">
      <alignment vertical="center"/>
    </xf>
    <xf numFmtId="0" fontId="37" fillId="0" borderId="0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36" fillId="0" borderId="0" xfId="0" applyFont="1" applyAlignment="1">
      <alignment vertical="center"/>
    </xf>
    <xf numFmtId="0" fontId="36" fillId="0" borderId="0" xfId="0" applyFont="1" applyFill="1" applyAlignment="1">
      <alignment horizontal="left" vertical="center"/>
    </xf>
    <xf numFmtId="176" fontId="36" fillId="0" borderId="0" xfId="0" quotePrefix="1" applyNumberFormat="1" applyFont="1" applyFill="1" applyAlignment="1">
      <alignment horizontal="center" vertical="center"/>
    </xf>
    <xf numFmtId="177" fontId="36" fillId="0" borderId="0" xfId="0" applyNumberFormat="1" applyFont="1" applyFill="1" applyBorder="1" applyAlignment="1">
      <alignment horizontal="center" vertical="center"/>
    </xf>
    <xf numFmtId="172" fontId="36" fillId="0" borderId="0" xfId="0" applyNumberFormat="1" applyFont="1" applyFill="1" applyAlignment="1">
      <alignment horizontal="right" vertical="center"/>
    </xf>
    <xf numFmtId="0" fontId="35" fillId="2" borderId="1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left" vertical="center"/>
    </xf>
    <xf numFmtId="0" fontId="36" fillId="2" borderId="0" xfId="0" quotePrefix="1" applyFont="1" applyFill="1" applyAlignment="1">
      <alignment horizontal="left" vertical="center"/>
    </xf>
    <xf numFmtId="0" fontId="44" fillId="0" borderId="0" xfId="0" applyFont="1" applyFill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center" vertical="center"/>
    </xf>
    <xf numFmtId="186" fontId="37" fillId="0" borderId="5" xfId="0" applyNumberFormat="1" applyFont="1" applyFill="1" applyBorder="1" applyAlignment="1">
      <alignment horizontal="center" vertical="center"/>
    </xf>
    <xf numFmtId="186" fontId="37" fillId="0" borderId="1" xfId="0" applyNumberFormat="1" applyFont="1" applyFill="1" applyBorder="1" applyAlignment="1">
      <alignment horizontal="center" vertical="center"/>
    </xf>
    <xf numFmtId="186" fontId="37" fillId="0" borderId="7" xfId="0" applyNumberFormat="1" applyFont="1" applyFill="1" applyBorder="1" applyAlignment="1">
      <alignment horizontal="center" vertical="center"/>
    </xf>
    <xf numFmtId="0" fontId="37" fillId="0" borderId="0" xfId="0" applyFont="1" applyFill="1" applyAlignment="1">
      <alignment horizontal="left" vertical="center"/>
    </xf>
    <xf numFmtId="186" fontId="36" fillId="0" borderId="1" xfId="0" applyNumberFormat="1" applyFont="1" applyFill="1" applyBorder="1" applyAlignment="1">
      <alignment horizontal="right" vertical="center"/>
    </xf>
    <xf numFmtId="180" fontId="37" fillId="0" borderId="3" xfId="0" applyNumberFormat="1" applyFont="1" applyFill="1" applyBorder="1" applyAlignment="1">
      <alignment horizontal="center" vertical="center"/>
    </xf>
    <xf numFmtId="181" fontId="37" fillId="0" borderId="3" xfId="0" applyNumberFormat="1" applyFont="1" applyFill="1" applyBorder="1" applyAlignment="1">
      <alignment horizontal="center" vertical="center"/>
    </xf>
    <xf numFmtId="181" fontId="37" fillId="0" borderId="3" xfId="0" applyNumberFormat="1" applyFont="1" applyFill="1" applyBorder="1" applyAlignment="1">
      <alignment horizontal="right" vertical="center"/>
    </xf>
    <xf numFmtId="172" fontId="37" fillId="0" borderId="3" xfId="0" applyNumberFormat="1" applyFont="1" applyFill="1" applyBorder="1" applyAlignment="1">
      <alignment horizontal="right" vertical="center"/>
    </xf>
    <xf numFmtId="177" fontId="37" fillId="0" borderId="3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46" fillId="0" borderId="2" xfId="0" applyFont="1" applyFill="1" applyBorder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47" fillId="0" borderId="22" xfId="0" applyFont="1" applyFill="1" applyBorder="1" applyAlignment="1">
      <alignment horizontal="center" vertical="center" wrapText="1"/>
    </xf>
    <xf numFmtId="0" fontId="47" fillId="0" borderId="23" xfId="0" applyFont="1" applyFill="1" applyBorder="1" applyAlignment="1">
      <alignment horizontal="center" vertical="center" wrapText="1"/>
    </xf>
    <xf numFmtId="0" fontId="47" fillId="0" borderId="24" xfId="0" applyFont="1" applyFill="1" applyBorder="1" applyAlignment="1">
      <alignment horizontal="center" vertical="center" wrapText="1"/>
    </xf>
    <xf numFmtId="0" fontId="47" fillId="0" borderId="2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26" xfId="0" applyFont="1" applyFill="1" applyBorder="1" applyAlignment="1">
      <alignment horizontal="center" vertical="center" wrapText="1"/>
    </xf>
    <xf numFmtId="0" fontId="47" fillId="0" borderId="27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28" xfId="0" applyFont="1" applyFill="1" applyBorder="1" applyAlignment="1">
      <alignment horizontal="center" vertical="center" wrapText="1"/>
    </xf>
    <xf numFmtId="181" fontId="36" fillId="0" borderId="0" xfId="0" applyNumberFormat="1" applyFont="1" applyFill="1" applyBorder="1" applyAlignment="1">
      <alignment horizontal="center" vertical="center"/>
    </xf>
    <xf numFmtId="180" fontId="36" fillId="0" borderId="0" xfId="0" applyNumberFormat="1" applyFont="1" applyFill="1" applyBorder="1" applyAlignment="1">
      <alignment horizontal="center" vertical="center"/>
    </xf>
    <xf numFmtId="172" fontId="37" fillId="0" borderId="3" xfId="0" applyNumberFormat="1" applyFont="1" applyFill="1" applyBorder="1" applyAlignment="1">
      <alignment vertical="center"/>
    </xf>
    <xf numFmtId="0" fontId="37" fillId="0" borderId="0" xfId="0" applyFont="1" applyFill="1" applyBorder="1" applyAlignment="1">
      <alignment horizontal="left" vertical="center"/>
    </xf>
    <xf numFmtId="0" fontId="48" fillId="0" borderId="0" xfId="0" applyFont="1" applyAlignment="1">
      <alignment horizontal="center" vertical="center" wrapText="1"/>
    </xf>
  </cellXfs>
  <cellStyles count="516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Buena" xfId="19" xr:uid="{00000000-0005-0000-0000-000012000000}"/>
    <cellStyle name="Cálculo" xfId="20" xr:uid="{00000000-0005-0000-0000-000013000000}"/>
    <cellStyle name="category" xfId="21" xr:uid="{00000000-0005-0000-0000-000014000000}"/>
    <cellStyle name="Celda de comprobación" xfId="22" xr:uid="{00000000-0005-0000-0000-000015000000}"/>
    <cellStyle name="Celda vinculada" xfId="23" xr:uid="{00000000-0005-0000-0000-000016000000}"/>
    <cellStyle name="Encabezado 4" xfId="24" xr:uid="{00000000-0005-0000-0000-000017000000}"/>
    <cellStyle name="Énfasis1" xfId="25" xr:uid="{00000000-0005-0000-0000-000018000000}"/>
    <cellStyle name="Énfasis2" xfId="26" xr:uid="{00000000-0005-0000-0000-000019000000}"/>
    <cellStyle name="Énfasis3" xfId="27" xr:uid="{00000000-0005-0000-0000-00001A000000}"/>
    <cellStyle name="Énfasis4" xfId="28" xr:uid="{00000000-0005-0000-0000-00001B000000}"/>
    <cellStyle name="Énfasis5" xfId="29" xr:uid="{00000000-0005-0000-0000-00001C000000}"/>
    <cellStyle name="Énfasis6" xfId="30" xr:uid="{00000000-0005-0000-0000-00001D000000}"/>
    <cellStyle name="Entrada" xfId="31" xr:uid="{00000000-0005-0000-0000-00001E000000}"/>
    <cellStyle name="Grey" xfId="32" xr:uid="{00000000-0005-0000-0000-00001F000000}"/>
    <cellStyle name="HEADER" xfId="33" xr:uid="{00000000-0005-0000-0000-000020000000}"/>
    <cellStyle name="Header1" xfId="34" xr:uid="{00000000-0005-0000-0000-000021000000}"/>
    <cellStyle name="Header2" xfId="35" xr:uid="{00000000-0005-0000-0000-000022000000}"/>
    <cellStyle name="Incorrecto" xfId="36" xr:uid="{00000000-0005-0000-0000-000023000000}"/>
    <cellStyle name="Input [yellow]" xfId="37" xr:uid="{00000000-0005-0000-0000-000024000000}"/>
    <cellStyle name="Model" xfId="38" xr:uid="{00000000-0005-0000-0000-000025000000}"/>
    <cellStyle name="Normal" xfId="0" builtinId="0"/>
    <cellStyle name="Normal - Style1" xfId="39" xr:uid="{00000000-0005-0000-0000-000027000000}"/>
    <cellStyle name="Notas" xfId="40" xr:uid="{00000000-0005-0000-0000-000028000000}"/>
    <cellStyle name="Percent [2]" xfId="41" xr:uid="{00000000-0005-0000-0000-000029000000}"/>
    <cellStyle name="Salida" xfId="42" xr:uid="{00000000-0005-0000-0000-00002A000000}"/>
    <cellStyle name="subhead" xfId="43" xr:uid="{00000000-0005-0000-0000-00002B000000}"/>
    <cellStyle name="Texto de advertencia" xfId="44" xr:uid="{00000000-0005-0000-0000-00002C000000}"/>
    <cellStyle name="Texto explicativo" xfId="45" xr:uid="{00000000-0005-0000-0000-00002D000000}"/>
    <cellStyle name="Título" xfId="46" xr:uid="{00000000-0005-0000-0000-00002E000000}"/>
    <cellStyle name="Título 1" xfId="47" xr:uid="{00000000-0005-0000-0000-00002F000000}"/>
    <cellStyle name="Título 2" xfId="48" xr:uid="{00000000-0005-0000-0000-000030000000}"/>
    <cellStyle name="Título 3" xfId="49" xr:uid="{00000000-0005-0000-0000-000031000000}"/>
    <cellStyle name="고정소숫점" xfId="50" xr:uid="{00000000-0005-0000-0000-000032000000}"/>
    <cellStyle name="고정출력1" xfId="51" xr:uid="{00000000-0005-0000-0000-000033000000}"/>
    <cellStyle name="고정출력2" xfId="52" xr:uid="{00000000-0005-0000-0000-000034000000}"/>
    <cellStyle name="날짜" xfId="53" xr:uid="{00000000-0005-0000-0000-000035000000}"/>
    <cellStyle name="달러" xfId="54" xr:uid="{00000000-0005-0000-0000-000036000000}"/>
    <cellStyle name="쉼표 [0] 2" xfId="55" xr:uid="{00000000-0005-0000-0000-000037000000}"/>
    <cellStyle name="쉼표 [0] 2 2" xfId="56" xr:uid="{00000000-0005-0000-0000-000038000000}"/>
    <cellStyle name="쉼표 [0] 2 2 2" xfId="57" xr:uid="{00000000-0005-0000-0000-000039000000}"/>
    <cellStyle name="쉼표 [0] 2 2 2 2" xfId="58" xr:uid="{00000000-0005-0000-0000-00003A000000}"/>
    <cellStyle name="쉼표 [0] 2 2 2 2 2" xfId="59" xr:uid="{00000000-0005-0000-0000-00003B000000}"/>
    <cellStyle name="쉼표 [0] 2 2 2 2 2 2" xfId="60" xr:uid="{00000000-0005-0000-0000-00003C000000}"/>
    <cellStyle name="쉼표 [0] 2 2 2 2 2 2 2" xfId="61" xr:uid="{00000000-0005-0000-0000-00003D000000}"/>
    <cellStyle name="쉼표 [0] 2 3" xfId="62" xr:uid="{00000000-0005-0000-0000-00003E000000}"/>
    <cellStyle name="쉼표 [0] 2 4" xfId="63" xr:uid="{00000000-0005-0000-0000-00003F000000}"/>
    <cellStyle name="쉼표 [0] 2 4 2" xfId="64" xr:uid="{00000000-0005-0000-0000-000040000000}"/>
    <cellStyle name="쉼표 [0] 3" xfId="65" xr:uid="{00000000-0005-0000-0000-000041000000}"/>
    <cellStyle name="쉼표 [0] 3 2" xfId="66" xr:uid="{00000000-0005-0000-0000-000042000000}"/>
    <cellStyle name="쉼표 [0] 4" xfId="67" xr:uid="{00000000-0005-0000-0000-000043000000}"/>
    <cellStyle name="쉼표 [0] 5" xfId="68" xr:uid="{00000000-0005-0000-0000-000044000000}"/>
    <cellStyle name="쉼표 2 2" xfId="69" xr:uid="{00000000-0005-0000-0000-000045000000}"/>
    <cellStyle name="쉼표 2 3" xfId="70" xr:uid="{00000000-0005-0000-0000-000046000000}"/>
    <cellStyle name="쉼표 2 4" xfId="71" xr:uid="{00000000-0005-0000-0000-000047000000}"/>
    <cellStyle name="쉼표 2 5" xfId="72" xr:uid="{00000000-0005-0000-0000-000048000000}"/>
    <cellStyle name="쉼표 2 6" xfId="73" xr:uid="{00000000-0005-0000-0000-000049000000}"/>
    <cellStyle name="쉼표 3" xfId="74" xr:uid="{00000000-0005-0000-0000-00004A000000}"/>
    <cellStyle name="쉼표 4" xfId="75" xr:uid="{00000000-0005-0000-0000-00004B000000}"/>
    <cellStyle name="스타일 1" xfId="76" xr:uid="{00000000-0005-0000-0000-00004C000000}"/>
    <cellStyle name="스타일 1 2" xfId="77" xr:uid="{00000000-0005-0000-0000-00004D000000}"/>
    <cellStyle name="스타일 1 2 10" xfId="78" xr:uid="{00000000-0005-0000-0000-00004E000000}"/>
    <cellStyle name="스타일 1 2 10 2" xfId="79" xr:uid="{00000000-0005-0000-0000-00004F000000}"/>
    <cellStyle name="스타일 1 2 10 3" xfId="80" xr:uid="{00000000-0005-0000-0000-000050000000}"/>
    <cellStyle name="스타일 1 2 10 4" xfId="81" xr:uid="{00000000-0005-0000-0000-000051000000}"/>
    <cellStyle name="스타일 1 2 10 5" xfId="82" xr:uid="{00000000-0005-0000-0000-000052000000}"/>
    <cellStyle name="스타일 1 2 11" xfId="83" xr:uid="{00000000-0005-0000-0000-000053000000}"/>
    <cellStyle name="스타일 1 2 11 2" xfId="84" xr:uid="{00000000-0005-0000-0000-000054000000}"/>
    <cellStyle name="스타일 1 2 11 3" xfId="85" xr:uid="{00000000-0005-0000-0000-000055000000}"/>
    <cellStyle name="스타일 1 2 11 4" xfId="86" xr:uid="{00000000-0005-0000-0000-000056000000}"/>
    <cellStyle name="스타일 1 2 11 5" xfId="87" xr:uid="{00000000-0005-0000-0000-000057000000}"/>
    <cellStyle name="스타일 1 2 12" xfId="88" xr:uid="{00000000-0005-0000-0000-000058000000}"/>
    <cellStyle name="스타일 1 2 12 2" xfId="89" xr:uid="{00000000-0005-0000-0000-000059000000}"/>
    <cellStyle name="스타일 1 2 12 3" xfId="90" xr:uid="{00000000-0005-0000-0000-00005A000000}"/>
    <cellStyle name="스타일 1 2 12 4" xfId="91" xr:uid="{00000000-0005-0000-0000-00005B000000}"/>
    <cellStyle name="스타일 1 2 12 5" xfId="92" xr:uid="{00000000-0005-0000-0000-00005C000000}"/>
    <cellStyle name="스타일 1 2 13" xfId="93" xr:uid="{00000000-0005-0000-0000-00005D000000}"/>
    <cellStyle name="스타일 1 2 13 2" xfId="94" xr:uid="{00000000-0005-0000-0000-00005E000000}"/>
    <cellStyle name="스타일 1 2 13 3" xfId="95" xr:uid="{00000000-0005-0000-0000-00005F000000}"/>
    <cellStyle name="스타일 1 2 13 4" xfId="96" xr:uid="{00000000-0005-0000-0000-000060000000}"/>
    <cellStyle name="스타일 1 2 13 5" xfId="97" xr:uid="{00000000-0005-0000-0000-000061000000}"/>
    <cellStyle name="스타일 1 2 14" xfId="98" xr:uid="{00000000-0005-0000-0000-000062000000}"/>
    <cellStyle name="스타일 1 2 14 2" xfId="99" xr:uid="{00000000-0005-0000-0000-000063000000}"/>
    <cellStyle name="스타일 1 2 14 3" xfId="100" xr:uid="{00000000-0005-0000-0000-000064000000}"/>
    <cellStyle name="스타일 1 2 14 4" xfId="101" xr:uid="{00000000-0005-0000-0000-000065000000}"/>
    <cellStyle name="스타일 1 2 14 5" xfId="102" xr:uid="{00000000-0005-0000-0000-000066000000}"/>
    <cellStyle name="스타일 1 2 15" xfId="103" xr:uid="{00000000-0005-0000-0000-000067000000}"/>
    <cellStyle name="스타일 1 2 15 2" xfId="104" xr:uid="{00000000-0005-0000-0000-000068000000}"/>
    <cellStyle name="스타일 1 2 15 3" xfId="105" xr:uid="{00000000-0005-0000-0000-000069000000}"/>
    <cellStyle name="스타일 1 2 15 4" xfId="106" xr:uid="{00000000-0005-0000-0000-00006A000000}"/>
    <cellStyle name="스타일 1 2 15 5" xfId="107" xr:uid="{00000000-0005-0000-0000-00006B000000}"/>
    <cellStyle name="스타일 1 2 16" xfId="108" xr:uid="{00000000-0005-0000-0000-00006C000000}"/>
    <cellStyle name="스타일 1 2 16 2" xfId="109" xr:uid="{00000000-0005-0000-0000-00006D000000}"/>
    <cellStyle name="스타일 1 2 16 3" xfId="110" xr:uid="{00000000-0005-0000-0000-00006E000000}"/>
    <cellStyle name="스타일 1 2 16 4" xfId="111" xr:uid="{00000000-0005-0000-0000-00006F000000}"/>
    <cellStyle name="스타일 1 2 16 5" xfId="112" xr:uid="{00000000-0005-0000-0000-000070000000}"/>
    <cellStyle name="스타일 1 2 17" xfId="113" xr:uid="{00000000-0005-0000-0000-000071000000}"/>
    <cellStyle name="스타일 1 2 17 2" xfId="114" xr:uid="{00000000-0005-0000-0000-000072000000}"/>
    <cellStyle name="스타일 1 2 17 3" xfId="115" xr:uid="{00000000-0005-0000-0000-000073000000}"/>
    <cellStyle name="스타일 1 2 17 4" xfId="116" xr:uid="{00000000-0005-0000-0000-000074000000}"/>
    <cellStyle name="스타일 1 2 17 5" xfId="117" xr:uid="{00000000-0005-0000-0000-000075000000}"/>
    <cellStyle name="스타일 1 2 18" xfId="118" xr:uid="{00000000-0005-0000-0000-000076000000}"/>
    <cellStyle name="스타일 1 2 18 2" xfId="119" xr:uid="{00000000-0005-0000-0000-000077000000}"/>
    <cellStyle name="스타일 1 2 18 3" xfId="120" xr:uid="{00000000-0005-0000-0000-000078000000}"/>
    <cellStyle name="스타일 1 2 18 4" xfId="121" xr:uid="{00000000-0005-0000-0000-000079000000}"/>
    <cellStyle name="스타일 1 2 18 5" xfId="122" xr:uid="{00000000-0005-0000-0000-00007A000000}"/>
    <cellStyle name="스타일 1 2 19" xfId="123" xr:uid="{00000000-0005-0000-0000-00007B000000}"/>
    <cellStyle name="스타일 1 2 19 2" xfId="124" xr:uid="{00000000-0005-0000-0000-00007C000000}"/>
    <cellStyle name="스타일 1 2 19 3" xfId="125" xr:uid="{00000000-0005-0000-0000-00007D000000}"/>
    <cellStyle name="스타일 1 2 19 4" xfId="126" xr:uid="{00000000-0005-0000-0000-00007E000000}"/>
    <cellStyle name="스타일 1 2 19 5" xfId="127" xr:uid="{00000000-0005-0000-0000-00007F000000}"/>
    <cellStyle name="스타일 1 2 2" xfId="128" xr:uid="{00000000-0005-0000-0000-000080000000}"/>
    <cellStyle name="스타일 1 2 2 2" xfId="129" xr:uid="{00000000-0005-0000-0000-000081000000}"/>
    <cellStyle name="스타일 1 2 2 3" xfId="130" xr:uid="{00000000-0005-0000-0000-000082000000}"/>
    <cellStyle name="스타일 1 2 2 4" xfId="131" xr:uid="{00000000-0005-0000-0000-000083000000}"/>
    <cellStyle name="스타일 1 2 2 5" xfId="132" xr:uid="{00000000-0005-0000-0000-000084000000}"/>
    <cellStyle name="스타일 1 2 20" xfId="133" xr:uid="{00000000-0005-0000-0000-000085000000}"/>
    <cellStyle name="스타일 1 2 20 2" xfId="134" xr:uid="{00000000-0005-0000-0000-000086000000}"/>
    <cellStyle name="스타일 1 2 20 3" xfId="135" xr:uid="{00000000-0005-0000-0000-000087000000}"/>
    <cellStyle name="스타일 1 2 20 4" xfId="136" xr:uid="{00000000-0005-0000-0000-000088000000}"/>
    <cellStyle name="스타일 1 2 20 5" xfId="137" xr:uid="{00000000-0005-0000-0000-000089000000}"/>
    <cellStyle name="스타일 1 2 21" xfId="138" xr:uid="{00000000-0005-0000-0000-00008A000000}"/>
    <cellStyle name="스타일 1 2 21 2" xfId="139" xr:uid="{00000000-0005-0000-0000-00008B000000}"/>
    <cellStyle name="스타일 1 2 21 3" xfId="140" xr:uid="{00000000-0005-0000-0000-00008C000000}"/>
    <cellStyle name="스타일 1 2 21 4" xfId="141" xr:uid="{00000000-0005-0000-0000-00008D000000}"/>
    <cellStyle name="스타일 1 2 21 5" xfId="142" xr:uid="{00000000-0005-0000-0000-00008E000000}"/>
    <cellStyle name="스타일 1 2 22" xfId="143" xr:uid="{00000000-0005-0000-0000-00008F000000}"/>
    <cellStyle name="스타일 1 2 22 2" xfId="144" xr:uid="{00000000-0005-0000-0000-000090000000}"/>
    <cellStyle name="스타일 1 2 22 3" xfId="145" xr:uid="{00000000-0005-0000-0000-000091000000}"/>
    <cellStyle name="스타일 1 2 22 4" xfId="146" xr:uid="{00000000-0005-0000-0000-000092000000}"/>
    <cellStyle name="스타일 1 2 22 5" xfId="147" xr:uid="{00000000-0005-0000-0000-000093000000}"/>
    <cellStyle name="스타일 1 2 23" xfId="148" xr:uid="{00000000-0005-0000-0000-000094000000}"/>
    <cellStyle name="스타일 1 2 23 2" xfId="149" xr:uid="{00000000-0005-0000-0000-000095000000}"/>
    <cellStyle name="스타일 1 2 23 3" xfId="150" xr:uid="{00000000-0005-0000-0000-000096000000}"/>
    <cellStyle name="스타일 1 2 23 4" xfId="151" xr:uid="{00000000-0005-0000-0000-000097000000}"/>
    <cellStyle name="스타일 1 2 23 5" xfId="152" xr:uid="{00000000-0005-0000-0000-000098000000}"/>
    <cellStyle name="스타일 1 2 24" xfId="153" xr:uid="{00000000-0005-0000-0000-000099000000}"/>
    <cellStyle name="스타일 1 2 24 2" xfId="154" xr:uid="{00000000-0005-0000-0000-00009A000000}"/>
    <cellStyle name="스타일 1 2 24 3" xfId="155" xr:uid="{00000000-0005-0000-0000-00009B000000}"/>
    <cellStyle name="스타일 1 2 24 4" xfId="156" xr:uid="{00000000-0005-0000-0000-00009C000000}"/>
    <cellStyle name="스타일 1 2 24 5" xfId="157" xr:uid="{00000000-0005-0000-0000-00009D000000}"/>
    <cellStyle name="스타일 1 2 25" xfId="158" xr:uid="{00000000-0005-0000-0000-00009E000000}"/>
    <cellStyle name="스타일 1 2 25 2" xfId="159" xr:uid="{00000000-0005-0000-0000-00009F000000}"/>
    <cellStyle name="스타일 1 2 25 3" xfId="160" xr:uid="{00000000-0005-0000-0000-0000A0000000}"/>
    <cellStyle name="스타일 1 2 25 4" xfId="161" xr:uid="{00000000-0005-0000-0000-0000A1000000}"/>
    <cellStyle name="스타일 1 2 25 5" xfId="162" xr:uid="{00000000-0005-0000-0000-0000A2000000}"/>
    <cellStyle name="스타일 1 2 26" xfId="163" xr:uid="{00000000-0005-0000-0000-0000A3000000}"/>
    <cellStyle name="스타일 1 2 26 2" xfId="164" xr:uid="{00000000-0005-0000-0000-0000A4000000}"/>
    <cellStyle name="스타일 1 2 26 3" xfId="165" xr:uid="{00000000-0005-0000-0000-0000A5000000}"/>
    <cellStyle name="스타일 1 2 26 4" xfId="166" xr:uid="{00000000-0005-0000-0000-0000A6000000}"/>
    <cellStyle name="스타일 1 2 26 5" xfId="167" xr:uid="{00000000-0005-0000-0000-0000A7000000}"/>
    <cellStyle name="스타일 1 2 27" xfId="168" xr:uid="{00000000-0005-0000-0000-0000A8000000}"/>
    <cellStyle name="스타일 1 2 27 2" xfId="169" xr:uid="{00000000-0005-0000-0000-0000A9000000}"/>
    <cellStyle name="스타일 1 2 27 3" xfId="170" xr:uid="{00000000-0005-0000-0000-0000AA000000}"/>
    <cellStyle name="스타일 1 2 27 4" xfId="171" xr:uid="{00000000-0005-0000-0000-0000AB000000}"/>
    <cellStyle name="스타일 1 2 27 5" xfId="172" xr:uid="{00000000-0005-0000-0000-0000AC000000}"/>
    <cellStyle name="스타일 1 2 28" xfId="173" xr:uid="{00000000-0005-0000-0000-0000AD000000}"/>
    <cellStyle name="스타일 1 2 28 2" xfId="174" xr:uid="{00000000-0005-0000-0000-0000AE000000}"/>
    <cellStyle name="스타일 1 2 28 3" xfId="175" xr:uid="{00000000-0005-0000-0000-0000AF000000}"/>
    <cellStyle name="스타일 1 2 28 4" xfId="176" xr:uid="{00000000-0005-0000-0000-0000B0000000}"/>
    <cellStyle name="스타일 1 2 28 5" xfId="177" xr:uid="{00000000-0005-0000-0000-0000B1000000}"/>
    <cellStyle name="스타일 1 2 29" xfId="178" xr:uid="{00000000-0005-0000-0000-0000B2000000}"/>
    <cellStyle name="스타일 1 2 29 2" xfId="179" xr:uid="{00000000-0005-0000-0000-0000B3000000}"/>
    <cellStyle name="스타일 1 2 29 3" xfId="180" xr:uid="{00000000-0005-0000-0000-0000B4000000}"/>
    <cellStyle name="스타일 1 2 29 4" xfId="181" xr:uid="{00000000-0005-0000-0000-0000B5000000}"/>
    <cellStyle name="스타일 1 2 29 5" xfId="182" xr:uid="{00000000-0005-0000-0000-0000B6000000}"/>
    <cellStyle name="스타일 1 2 3" xfId="183" xr:uid="{00000000-0005-0000-0000-0000B7000000}"/>
    <cellStyle name="스타일 1 2 3 2" xfId="184" xr:uid="{00000000-0005-0000-0000-0000B8000000}"/>
    <cellStyle name="스타일 1 2 3 3" xfId="185" xr:uid="{00000000-0005-0000-0000-0000B9000000}"/>
    <cellStyle name="스타일 1 2 3 4" xfId="186" xr:uid="{00000000-0005-0000-0000-0000BA000000}"/>
    <cellStyle name="스타일 1 2 3 5" xfId="187" xr:uid="{00000000-0005-0000-0000-0000BB000000}"/>
    <cellStyle name="스타일 1 2 30" xfId="188" xr:uid="{00000000-0005-0000-0000-0000BC000000}"/>
    <cellStyle name="스타일 1 2 30 2" xfId="189" xr:uid="{00000000-0005-0000-0000-0000BD000000}"/>
    <cellStyle name="스타일 1 2 30 3" xfId="190" xr:uid="{00000000-0005-0000-0000-0000BE000000}"/>
    <cellStyle name="스타일 1 2 30 4" xfId="191" xr:uid="{00000000-0005-0000-0000-0000BF000000}"/>
    <cellStyle name="스타일 1 2 30 5" xfId="192" xr:uid="{00000000-0005-0000-0000-0000C0000000}"/>
    <cellStyle name="스타일 1 2 31" xfId="193" xr:uid="{00000000-0005-0000-0000-0000C1000000}"/>
    <cellStyle name="스타일 1 2 31 2" xfId="194" xr:uid="{00000000-0005-0000-0000-0000C2000000}"/>
    <cellStyle name="스타일 1 2 31 3" xfId="195" xr:uid="{00000000-0005-0000-0000-0000C3000000}"/>
    <cellStyle name="스타일 1 2 31 4" xfId="196" xr:uid="{00000000-0005-0000-0000-0000C4000000}"/>
    <cellStyle name="스타일 1 2 31 5" xfId="197" xr:uid="{00000000-0005-0000-0000-0000C5000000}"/>
    <cellStyle name="스타일 1 2 32" xfId="198" xr:uid="{00000000-0005-0000-0000-0000C6000000}"/>
    <cellStyle name="스타일 1 2 32 2" xfId="199" xr:uid="{00000000-0005-0000-0000-0000C7000000}"/>
    <cellStyle name="스타일 1 2 32 3" xfId="200" xr:uid="{00000000-0005-0000-0000-0000C8000000}"/>
    <cellStyle name="스타일 1 2 32 4" xfId="201" xr:uid="{00000000-0005-0000-0000-0000C9000000}"/>
    <cellStyle name="스타일 1 2 32 5" xfId="202" xr:uid="{00000000-0005-0000-0000-0000CA000000}"/>
    <cellStyle name="스타일 1 2 33" xfId="203" xr:uid="{00000000-0005-0000-0000-0000CB000000}"/>
    <cellStyle name="스타일 1 2 33 2" xfId="204" xr:uid="{00000000-0005-0000-0000-0000CC000000}"/>
    <cellStyle name="스타일 1 2 33 3" xfId="205" xr:uid="{00000000-0005-0000-0000-0000CD000000}"/>
    <cellStyle name="스타일 1 2 33 4" xfId="206" xr:uid="{00000000-0005-0000-0000-0000CE000000}"/>
    <cellStyle name="스타일 1 2 33 5" xfId="207" xr:uid="{00000000-0005-0000-0000-0000CF000000}"/>
    <cellStyle name="스타일 1 2 34" xfId="208" xr:uid="{00000000-0005-0000-0000-0000D0000000}"/>
    <cellStyle name="스타일 1 2 34 2" xfId="209" xr:uid="{00000000-0005-0000-0000-0000D1000000}"/>
    <cellStyle name="스타일 1 2 34 3" xfId="210" xr:uid="{00000000-0005-0000-0000-0000D2000000}"/>
    <cellStyle name="스타일 1 2 34 4" xfId="211" xr:uid="{00000000-0005-0000-0000-0000D3000000}"/>
    <cellStyle name="스타일 1 2 34 5" xfId="212" xr:uid="{00000000-0005-0000-0000-0000D4000000}"/>
    <cellStyle name="스타일 1 2 35" xfId="213" xr:uid="{00000000-0005-0000-0000-0000D5000000}"/>
    <cellStyle name="스타일 1 2 35 2" xfId="214" xr:uid="{00000000-0005-0000-0000-0000D6000000}"/>
    <cellStyle name="스타일 1 2 35 3" xfId="215" xr:uid="{00000000-0005-0000-0000-0000D7000000}"/>
    <cellStyle name="스타일 1 2 35 4" xfId="216" xr:uid="{00000000-0005-0000-0000-0000D8000000}"/>
    <cellStyle name="스타일 1 2 35 5" xfId="217" xr:uid="{00000000-0005-0000-0000-0000D9000000}"/>
    <cellStyle name="스타일 1 2 36" xfId="218" xr:uid="{00000000-0005-0000-0000-0000DA000000}"/>
    <cellStyle name="스타일 1 2 36 2" xfId="219" xr:uid="{00000000-0005-0000-0000-0000DB000000}"/>
    <cellStyle name="스타일 1 2 36 3" xfId="220" xr:uid="{00000000-0005-0000-0000-0000DC000000}"/>
    <cellStyle name="스타일 1 2 36 4" xfId="221" xr:uid="{00000000-0005-0000-0000-0000DD000000}"/>
    <cellStyle name="스타일 1 2 36 5" xfId="222" xr:uid="{00000000-0005-0000-0000-0000DE000000}"/>
    <cellStyle name="스타일 1 2 37" xfId="223" xr:uid="{00000000-0005-0000-0000-0000DF000000}"/>
    <cellStyle name="스타일 1 2 37 2" xfId="224" xr:uid="{00000000-0005-0000-0000-0000E0000000}"/>
    <cellStyle name="스타일 1 2 37 3" xfId="225" xr:uid="{00000000-0005-0000-0000-0000E1000000}"/>
    <cellStyle name="스타일 1 2 37 4" xfId="226" xr:uid="{00000000-0005-0000-0000-0000E2000000}"/>
    <cellStyle name="스타일 1 2 37 5" xfId="227" xr:uid="{00000000-0005-0000-0000-0000E3000000}"/>
    <cellStyle name="스타일 1 2 38" xfId="228" xr:uid="{00000000-0005-0000-0000-0000E4000000}"/>
    <cellStyle name="스타일 1 2 38 2" xfId="229" xr:uid="{00000000-0005-0000-0000-0000E5000000}"/>
    <cellStyle name="스타일 1 2 38 3" xfId="230" xr:uid="{00000000-0005-0000-0000-0000E6000000}"/>
    <cellStyle name="스타일 1 2 38 4" xfId="231" xr:uid="{00000000-0005-0000-0000-0000E7000000}"/>
    <cellStyle name="스타일 1 2 38 5" xfId="232" xr:uid="{00000000-0005-0000-0000-0000E8000000}"/>
    <cellStyle name="스타일 1 2 39" xfId="233" xr:uid="{00000000-0005-0000-0000-0000E9000000}"/>
    <cellStyle name="스타일 1 2 39 2" xfId="234" xr:uid="{00000000-0005-0000-0000-0000EA000000}"/>
    <cellStyle name="스타일 1 2 39 3" xfId="235" xr:uid="{00000000-0005-0000-0000-0000EB000000}"/>
    <cellStyle name="스타일 1 2 39 4" xfId="236" xr:uid="{00000000-0005-0000-0000-0000EC000000}"/>
    <cellStyle name="스타일 1 2 39 5" xfId="237" xr:uid="{00000000-0005-0000-0000-0000ED000000}"/>
    <cellStyle name="스타일 1 2 4" xfId="238" xr:uid="{00000000-0005-0000-0000-0000EE000000}"/>
    <cellStyle name="스타일 1 2 4 2" xfId="239" xr:uid="{00000000-0005-0000-0000-0000EF000000}"/>
    <cellStyle name="스타일 1 2 4 3" xfId="240" xr:uid="{00000000-0005-0000-0000-0000F0000000}"/>
    <cellStyle name="스타일 1 2 4 4" xfId="241" xr:uid="{00000000-0005-0000-0000-0000F1000000}"/>
    <cellStyle name="스타일 1 2 4 5" xfId="242" xr:uid="{00000000-0005-0000-0000-0000F2000000}"/>
    <cellStyle name="스타일 1 2 40" xfId="243" xr:uid="{00000000-0005-0000-0000-0000F3000000}"/>
    <cellStyle name="스타일 1 2 40 2" xfId="244" xr:uid="{00000000-0005-0000-0000-0000F4000000}"/>
    <cellStyle name="스타일 1 2 40 3" xfId="245" xr:uid="{00000000-0005-0000-0000-0000F5000000}"/>
    <cellStyle name="스타일 1 2 40 4" xfId="246" xr:uid="{00000000-0005-0000-0000-0000F6000000}"/>
    <cellStyle name="스타일 1 2 40 5" xfId="247" xr:uid="{00000000-0005-0000-0000-0000F7000000}"/>
    <cellStyle name="스타일 1 2 41" xfId="248" xr:uid="{00000000-0005-0000-0000-0000F8000000}"/>
    <cellStyle name="스타일 1 2 42" xfId="249" xr:uid="{00000000-0005-0000-0000-0000F9000000}"/>
    <cellStyle name="스타일 1 2 43" xfId="250" xr:uid="{00000000-0005-0000-0000-0000FA000000}"/>
    <cellStyle name="스타일 1 2 44" xfId="251" xr:uid="{00000000-0005-0000-0000-0000FB000000}"/>
    <cellStyle name="스타일 1 2 5" xfId="252" xr:uid="{00000000-0005-0000-0000-0000FC000000}"/>
    <cellStyle name="스타일 1 2 5 2" xfId="253" xr:uid="{00000000-0005-0000-0000-0000FD000000}"/>
    <cellStyle name="스타일 1 2 5 3" xfId="254" xr:uid="{00000000-0005-0000-0000-0000FE000000}"/>
    <cellStyle name="스타일 1 2 5 4" xfId="255" xr:uid="{00000000-0005-0000-0000-0000FF000000}"/>
    <cellStyle name="스타일 1 2 5 5" xfId="256" xr:uid="{00000000-0005-0000-0000-000000010000}"/>
    <cellStyle name="스타일 1 2 6" xfId="257" xr:uid="{00000000-0005-0000-0000-000001010000}"/>
    <cellStyle name="스타일 1 2 6 2" xfId="258" xr:uid="{00000000-0005-0000-0000-000002010000}"/>
    <cellStyle name="스타일 1 2 6 3" xfId="259" xr:uid="{00000000-0005-0000-0000-000003010000}"/>
    <cellStyle name="스타일 1 2 6 4" xfId="260" xr:uid="{00000000-0005-0000-0000-000004010000}"/>
    <cellStyle name="스타일 1 2 6 5" xfId="261" xr:uid="{00000000-0005-0000-0000-000005010000}"/>
    <cellStyle name="스타일 1 2 7" xfId="262" xr:uid="{00000000-0005-0000-0000-000006010000}"/>
    <cellStyle name="스타일 1 2 7 2" xfId="263" xr:uid="{00000000-0005-0000-0000-000007010000}"/>
    <cellStyle name="스타일 1 2 7 3" xfId="264" xr:uid="{00000000-0005-0000-0000-000008010000}"/>
    <cellStyle name="스타일 1 2 7 4" xfId="265" xr:uid="{00000000-0005-0000-0000-000009010000}"/>
    <cellStyle name="스타일 1 2 7 5" xfId="266" xr:uid="{00000000-0005-0000-0000-00000A010000}"/>
    <cellStyle name="스타일 1 2 8" xfId="267" xr:uid="{00000000-0005-0000-0000-00000B010000}"/>
    <cellStyle name="스타일 1 2 8 2" xfId="268" xr:uid="{00000000-0005-0000-0000-00000C010000}"/>
    <cellStyle name="스타일 1 2 8 3" xfId="269" xr:uid="{00000000-0005-0000-0000-00000D010000}"/>
    <cellStyle name="스타일 1 2 8 4" xfId="270" xr:uid="{00000000-0005-0000-0000-00000E010000}"/>
    <cellStyle name="스타일 1 2 8 5" xfId="271" xr:uid="{00000000-0005-0000-0000-00000F010000}"/>
    <cellStyle name="스타일 1 2 9" xfId="272" xr:uid="{00000000-0005-0000-0000-000010010000}"/>
    <cellStyle name="스타일 1 2 9 2" xfId="273" xr:uid="{00000000-0005-0000-0000-000011010000}"/>
    <cellStyle name="스타일 1 2 9 3" xfId="274" xr:uid="{00000000-0005-0000-0000-000012010000}"/>
    <cellStyle name="스타일 1 2 9 4" xfId="275" xr:uid="{00000000-0005-0000-0000-000013010000}"/>
    <cellStyle name="스타일 1 2 9 5" xfId="276" xr:uid="{00000000-0005-0000-0000-000014010000}"/>
    <cellStyle name="스타일 1 3" xfId="277" xr:uid="{00000000-0005-0000-0000-000015010000}"/>
    <cellStyle name="스타일 1 3 10" xfId="278" xr:uid="{00000000-0005-0000-0000-000016010000}"/>
    <cellStyle name="스타일 1 3 10 2" xfId="279" xr:uid="{00000000-0005-0000-0000-000017010000}"/>
    <cellStyle name="스타일 1 3 10 3" xfId="280" xr:uid="{00000000-0005-0000-0000-000018010000}"/>
    <cellStyle name="스타일 1 3 10 4" xfId="281" xr:uid="{00000000-0005-0000-0000-000019010000}"/>
    <cellStyle name="스타일 1 3 10 5" xfId="282" xr:uid="{00000000-0005-0000-0000-00001A010000}"/>
    <cellStyle name="스타일 1 3 11" xfId="283" xr:uid="{00000000-0005-0000-0000-00001B010000}"/>
    <cellStyle name="스타일 1 3 11 2" xfId="284" xr:uid="{00000000-0005-0000-0000-00001C010000}"/>
    <cellStyle name="스타일 1 3 11 3" xfId="285" xr:uid="{00000000-0005-0000-0000-00001D010000}"/>
    <cellStyle name="스타일 1 3 11 4" xfId="286" xr:uid="{00000000-0005-0000-0000-00001E010000}"/>
    <cellStyle name="스타일 1 3 11 5" xfId="287" xr:uid="{00000000-0005-0000-0000-00001F010000}"/>
    <cellStyle name="스타일 1 3 12" xfId="288" xr:uid="{00000000-0005-0000-0000-000020010000}"/>
    <cellStyle name="스타일 1 3 12 2" xfId="289" xr:uid="{00000000-0005-0000-0000-000021010000}"/>
    <cellStyle name="스타일 1 3 12 3" xfId="290" xr:uid="{00000000-0005-0000-0000-000022010000}"/>
    <cellStyle name="스타일 1 3 12 4" xfId="291" xr:uid="{00000000-0005-0000-0000-000023010000}"/>
    <cellStyle name="스타일 1 3 12 5" xfId="292" xr:uid="{00000000-0005-0000-0000-000024010000}"/>
    <cellStyle name="스타일 1 3 13" xfId="293" xr:uid="{00000000-0005-0000-0000-000025010000}"/>
    <cellStyle name="스타일 1 3 13 2" xfId="294" xr:uid="{00000000-0005-0000-0000-000026010000}"/>
    <cellStyle name="스타일 1 3 13 3" xfId="295" xr:uid="{00000000-0005-0000-0000-000027010000}"/>
    <cellStyle name="스타일 1 3 13 4" xfId="296" xr:uid="{00000000-0005-0000-0000-000028010000}"/>
    <cellStyle name="스타일 1 3 13 5" xfId="297" xr:uid="{00000000-0005-0000-0000-000029010000}"/>
    <cellStyle name="스타일 1 3 14" xfId="298" xr:uid="{00000000-0005-0000-0000-00002A010000}"/>
    <cellStyle name="스타일 1 3 14 2" xfId="299" xr:uid="{00000000-0005-0000-0000-00002B010000}"/>
    <cellStyle name="스타일 1 3 14 3" xfId="300" xr:uid="{00000000-0005-0000-0000-00002C010000}"/>
    <cellStyle name="스타일 1 3 14 4" xfId="301" xr:uid="{00000000-0005-0000-0000-00002D010000}"/>
    <cellStyle name="스타일 1 3 14 5" xfId="302" xr:uid="{00000000-0005-0000-0000-00002E010000}"/>
    <cellStyle name="스타일 1 3 15" xfId="303" xr:uid="{00000000-0005-0000-0000-00002F010000}"/>
    <cellStyle name="스타일 1 3 15 2" xfId="304" xr:uid="{00000000-0005-0000-0000-000030010000}"/>
    <cellStyle name="스타일 1 3 15 3" xfId="305" xr:uid="{00000000-0005-0000-0000-000031010000}"/>
    <cellStyle name="스타일 1 3 15 4" xfId="306" xr:uid="{00000000-0005-0000-0000-000032010000}"/>
    <cellStyle name="스타일 1 3 15 5" xfId="307" xr:uid="{00000000-0005-0000-0000-000033010000}"/>
    <cellStyle name="스타일 1 3 16" xfId="308" xr:uid="{00000000-0005-0000-0000-000034010000}"/>
    <cellStyle name="스타일 1 3 16 2" xfId="309" xr:uid="{00000000-0005-0000-0000-000035010000}"/>
    <cellStyle name="스타일 1 3 16 3" xfId="310" xr:uid="{00000000-0005-0000-0000-000036010000}"/>
    <cellStyle name="스타일 1 3 16 4" xfId="311" xr:uid="{00000000-0005-0000-0000-000037010000}"/>
    <cellStyle name="스타일 1 3 16 5" xfId="312" xr:uid="{00000000-0005-0000-0000-000038010000}"/>
    <cellStyle name="스타일 1 3 17" xfId="313" xr:uid="{00000000-0005-0000-0000-000039010000}"/>
    <cellStyle name="스타일 1 3 17 2" xfId="314" xr:uid="{00000000-0005-0000-0000-00003A010000}"/>
    <cellStyle name="스타일 1 3 17 3" xfId="315" xr:uid="{00000000-0005-0000-0000-00003B010000}"/>
    <cellStyle name="스타일 1 3 17 4" xfId="316" xr:uid="{00000000-0005-0000-0000-00003C010000}"/>
    <cellStyle name="스타일 1 3 17 5" xfId="317" xr:uid="{00000000-0005-0000-0000-00003D010000}"/>
    <cellStyle name="스타일 1 3 18" xfId="318" xr:uid="{00000000-0005-0000-0000-00003E010000}"/>
    <cellStyle name="스타일 1 3 18 2" xfId="319" xr:uid="{00000000-0005-0000-0000-00003F010000}"/>
    <cellStyle name="스타일 1 3 18 3" xfId="320" xr:uid="{00000000-0005-0000-0000-000040010000}"/>
    <cellStyle name="스타일 1 3 18 4" xfId="321" xr:uid="{00000000-0005-0000-0000-000041010000}"/>
    <cellStyle name="스타일 1 3 18 5" xfId="322" xr:uid="{00000000-0005-0000-0000-000042010000}"/>
    <cellStyle name="스타일 1 3 19" xfId="323" xr:uid="{00000000-0005-0000-0000-000043010000}"/>
    <cellStyle name="스타일 1 3 19 2" xfId="324" xr:uid="{00000000-0005-0000-0000-000044010000}"/>
    <cellStyle name="스타일 1 3 19 3" xfId="325" xr:uid="{00000000-0005-0000-0000-000045010000}"/>
    <cellStyle name="스타일 1 3 19 4" xfId="326" xr:uid="{00000000-0005-0000-0000-000046010000}"/>
    <cellStyle name="스타일 1 3 19 5" xfId="327" xr:uid="{00000000-0005-0000-0000-000047010000}"/>
    <cellStyle name="스타일 1 3 2" xfId="328" xr:uid="{00000000-0005-0000-0000-000048010000}"/>
    <cellStyle name="스타일 1 3 2 2" xfId="329" xr:uid="{00000000-0005-0000-0000-000049010000}"/>
    <cellStyle name="스타일 1 3 2 3" xfId="330" xr:uid="{00000000-0005-0000-0000-00004A010000}"/>
    <cellStyle name="스타일 1 3 2 4" xfId="331" xr:uid="{00000000-0005-0000-0000-00004B010000}"/>
    <cellStyle name="스타일 1 3 2 5" xfId="332" xr:uid="{00000000-0005-0000-0000-00004C010000}"/>
    <cellStyle name="스타일 1 3 20" xfId="333" xr:uid="{00000000-0005-0000-0000-00004D010000}"/>
    <cellStyle name="스타일 1 3 20 2" xfId="334" xr:uid="{00000000-0005-0000-0000-00004E010000}"/>
    <cellStyle name="스타일 1 3 20 3" xfId="335" xr:uid="{00000000-0005-0000-0000-00004F010000}"/>
    <cellStyle name="스타일 1 3 20 4" xfId="336" xr:uid="{00000000-0005-0000-0000-000050010000}"/>
    <cellStyle name="스타일 1 3 20 5" xfId="337" xr:uid="{00000000-0005-0000-0000-000051010000}"/>
    <cellStyle name="스타일 1 3 21" xfId="338" xr:uid="{00000000-0005-0000-0000-000052010000}"/>
    <cellStyle name="스타일 1 3 21 2" xfId="339" xr:uid="{00000000-0005-0000-0000-000053010000}"/>
    <cellStyle name="스타일 1 3 21 3" xfId="340" xr:uid="{00000000-0005-0000-0000-000054010000}"/>
    <cellStyle name="스타일 1 3 21 4" xfId="341" xr:uid="{00000000-0005-0000-0000-000055010000}"/>
    <cellStyle name="스타일 1 3 21 5" xfId="342" xr:uid="{00000000-0005-0000-0000-000056010000}"/>
    <cellStyle name="스타일 1 3 22" xfId="343" xr:uid="{00000000-0005-0000-0000-000057010000}"/>
    <cellStyle name="스타일 1 3 22 2" xfId="344" xr:uid="{00000000-0005-0000-0000-000058010000}"/>
    <cellStyle name="스타일 1 3 22 3" xfId="345" xr:uid="{00000000-0005-0000-0000-000059010000}"/>
    <cellStyle name="스타일 1 3 22 4" xfId="346" xr:uid="{00000000-0005-0000-0000-00005A010000}"/>
    <cellStyle name="스타일 1 3 22 5" xfId="347" xr:uid="{00000000-0005-0000-0000-00005B010000}"/>
    <cellStyle name="스타일 1 3 23" xfId="348" xr:uid="{00000000-0005-0000-0000-00005C010000}"/>
    <cellStyle name="스타일 1 3 23 2" xfId="349" xr:uid="{00000000-0005-0000-0000-00005D010000}"/>
    <cellStyle name="스타일 1 3 23 3" xfId="350" xr:uid="{00000000-0005-0000-0000-00005E010000}"/>
    <cellStyle name="스타일 1 3 23 4" xfId="351" xr:uid="{00000000-0005-0000-0000-00005F010000}"/>
    <cellStyle name="스타일 1 3 23 5" xfId="352" xr:uid="{00000000-0005-0000-0000-000060010000}"/>
    <cellStyle name="스타일 1 3 24" xfId="353" xr:uid="{00000000-0005-0000-0000-000061010000}"/>
    <cellStyle name="스타일 1 3 24 2" xfId="354" xr:uid="{00000000-0005-0000-0000-000062010000}"/>
    <cellStyle name="스타일 1 3 24 3" xfId="355" xr:uid="{00000000-0005-0000-0000-000063010000}"/>
    <cellStyle name="스타일 1 3 24 4" xfId="356" xr:uid="{00000000-0005-0000-0000-000064010000}"/>
    <cellStyle name="스타일 1 3 24 5" xfId="357" xr:uid="{00000000-0005-0000-0000-000065010000}"/>
    <cellStyle name="스타일 1 3 25" xfId="358" xr:uid="{00000000-0005-0000-0000-000066010000}"/>
    <cellStyle name="스타일 1 3 25 2" xfId="359" xr:uid="{00000000-0005-0000-0000-000067010000}"/>
    <cellStyle name="스타일 1 3 25 3" xfId="360" xr:uid="{00000000-0005-0000-0000-000068010000}"/>
    <cellStyle name="스타일 1 3 25 4" xfId="361" xr:uid="{00000000-0005-0000-0000-000069010000}"/>
    <cellStyle name="스타일 1 3 25 5" xfId="362" xr:uid="{00000000-0005-0000-0000-00006A010000}"/>
    <cellStyle name="스타일 1 3 26" xfId="363" xr:uid="{00000000-0005-0000-0000-00006B010000}"/>
    <cellStyle name="스타일 1 3 26 2" xfId="364" xr:uid="{00000000-0005-0000-0000-00006C010000}"/>
    <cellStyle name="스타일 1 3 26 3" xfId="365" xr:uid="{00000000-0005-0000-0000-00006D010000}"/>
    <cellStyle name="스타일 1 3 26 4" xfId="366" xr:uid="{00000000-0005-0000-0000-00006E010000}"/>
    <cellStyle name="스타일 1 3 26 5" xfId="367" xr:uid="{00000000-0005-0000-0000-00006F010000}"/>
    <cellStyle name="스타일 1 3 27" xfId="368" xr:uid="{00000000-0005-0000-0000-000070010000}"/>
    <cellStyle name="스타일 1 3 27 2" xfId="369" xr:uid="{00000000-0005-0000-0000-000071010000}"/>
    <cellStyle name="스타일 1 3 27 3" xfId="370" xr:uid="{00000000-0005-0000-0000-000072010000}"/>
    <cellStyle name="스타일 1 3 27 4" xfId="371" xr:uid="{00000000-0005-0000-0000-000073010000}"/>
    <cellStyle name="스타일 1 3 27 5" xfId="372" xr:uid="{00000000-0005-0000-0000-000074010000}"/>
    <cellStyle name="스타일 1 3 28" xfId="373" xr:uid="{00000000-0005-0000-0000-000075010000}"/>
    <cellStyle name="스타일 1 3 28 2" xfId="374" xr:uid="{00000000-0005-0000-0000-000076010000}"/>
    <cellStyle name="스타일 1 3 28 3" xfId="375" xr:uid="{00000000-0005-0000-0000-000077010000}"/>
    <cellStyle name="스타일 1 3 28 4" xfId="376" xr:uid="{00000000-0005-0000-0000-000078010000}"/>
    <cellStyle name="스타일 1 3 28 5" xfId="377" xr:uid="{00000000-0005-0000-0000-000079010000}"/>
    <cellStyle name="스타일 1 3 29" xfId="378" xr:uid="{00000000-0005-0000-0000-00007A010000}"/>
    <cellStyle name="스타일 1 3 29 2" xfId="379" xr:uid="{00000000-0005-0000-0000-00007B010000}"/>
    <cellStyle name="스타일 1 3 29 3" xfId="380" xr:uid="{00000000-0005-0000-0000-00007C010000}"/>
    <cellStyle name="스타일 1 3 29 4" xfId="381" xr:uid="{00000000-0005-0000-0000-00007D010000}"/>
    <cellStyle name="스타일 1 3 29 5" xfId="382" xr:uid="{00000000-0005-0000-0000-00007E010000}"/>
    <cellStyle name="스타일 1 3 3" xfId="383" xr:uid="{00000000-0005-0000-0000-00007F010000}"/>
    <cellStyle name="스타일 1 3 3 2" xfId="384" xr:uid="{00000000-0005-0000-0000-000080010000}"/>
    <cellStyle name="스타일 1 3 3 3" xfId="385" xr:uid="{00000000-0005-0000-0000-000081010000}"/>
    <cellStyle name="스타일 1 3 3 4" xfId="386" xr:uid="{00000000-0005-0000-0000-000082010000}"/>
    <cellStyle name="스타일 1 3 3 5" xfId="387" xr:uid="{00000000-0005-0000-0000-000083010000}"/>
    <cellStyle name="스타일 1 3 30" xfId="388" xr:uid="{00000000-0005-0000-0000-000084010000}"/>
    <cellStyle name="스타일 1 3 30 2" xfId="389" xr:uid="{00000000-0005-0000-0000-000085010000}"/>
    <cellStyle name="스타일 1 3 30 3" xfId="390" xr:uid="{00000000-0005-0000-0000-000086010000}"/>
    <cellStyle name="스타일 1 3 30 4" xfId="391" xr:uid="{00000000-0005-0000-0000-000087010000}"/>
    <cellStyle name="스타일 1 3 30 5" xfId="392" xr:uid="{00000000-0005-0000-0000-000088010000}"/>
    <cellStyle name="스타일 1 3 31" xfId="393" xr:uid="{00000000-0005-0000-0000-000089010000}"/>
    <cellStyle name="스타일 1 3 31 2" xfId="394" xr:uid="{00000000-0005-0000-0000-00008A010000}"/>
    <cellStyle name="스타일 1 3 31 3" xfId="395" xr:uid="{00000000-0005-0000-0000-00008B010000}"/>
    <cellStyle name="스타일 1 3 31 4" xfId="396" xr:uid="{00000000-0005-0000-0000-00008C010000}"/>
    <cellStyle name="스타일 1 3 31 5" xfId="397" xr:uid="{00000000-0005-0000-0000-00008D010000}"/>
    <cellStyle name="스타일 1 3 32" xfId="398" xr:uid="{00000000-0005-0000-0000-00008E010000}"/>
    <cellStyle name="스타일 1 3 32 2" xfId="399" xr:uid="{00000000-0005-0000-0000-00008F010000}"/>
    <cellStyle name="스타일 1 3 32 3" xfId="400" xr:uid="{00000000-0005-0000-0000-000090010000}"/>
    <cellStyle name="스타일 1 3 32 4" xfId="401" xr:uid="{00000000-0005-0000-0000-000091010000}"/>
    <cellStyle name="스타일 1 3 32 5" xfId="402" xr:uid="{00000000-0005-0000-0000-000092010000}"/>
    <cellStyle name="스타일 1 3 33" xfId="403" xr:uid="{00000000-0005-0000-0000-000093010000}"/>
    <cellStyle name="스타일 1 3 33 2" xfId="404" xr:uid="{00000000-0005-0000-0000-000094010000}"/>
    <cellStyle name="스타일 1 3 33 3" xfId="405" xr:uid="{00000000-0005-0000-0000-000095010000}"/>
    <cellStyle name="스타일 1 3 33 4" xfId="406" xr:uid="{00000000-0005-0000-0000-000096010000}"/>
    <cellStyle name="스타일 1 3 33 5" xfId="407" xr:uid="{00000000-0005-0000-0000-000097010000}"/>
    <cellStyle name="스타일 1 3 34" xfId="408" xr:uid="{00000000-0005-0000-0000-000098010000}"/>
    <cellStyle name="스타일 1 3 34 2" xfId="409" xr:uid="{00000000-0005-0000-0000-000099010000}"/>
    <cellStyle name="스타일 1 3 34 3" xfId="410" xr:uid="{00000000-0005-0000-0000-00009A010000}"/>
    <cellStyle name="스타일 1 3 34 4" xfId="411" xr:uid="{00000000-0005-0000-0000-00009B010000}"/>
    <cellStyle name="스타일 1 3 34 5" xfId="412" xr:uid="{00000000-0005-0000-0000-00009C010000}"/>
    <cellStyle name="스타일 1 3 35" xfId="413" xr:uid="{00000000-0005-0000-0000-00009D010000}"/>
    <cellStyle name="스타일 1 3 35 2" xfId="414" xr:uid="{00000000-0005-0000-0000-00009E010000}"/>
    <cellStyle name="스타일 1 3 35 3" xfId="415" xr:uid="{00000000-0005-0000-0000-00009F010000}"/>
    <cellStyle name="스타일 1 3 35 4" xfId="416" xr:uid="{00000000-0005-0000-0000-0000A0010000}"/>
    <cellStyle name="스타일 1 3 35 5" xfId="417" xr:uid="{00000000-0005-0000-0000-0000A1010000}"/>
    <cellStyle name="스타일 1 3 36" xfId="418" xr:uid="{00000000-0005-0000-0000-0000A2010000}"/>
    <cellStyle name="스타일 1 3 36 2" xfId="419" xr:uid="{00000000-0005-0000-0000-0000A3010000}"/>
    <cellStyle name="스타일 1 3 36 3" xfId="420" xr:uid="{00000000-0005-0000-0000-0000A4010000}"/>
    <cellStyle name="스타일 1 3 36 4" xfId="421" xr:uid="{00000000-0005-0000-0000-0000A5010000}"/>
    <cellStyle name="스타일 1 3 36 5" xfId="422" xr:uid="{00000000-0005-0000-0000-0000A6010000}"/>
    <cellStyle name="스타일 1 3 37" xfId="423" xr:uid="{00000000-0005-0000-0000-0000A7010000}"/>
    <cellStyle name="스타일 1 3 37 2" xfId="424" xr:uid="{00000000-0005-0000-0000-0000A8010000}"/>
    <cellStyle name="스타일 1 3 37 3" xfId="425" xr:uid="{00000000-0005-0000-0000-0000A9010000}"/>
    <cellStyle name="스타일 1 3 37 4" xfId="426" xr:uid="{00000000-0005-0000-0000-0000AA010000}"/>
    <cellStyle name="스타일 1 3 37 5" xfId="427" xr:uid="{00000000-0005-0000-0000-0000AB010000}"/>
    <cellStyle name="스타일 1 3 38" xfId="428" xr:uid="{00000000-0005-0000-0000-0000AC010000}"/>
    <cellStyle name="스타일 1 3 38 2" xfId="429" xr:uid="{00000000-0005-0000-0000-0000AD010000}"/>
    <cellStyle name="스타일 1 3 38 3" xfId="430" xr:uid="{00000000-0005-0000-0000-0000AE010000}"/>
    <cellStyle name="스타일 1 3 38 4" xfId="431" xr:uid="{00000000-0005-0000-0000-0000AF010000}"/>
    <cellStyle name="스타일 1 3 38 5" xfId="432" xr:uid="{00000000-0005-0000-0000-0000B0010000}"/>
    <cellStyle name="스타일 1 3 39" xfId="433" xr:uid="{00000000-0005-0000-0000-0000B1010000}"/>
    <cellStyle name="스타일 1 3 39 2" xfId="434" xr:uid="{00000000-0005-0000-0000-0000B2010000}"/>
    <cellStyle name="스타일 1 3 39 3" xfId="435" xr:uid="{00000000-0005-0000-0000-0000B3010000}"/>
    <cellStyle name="스타일 1 3 39 4" xfId="436" xr:uid="{00000000-0005-0000-0000-0000B4010000}"/>
    <cellStyle name="스타일 1 3 39 5" xfId="437" xr:uid="{00000000-0005-0000-0000-0000B5010000}"/>
    <cellStyle name="스타일 1 3 4" xfId="438" xr:uid="{00000000-0005-0000-0000-0000B6010000}"/>
    <cellStyle name="스타일 1 3 4 2" xfId="439" xr:uid="{00000000-0005-0000-0000-0000B7010000}"/>
    <cellStyle name="스타일 1 3 4 3" xfId="440" xr:uid="{00000000-0005-0000-0000-0000B8010000}"/>
    <cellStyle name="스타일 1 3 4 4" xfId="441" xr:uid="{00000000-0005-0000-0000-0000B9010000}"/>
    <cellStyle name="스타일 1 3 4 5" xfId="442" xr:uid="{00000000-0005-0000-0000-0000BA010000}"/>
    <cellStyle name="스타일 1 3 40" xfId="443" xr:uid="{00000000-0005-0000-0000-0000BB010000}"/>
    <cellStyle name="스타일 1 3 40 2" xfId="444" xr:uid="{00000000-0005-0000-0000-0000BC010000}"/>
    <cellStyle name="스타일 1 3 40 3" xfId="445" xr:uid="{00000000-0005-0000-0000-0000BD010000}"/>
    <cellStyle name="스타일 1 3 40 4" xfId="446" xr:uid="{00000000-0005-0000-0000-0000BE010000}"/>
    <cellStyle name="스타일 1 3 40 5" xfId="447" xr:uid="{00000000-0005-0000-0000-0000BF010000}"/>
    <cellStyle name="스타일 1 3 41" xfId="448" xr:uid="{00000000-0005-0000-0000-0000C0010000}"/>
    <cellStyle name="스타일 1 3 42" xfId="449" xr:uid="{00000000-0005-0000-0000-0000C1010000}"/>
    <cellStyle name="스타일 1 3 43" xfId="450" xr:uid="{00000000-0005-0000-0000-0000C2010000}"/>
    <cellStyle name="스타일 1 3 44" xfId="451" xr:uid="{00000000-0005-0000-0000-0000C3010000}"/>
    <cellStyle name="스타일 1 3 5" xfId="452" xr:uid="{00000000-0005-0000-0000-0000C4010000}"/>
    <cellStyle name="스타일 1 3 5 2" xfId="453" xr:uid="{00000000-0005-0000-0000-0000C5010000}"/>
    <cellStyle name="스타일 1 3 5 3" xfId="454" xr:uid="{00000000-0005-0000-0000-0000C6010000}"/>
    <cellStyle name="스타일 1 3 5 4" xfId="455" xr:uid="{00000000-0005-0000-0000-0000C7010000}"/>
    <cellStyle name="스타일 1 3 5 5" xfId="456" xr:uid="{00000000-0005-0000-0000-0000C8010000}"/>
    <cellStyle name="스타일 1 3 6" xfId="457" xr:uid="{00000000-0005-0000-0000-0000C9010000}"/>
    <cellStyle name="스타일 1 3 6 2" xfId="458" xr:uid="{00000000-0005-0000-0000-0000CA010000}"/>
    <cellStyle name="스타일 1 3 6 3" xfId="459" xr:uid="{00000000-0005-0000-0000-0000CB010000}"/>
    <cellStyle name="스타일 1 3 6 4" xfId="460" xr:uid="{00000000-0005-0000-0000-0000CC010000}"/>
    <cellStyle name="스타일 1 3 6 5" xfId="461" xr:uid="{00000000-0005-0000-0000-0000CD010000}"/>
    <cellStyle name="스타일 1 3 7" xfId="462" xr:uid="{00000000-0005-0000-0000-0000CE010000}"/>
    <cellStyle name="스타일 1 3 7 2" xfId="463" xr:uid="{00000000-0005-0000-0000-0000CF010000}"/>
    <cellStyle name="스타일 1 3 7 3" xfId="464" xr:uid="{00000000-0005-0000-0000-0000D0010000}"/>
    <cellStyle name="스타일 1 3 7 4" xfId="465" xr:uid="{00000000-0005-0000-0000-0000D1010000}"/>
    <cellStyle name="스타일 1 3 7 5" xfId="466" xr:uid="{00000000-0005-0000-0000-0000D2010000}"/>
    <cellStyle name="스타일 1 3 8" xfId="467" xr:uid="{00000000-0005-0000-0000-0000D3010000}"/>
    <cellStyle name="스타일 1 3 8 2" xfId="468" xr:uid="{00000000-0005-0000-0000-0000D4010000}"/>
    <cellStyle name="스타일 1 3 8 3" xfId="469" xr:uid="{00000000-0005-0000-0000-0000D5010000}"/>
    <cellStyle name="스타일 1 3 8 4" xfId="470" xr:uid="{00000000-0005-0000-0000-0000D6010000}"/>
    <cellStyle name="스타일 1 3 8 5" xfId="471" xr:uid="{00000000-0005-0000-0000-0000D7010000}"/>
    <cellStyle name="스타일 1 3 9" xfId="472" xr:uid="{00000000-0005-0000-0000-0000D8010000}"/>
    <cellStyle name="스타일 1 3 9 2" xfId="473" xr:uid="{00000000-0005-0000-0000-0000D9010000}"/>
    <cellStyle name="스타일 1 3 9 3" xfId="474" xr:uid="{00000000-0005-0000-0000-0000DA010000}"/>
    <cellStyle name="스타일 1 3 9 4" xfId="475" xr:uid="{00000000-0005-0000-0000-0000DB010000}"/>
    <cellStyle name="스타일 1 3 9 5" xfId="476" xr:uid="{00000000-0005-0000-0000-0000DC010000}"/>
    <cellStyle name="스타일 1 4" xfId="477" xr:uid="{00000000-0005-0000-0000-0000DD010000}"/>
    <cellStyle name="스타일 1 5" xfId="478" xr:uid="{00000000-0005-0000-0000-0000DE010000}"/>
    <cellStyle name="스타일 1 6" xfId="479" xr:uid="{00000000-0005-0000-0000-0000DF010000}"/>
    <cellStyle name="스타일 1 7" xfId="480" xr:uid="{00000000-0005-0000-0000-0000E0010000}"/>
    <cellStyle name="자리수" xfId="481" xr:uid="{00000000-0005-0000-0000-0000E1010000}"/>
    <cellStyle name="자리수0" xfId="482" xr:uid="{00000000-0005-0000-0000-0000E2010000}"/>
    <cellStyle name="제목1" xfId="483" xr:uid="{00000000-0005-0000-0000-0000E3010000}"/>
    <cellStyle name="제목2" xfId="484" xr:uid="{00000000-0005-0000-0000-0000E4010000}"/>
    <cellStyle name="제목3" xfId="485" xr:uid="{00000000-0005-0000-0000-0000E5010000}"/>
    <cellStyle name="콤마 [0]_(改定前)검사.계측및" xfId="486" xr:uid="{00000000-0005-0000-0000-0000E6010000}"/>
    <cellStyle name="콤마_(改定前)검사.계측및" xfId="487" xr:uid="{00000000-0005-0000-0000-0000E7010000}"/>
    <cellStyle name="큰제목" xfId="488" xr:uid="{00000000-0005-0000-0000-0000E8010000}"/>
    <cellStyle name="퍼센트" xfId="489" xr:uid="{00000000-0005-0000-0000-0000E9010000}"/>
    <cellStyle name="표준 2" xfId="490" xr:uid="{00000000-0005-0000-0000-0000EA010000}"/>
    <cellStyle name="표준 2 2" xfId="491" xr:uid="{00000000-0005-0000-0000-0000EB010000}"/>
    <cellStyle name="표준 2 2 2" xfId="492" xr:uid="{00000000-0005-0000-0000-0000EC010000}"/>
    <cellStyle name="표준 2 2 2 2" xfId="493" xr:uid="{00000000-0005-0000-0000-0000ED010000}"/>
    <cellStyle name="표준 2 2 2 2 2" xfId="494" xr:uid="{00000000-0005-0000-0000-0000EE010000}"/>
    <cellStyle name="표준 2 2 2 2 2 2" xfId="495" xr:uid="{00000000-0005-0000-0000-0000EF010000}"/>
    <cellStyle name="표준 2 2 2 2 2 2 2" xfId="496" xr:uid="{00000000-0005-0000-0000-0000F0010000}"/>
    <cellStyle name="표준 2 2 2 2 2 2 2 2" xfId="497" xr:uid="{00000000-0005-0000-0000-0000F1010000}"/>
    <cellStyle name="표준 2 2 2 2 2 2_출하계획서" xfId="498" xr:uid="{00000000-0005-0000-0000-0000F2010000}"/>
    <cellStyle name="표준 2 2 2 2 2_출하계획서" xfId="499" xr:uid="{00000000-0005-0000-0000-0000F3010000}"/>
    <cellStyle name="표준 2 2 2 2_111" xfId="500" xr:uid="{00000000-0005-0000-0000-0000F4010000}"/>
    <cellStyle name="표준 2 2 2_111" xfId="501" xr:uid="{00000000-0005-0000-0000-0000F5010000}"/>
    <cellStyle name="표준 2 2_111" xfId="502" xr:uid="{00000000-0005-0000-0000-0000F6010000}"/>
    <cellStyle name="표준 2 3" xfId="503" xr:uid="{00000000-0005-0000-0000-0000F7010000}"/>
    <cellStyle name="표준 2 4" xfId="504" xr:uid="{00000000-0005-0000-0000-0000F8010000}"/>
    <cellStyle name="표준 2 5" xfId="505" xr:uid="{00000000-0005-0000-0000-0000F9010000}"/>
    <cellStyle name="표준 2 6" xfId="506" xr:uid="{00000000-0005-0000-0000-0000FA010000}"/>
    <cellStyle name="표준 3" xfId="507" xr:uid="{00000000-0005-0000-0000-0000FB010000}"/>
    <cellStyle name="표준 4" xfId="508" xr:uid="{00000000-0005-0000-0000-0000FC010000}"/>
    <cellStyle name="표준 5" xfId="509" xr:uid="{00000000-0005-0000-0000-0000FD010000}"/>
    <cellStyle name="표준 6" xfId="510" xr:uid="{00000000-0005-0000-0000-0000FE010000}"/>
    <cellStyle name="표준 7" xfId="511" xr:uid="{00000000-0005-0000-0000-0000FF010000}"/>
    <cellStyle name="표준 8" xfId="512" xr:uid="{00000000-0005-0000-0000-000000020000}"/>
    <cellStyle name="합산" xfId="513" xr:uid="{00000000-0005-0000-0000-000001020000}"/>
    <cellStyle name="화폐기호" xfId="514" xr:uid="{00000000-0005-0000-0000-000002020000}"/>
    <cellStyle name="화폐기호0" xfId="515" xr:uid="{00000000-0005-0000-0000-00000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676275</xdr:colOff>
      <xdr:row>54</xdr:row>
      <xdr:rowOff>104776</xdr:rowOff>
    </xdr:from>
    <xdr:to>
      <xdr:col>22</xdr:col>
      <xdr:colOff>352425</xdr:colOff>
      <xdr:row>64</xdr:row>
      <xdr:rowOff>140802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48375" y="10239376"/>
          <a:ext cx="2533650" cy="19410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809625</xdr:colOff>
      <xdr:row>131</xdr:row>
      <xdr:rowOff>57150</xdr:rowOff>
    </xdr:from>
    <xdr:to>
      <xdr:col>22</xdr:col>
      <xdr:colOff>504825</xdr:colOff>
      <xdr:row>141</xdr:row>
      <xdr:rowOff>83651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81725" y="24679275"/>
          <a:ext cx="2552700" cy="19315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18</xdr:col>
      <xdr:colOff>428625</xdr:colOff>
      <xdr:row>26</xdr:row>
      <xdr:rowOff>104775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971550"/>
          <a:ext cx="7134225" cy="3495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J143"/>
  <sheetViews>
    <sheetView showGridLines="0" showZeros="0" tabSelected="1" view="pageBreakPreview" zoomScaleNormal="100" zoomScaleSheetLayoutView="100" workbookViewId="0">
      <selection sqref="A1:Y1"/>
    </sheetView>
  </sheetViews>
  <sheetFormatPr defaultColWidth="9.140625" defaultRowHeight="17.25" customHeight="1"/>
  <cols>
    <col min="1" max="1" width="1.42578125" style="2" customWidth="1"/>
    <col min="2" max="2" width="7.5703125" style="2" customWidth="1"/>
    <col min="3" max="3" width="1.28515625" style="2" customWidth="1"/>
    <col min="4" max="4" width="8.28515625" style="2" customWidth="1"/>
    <col min="5" max="5" width="9.42578125" style="2" customWidth="1"/>
    <col min="6" max="6" width="2.28515625" style="2" customWidth="1"/>
    <col min="7" max="7" width="7.85546875" style="2" customWidth="1"/>
    <col min="8" max="8" width="7" style="2" customWidth="1"/>
    <col min="9" max="9" width="3.140625" style="2" customWidth="1"/>
    <col min="10" max="10" width="1.28515625" style="2" customWidth="1"/>
    <col min="11" max="11" width="2.140625" style="2" customWidth="1"/>
    <col min="12" max="12" width="1.7109375" style="2" customWidth="1"/>
    <col min="13" max="13" width="12.28515625" style="2" bestFit="1" customWidth="1"/>
    <col min="14" max="14" width="1.7109375" style="2" customWidth="1"/>
    <col min="15" max="15" width="12.5703125" style="2" customWidth="1"/>
    <col min="16" max="16" width="1.42578125" style="2" customWidth="1"/>
    <col min="17" max="17" width="13" style="2" customWidth="1"/>
    <col min="18" max="18" width="1.42578125" style="2" customWidth="1"/>
    <col min="19" max="19" width="13.42578125" style="2" bestFit="1" customWidth="1"/>
    <col min="20" max="20" width="1.42578125" style="2" customWidth="1"/>
    <col min="21" max="21" width="12.140625" style="2" customWidth="1"/>
    <col min="22" max="22" width="1.42578125" style="2" customWidth="1"/>
    <col min="23" max="23" width="11.85546875" style="2" customWidth="1"/>
    <col min="24" max="24" width="1.85546875" style="4" customWidth="1"/>
    <col min="25" max="25" width="4.5703125" style="2" hidden="1" customWidth="1"/>
    <col min="26" max="26" width="4.5703125" style="4" customWidth="1"/>
    <col min="27" max="27" width="1" style="2" customWidth="1"/>
    <col min="28" max="33" width="2.28515625" style="2" customWidth="1"/>
    <col min="34" max="34" width="9.5703125" style="2" customWidth="1"/>
    <col min="35" max="35" width="17.28515625" style="2" customWidth="1"/>
    <col min="36" max="36" width="14.42578125" style="2" bestFit="1" customWidth="1"/>
    <col min="37" max="16384" width="9.140625" style="2"/>
  </cols>
  <sheetData>
    <row r="1" spans="1:36" ht="34.5" customHeight="1">
      <c r="A1" s="207" t="s">
        <v>20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1"/>
    </row>
    <row r="2" spans="1:36" ht="14.25" customHeight="1">
      <c r="A2" s="3" t="s">
        <v>21</v>
      </c>
      <c r="B2" s="4"/>
      <c r="C2" s="4"/>
      <c r="D2" s="4"/>
      <c r="E2" s="4"/>
      <c r="F2" s="4"/>
      <c r="G2" s="4"/>
      <c r="H2" s="4"/>
      <c r="I2" s="5"/>
      <c r="J2" s="3" t="s">
        <v>0</v>
      </c>
      <c r="K2" s="3"/>
      <c r="L2" s="3"/>
      <c r="M2" s="3"/>
      <c r="N2" s="3"/>
      <c r="O2" s="3"/>
      <c r="P2" s="3"/>
      <c r="Q2" s="3"/>
      <c r="R2" s="3"/>
      <c r="S2" s="3"/>
      <c r="Y2" s="4"/>
    </row>
    <row r="3" spans="1:36" ht="14.25" customHeight="1">
      <c r="A3" s="82" t="s">
        <v>36</v>
      </c>
      <c r="B3" s="82"/>
      <c r="H3" s="4"/>
      <c r="I3" s="5"/>
      <c r="J3" s="6"/>
      <c r="K3" s="184"/>
      <c r="L3" s="185"/>
      <c r="M3" s="185"/>
      <c r="N3" s="7"/>
      <c r="O3" s="8"/>
      <c r="P3" s="6"/>
      <c r="Q3" s="6"/>
      <c r="S3" s="6"/>
      <c r="T3" s="6"/>
      <c r="U3" s="217"/>
      <c r="V3" s="217"/>
      <c r="W3" s="217"/>
      <c r="X3" s="152"/>
      <c r="Y3" s="4"/>
    </row>
    <row r="4" spans="1:36" ht="14.25" customHeight="1">
      <c r="A4" s="2" t="s">
        <v>37</v>
      </c>
      <c r="H4" s="4"/>
      <c r="I4" s="5"/>
      <c r="J4" s="9" t="s">
        <v>22</v>
      </c>
      <c r="K4" s="9"/>
      <c r="L4" s="9"/>
      <c r="M4" s="9"/>
      <c r="N4" s="9"/>
      <c r="O4" s="9"/>
      <c r="P4" s="9"/>
      <c r="Q4" s="9"/>
      <c r="R4" s="9"/>
      <c r="S4" s="3"/>
      <c r="Y4" s="4"/>
    </row>
    <row r="5" spans="1:36" ht="14.25" customHeight="1">
      <c r="A5" s="2" t="s">
        <v>38</v>
      </c>
      <c r="H5" s="4"/>
      <c r="I5" s="5"/>
      <c r="J5" s="3"/>
      <c r="L5" s="3"/>
      <c r="M5" s="3"/>
      <c r="N5" s="3"/>
      <c r="O5" s="3"/>
      <c r="P5" s="3"/>
      <c r="Q5" s="3"/>
      <c r="R5" s="3"/>
      <c r="S5" s="3"/>
      <c r="Y5" s="4"/>
    </row>
    <row r="6" spans="1:36" ht="14.25" customHeight="1">
      <c r="A6" s="2" t="s">
        <v>39</v>
      </c>
      <c r="B6" s="10"/>
      <c r="H6" s="4"/>
      <c r="I6" s="5"/>
      <c r="S6" s="4"/>
      <c r="Y6" s="4"/>
    </row>
    <row r="7" spans="1:36" ht="14.25" customHeight="1">
      <c r="A7" s="6" t="s">
        <v>40</v>
      </c>
      <c r="B7" s="11"/>
      <c r="C7" s="6"/>
      <c r="D7" s="6"/>
      <c r="E7" s="6"/>
      <c r="F7" s="6"/>
      <c r="G7" s="6"/>
      <c r="H7" s="6"/>
      <c r="I7" s="6"/>
      <c r="J7" s="12" t="s">
        <v>35</v>
      </c>
      <c r="K7" s="9"/>
      <c r="L7" s="9"/>
      <c r="M7" s="9"/>
      <c r="N7" s="9"/>
      <c r="O7" s="9"/>
      <c r="P7" s="9"/>
      <c r="Q7" s="9"/>
      <c r="R7" s="9"/>
      <c r="S7" s="9"/>
      <c r="T7" s="13"/>
      <c r="U7" s="13"/>
      <c r="V7" s="13"/>
      <c r="W7" s="13"/>
      <c r="X7" s="13"/>
      <c r="Y7" s="4"/>
    </row>
    <row r="8" spans="1:36" ht="14.25" customHeight="1">
      <c r="A8" s="9" t="s">
        <v>1</v>
      </c>
      <c r="B8" s="13"/>
      <c r="C8" s="13"/>
      <c r="D8" s="13"/>
      <c r="E8" s="13"/>
      <c r="F8" s="13"/>
      <c r="G8" s="13"/>
      <c r="H8" s="15"/>
      <c r="I8" s="15"/>
      <c r="J8" s="21"/>
      <c r="K8" s="1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Y8" s="4"/>
    </row>
    <row r="9" spans="1:36" ht="14.25" customHeight="1">
      <c r="B9" s="2" t="s">
        <v>2</v>
      </c>
      <c r="C9" s="66"/>
      <c r="D9" s="66"/>
      <c r="E9" s="66"/>
      <c r="F9" s="66"/>
      <c r="G9" s="66"/>
      <c r="H9" s="17"/>
      <c r="I9" s="18"/>
      <c r="J9" s="30"/>
      <c r="K9" s="18"/>
      <c r="L9" s="4"/>
      <c r="M9" s="18"/>
      <c r="N9" s="18"/>
      <c r="O9" s="18"/>
      <c r="P9" s="18"/>
      <c r="Q9" s="18"/>
      <c r="R9" s="18"/>
      <c r="S9" s="18"/>
      <c r="T9" s="18"/>
      <c r="U9" s="4"/>
      <c r="V9" s="4"/>
      <c r="W9" s="4"/>
      <c r="Y9" s="4"/>
    </row>
    <row r="10" spans="1:36" ht="14.25" customHeight="1">
      <c r="B10" s="82" t="s">
        <v>49</v>
      </c>
      <c r="C10" s="82"/>
      <c r="D10" s="82"/>
      <c r="E10" s="82"/>
      <c r="F10" s="82"/>
      <c r="G10" s="82"/>
      <c r="H10" s="20"/>
      <c r="I10" s="20"/>
      <c r="J10" s="21"/>
      <c r="K10" s="22"/>
      <c r="L10" s="16"/>
      <c r="M10" s="16"/>
      <c r="N10" s="23"/>
      <c r="O10" s="24"/>
      <c r="P10" s="25"/>
      <c r="Q10" s="208"/>
      <c r="R10" s="209"/>
      <c r="S10" s="24"/>
      <c r="T10" s="26"/>
      <c r="U10" s="26"/>
      <c r="V10" s="26"/>
      <c r="W10" s="26"/>
      <c r="X10" s="24"/>
      <c r="Y10" s="24"/>
      <c r="Z10" s="24"/>
    </row>
    <row r="11" spans="1:36" ht="15" customHeight="1">
      <c r="B11" s="2" t="s">
        <v>3</v>
      </c>
      <c r="H11" s="16"/>
      <c r="I11" s="16"/>
      <c r="J11" s="21"/>
      <c r="K11" s="22"/>
      <c r="L11" s="16"/>
      <c r="M11" s="16"/>
      <c r="N11" s="23"/>
      <c r="O11" s="25"/>
      <c r="P11" s="27"/>
      <c r="Q11" s="26"/>
      <c r="R11" s="16"/>
      <c r="S11" s="28"/>
      <c r="W11" s="25"/>
      <c r="X11" s="26"/>
      <c r="Y11" s="29"/>
      <c r="Z11" s="26"/>
      <c r="AA11" s="18"/>
      <c r="AB11" s="16"/>
      <c r="AC11" s="16"/>
      <c r="AD11" s="16"/>
      <c r="AE11" s="16"/>
      <c r="AF11" s="16"/>
    </row>
    <row r="12" spans="1:36" ht="14.25" customHeight="1">
      <c r="B12" s="2" t="s">
        <v>4</v>
      </c>
      <c r="H12" s="16"/>
      <c r="I12" s="16"/>
      <c r="J12" s="30"/>
      <c r="K12" s="22"/>
      <c r="L12" s="16"/>
      <c r="M12" s="16"/>
      <c r="N12" s="23"/>
      <c r="O12" s="25"/>
      <c r="P12" s="16"/>
      <c r="Q12" s="31"/>
      <c r="R12" s="16"/>
      <c r="S12" s="37"/>
      <c r="W12" s="25"/>
      <c r="X12" s="32"/>
      <c r="Y12" s="33"/>
      <c r="Z12" s="18"/>
      <c r="AA12" s="34"/>
      <c r="AB12" s="16"/>
      <c r="AC12" s="16"/>
      <c r="AD12" s="16"/>
      <c r="AE12" s="16"/>
      <c r="AF12" s="16"/>
      <c r="AG12" s="16"/>
    </row>
    <row r="13" spans="1:36" ht="12.75">
      <c r="B13" s="2" t="s">
        <v>50</v>
      </c>
      <c r="H13" s="16"/>
      <c r="I13" s="16"/>
      <c r="J13" s="21"/>
      <c r="K13" s="22"/>
      <c r="L13" s="16"/>
      <c r="M13" s="16"/>
      <c r="N13" s="23"/>
      <c r="O13" s="35"/>
      <c r="P13" s="36"/>
      <c r="Q13" s="28"/>
      <c r="R13" s="16"/>
      <c r="W13" s="25"/>
      <c r="X13" s="38"/>
      <c r="Y13" s="38"/>
      <c r="Z13" s="18"/>
      <c r="AA13" s="18"/>
      <c r="AB13" s="16"/>
      <c r="AC13" s="16"/>
      <c r="AD13" s="16"/>
      <c r="AE13" s="16"/>
      <c r="AF13" s="16"/>
      <c r="AG13" s="16"/>
      <c r="AJ13" s="177"/>
    </row>
    <row r="14" spans="1:36" ht="12.75">
      <c r="B14" s="2" t="s">
        <v>6</v>
      </c>
      <c r="H14" s="16"/>
      <c r="I14" s="16"/>
      <c r="J14" s="21"/>
      <c r="K14" s="22"/>
      <c r="L14" s="18"/>
      <c r="M14" s="18"/>
      <c r="N14" s="22"/>
      <c r="O14" s="121"/>
      <c r="P14" s="38"/>
      <c r="Q14" s="32"/>
      <c r="R14" s="18"/>
      <c r="S14" s="32"/>
      <c r="T14" s="4"/>
      <c r="U14" s="4"/>
      <c r="V14" s="4"/>
      <c r="W14" s="122"/>
      <c r="X14" s="26"/>
      <c r="Y14" s="42"/>
      <c r="Z14" s="18"/>
      <c r="AA14" s="18"/>
      <c r="AB14" s="16"/>
      <c r="AC14" s="16"/>
      <c r="AD14" s="16"/>
      <c r="AE14" s="16"/>
      <c r="AF14" s="16"/>
      <c r="AG14" s="16"/>
    </row>
    <row r="15" spans="1:36" ht="12.75">
      <c r="B15" s="2" t="s">
        <v>7</v>
      </c>
      <c r="H15" s="16"/>
      <c r="I15" s="16"/>
      <c r="J15" s="21"/>
      <c r="K15" s="22"/>
      <c r="L15" s="18"/>
      <c r="M15" s="18"/>
      <c r="N15" s="22"/>
      <c r="O15" s="121"/>
      <c r="P15" s="38"/>
      <c r="Q15" s="32"/>
      <c r="R15" s="18"/>
      <c r="S15" s="32"/>
      <c r="T15" s="4"/>
      <c r="U15" s="4"/>
      <c r="V15" s="4"/>
      <c r="W15" s="122"/>
      <c r="X15" s="26"/>
      <c r="Y15" s="42"/>
      <c r="Z15" s="18"/>
      <c r="AA15" s="18"/>
      <c r="AB15" s="16"/>
      <c r="AC15" s="16"/>
      <c r="AD15" s="16"/>
      <c r="AE15" s="16"/>
      <c r="AF15" s="16"/>
      <c r="AG15" s="16"/>
    </row>
    <row r="16" spans="1:36" ht="12.75">
      <c r="A16" s="16"/>
      <c r="B16" s="16"/>
      <c r="C16" s="16"/>
      <c r="D16" s="16"/>
      <c r="E16" s="16"/>
      <c r="F16" s="16"/>
      <c r="G16" s="16"/>
      <c r="H16" s="16"/>
      <c r="I16" s="16"/>
      <c r="J16" s="30"/>
      <c r="K16" s="18"/>
      <c r="L16" s="4"/>
      <c r="M16" s="18"/>
      <c r="N16" s="18"/>
      <c r="O16" s="18"/>
      <c r="P16" s="18"/>
      <c r="Q16" s="18"/>
      <c r="R16" s="18"/>
      <c r="S16" s="18"/>
      <c r="T16" s="18"/>
      <c r="U16" s="4"/>
      <c r="V16" s="4"/>
      <c r="W16" s="4"/>
      <c r="X16" s="134"/>
      <c r="Y16" s="46"/>
      <c r="Z16" s="18"/>
      <c r="AA16" s="18"/>
      <c r="AB16" s="16"/>
      <c r="AC16" s="16"/>
      <c r="AD16" s="16"/>
      <c r="AE16" s="16"/>
      <c r="AF16" s="16"/>
      <c r="AG16" s="16"/>
    </row>
    <row r="17" spans="1:35" ht="12.75">
      <c r="A17" s="14" t="s">
        <v>8</v>
      </c>
      <c r="B17" s="13"/>
      <c r="C17" s="13"/>
      <c r="D17" s="13"/>
      <c r="E17" s="13"/>
      <c r="F17" s="13"/>
      <c r="G17" s="13"/>
      <c r="H17" s="15"/>
      <c r="I17" s="15"/>
      <c r="J17" s="12" t="s">
        <v>42</v>
      </c>
      <c r="K17" s="13"/>
      <c r="L17" s="13"/>
      <c r="M17" s="13"/>
      <c r="N17" s="13"/>
      <c r="O17" s="13"/>
      <c r="P17" s="15"/>
      <c r="Q17" s="15"/>
      <c r="R17" s="15"/>
      <c r="S17" s="15"/>
      <c r="T17" s="15"/>
      <c r="U17" s="13"/>
      <c r="V17" s="13"/>
      <c r="W17" s="13"/>
      <c r="X17" s="49"/>
      <c r="Y17" s="49"/>
      <c r="Z17" s="18"/>
      <c r="AA17" s="18"/>
      <c r="AB17" s="16"/>
      <c r="AC17" s="16"/>
      <c r="AD17" s="16"/>
      <c r="AE17" s="16"/>
      <c r="AF17" s="16"/>
      <c r="AG17" s="16"/>
    </row>
    <row r="18" spans="1:35" ht="14.25" customHeight="1">
      <c r="A18" s="16"/>
      <c r="B18" s="82" t="s">
        <v>59</v>
      </c>
      <c r="C18" s="62"/>
      <c r="F18" s="88"/>
      <c r="G18" s="24"/>
      <c r="H18" s="159"/>
      <c r="I18" s="159"/>
      <c r="J18" s="153" t="s">
        <v>49</v>
      </c>
      <c r="K18" s="62"/>
      <c r="N18" s="88"/>
      <c r="O18" s="24"/>
      <c r="P18" s="25"/>
      <c r="Q18" s="25"/>
      <c r="R18" s="120"/>
      <c r="S18" s="24"/>
      <c r="T18" s="26"/>
      <c r="U18" s="26"/>
      <c r="V18" s="26"/>
      <c r="W18" s="26"/>
      <c r="X18" s="49"/>
      <c r="Y18" s="26"/>
      <c r="Z18" s="18"/>
      <c r="AA18" s="18"/>
      <c r="AB18" s="16"/>
      <c r="AC18" s="16"/>
      <c r="AD18" s="16"/>
      <c r="AE18" s="16"/>
      <c r="AF18" s="16"/>
      <c r="AG18" s="16"/>
    </row>
    <row r="19" spans="1:35" ht="14.25" customHeight="1">
      <c r="A19" s="16"/>
      <c r="B19" s="169" t="s">
        <v>60</v>
      </c>
      <c r="C19" s="62"/>
      <c r="F19" s="88"/>
      <c r="G19" s="161"/>
      <c r="H19" s="27"/>
      <c r="I19" s="26"/>
      <c r="J19" s="104" t="s">
        <v>3</v>
      </c>
      <c r="K19" s="62"/>
      <c r="N19" s="88"/>
      <c r="O19" s="161"/>
      <c r="P19" s="27"/>
      <c r="Q19" s="26"/>
      <c r="R19" s="16"/>
      <c r="S19" s="28"/>
      <c r="W19" s="25"/>
      <c r="X19" s="29"/>
      <c r="Y19" s="29"/>
      <c r="Z19" s="18"/>
      <c r="AA19" s="18"/>
      <c r="AB19" s="16"/>
      <c r="AC19" s="16"/>
      <c r="AD19" s="16"/>
      <c r="AE19" s="16"/>
      <c r="AF19" s="16"/>
      <c r="AG19" s="16"/>
      <c r="AI19" s="52"/>
    </row>
    <row r="20" spans="1:35" ht="14.25" customHeight="1">
      <c r="A20" s="16"/>
      <c r="B20" s="169" t="s">
        <v>61</v>
      </c>
      <c r="C20" s="62"/>
      <c r="F20" s="88"/>
      <c r="G20" s="160"/>
      <c r="H20" s="36"/>
      <c r="I20" s="28"/>
      <c r="J20" s="104" t="s">
        <v>4</v>
      </c>
      <c r="K20" s="62"/>
      <c r="N20" s="88"/>
      <c r="O20" s="160"/>
      <c r="P20" s="36"/>
      <c r="Q20" s="28"/>
      <c r="R20" s="16"/>
      <c r="S20" s="37"/>
      <c r="W20" s="25"/>
      <c r="X20" s="54"/>
      <c r="Y20" s="32"/>
      <c r="Z20" s="55"/>
      <c r="AA20" s="18"/>
      <c r="AB20" s="16"/>
      <c r="AC20" s="16"/>
      <c r="AD20" s="16"/>
      <c r="AE20" s="16"/>
      <c r="AF20" s="16"/>
      <c r="AG20" s="16"/>
    </row>
    <row r="21" spans="1:35" ht="14.25" customHeight="1">
      <c r="A21" s="16"/>
      <c r="B21" s="169" t="s">
        <v>62</v>
      </c>
      <c r="C21" s="62"/>
      <c r="F21" s="88"/>
      <c r="G21" s="160"/>
      <c r="H21" s="39"/>
      <c r="I21" s="32"/>
      <c r="J21" s="104" t="s">
        <v>50</v>
      </c>
      <c r="K21" s="62"/>
      <c r="N21" s="88"/>
      <c r="O21" s="160"/>
      <c r="P21" s="39"/>
      <c r="Q21" s="32"/>
      <c r="R21" s="16"/>
      <c r="S21" s="40"/>
      <c r="W21" s="41"/>
      <c r="X21" s="54"/>
      <c r="Y21" s="32"/>
      <c r="Z21" s="55"/>
      <c r="AA21" s="18"/>
      <c r="AB21" s="16"/>
      <c r="AC21" s="16"/>
      <c r="AD21" s="16"/>
      <c r="AE21" s="16"/>
      <c r="AF21" s="16"/>
      <c r="AG21" s="16"/>
    </row>
    <row r="22" spans="1:35" ht="14.25" customHeight="1">
      <c r="A22" s="16"/>
      <c r="B22" s="169" t="s">
        <v>6</v>
      </c>
      <c r="G22" s="90"/>
      <c r="H22" s="44"/>
      <c r="I22" s="29"/>
      <c r="J22" s="104" t="s">
        <v>6</v>
      </c>
      <c r="K22" s="4"/>
      <c r="O22" s="90"/>
      <c r="P22" s="44"/>
      <c r="Q22" s="29"/>
      <c r="R22" s="16"/>
      <c r="S22" s="45"/>
      <c r="W22" s="25"/>
      <c r="X22" s="54"/>
      <c r="Y22" s="32"/>
      <c r="Z22" s="55"/>
      <c r="AA22" s="18"/>
      <c r="AB22" s="16"/>
      <c r="AC22" s="16"/>
      <c r="AD22" s="16"/>
      <c r="AE22" s="16"/>
      <c r="AF22" s="16"/>
      <c r="AG22" s="16"/>
    </row>
    <row r="23" spans="1:35" ht="14.25" customHeight="1">
      <c r="A23" s="16"/>
      <c r="B23" s="169" t="s">
        <v>63</v>
      </c>
      <c r="H23" s="16"/>
      <c r="I23" s="18"/>
      <c r="J23" s="84" t="s">
        <v>7</v>
      </c>
      <c r="K23" s="162"/>
      <c r="N23" s="88"/>
      <c r="O23" s="92"/>
      <c r="P23" s="47"/>
      <c r="Q23" s="29"/>
      <c r="R23" s="16"/>
      <c r="S23" s="48"/>
      <c r="W23" s="25"/>
      <c r="X23" s="133"/>
      <c r="Y23" s="32"/>
      <c r="Z23" s="55"/>
      <c r="AA23" s="18"/>
      <c r="AB23" s="16"/>
      <c r="AC23" s="16"/>
      <c r="AD23" s="16"/>
      <c r="AE23" s="16"/>
      <c r="AF23" s="16"/>
      <c r="AG23" s="16"/>
    </row>
    <row r="24" spans="1:35" ht="14.25" customHeight="1">
      <c r="A24" s="16"/>
      <c r="B24" s="202" t="s">
        <v>64</v>
      </c>
      <c r="C24" s="16"/>
      <c r="D24" s="16"/>
      <c r="E24" s="16"/>
      <c r="F24" s="16"/>
      <c r="G24" s="16"/>
      <c r="H24" s="16"/>
      <c r="I24" s="53"/>
      <c r="J24" s="19" t="s">
        <v>41</v>
      </c>
      <c r="K24" s="15"/>
      <c r="L24" s="13"/>
      <c r="M24" s="15"/>
      <c r="N24" s="15"/>
      <c r="O24" s="15"/>
      <c r="P24" s="15"/>
      <c r="Q24" s="15"/>
      <c r="R24" s="15"/>
      <c r="S24" s="15"/>
      <c r="T24" s="15"/>
      <c r="U24" s="13"/>
      <c r="V24" s="13"/>
      <c r="W24" s="13"/>
      <c r="X24" s="54"/>
      <c r="Y24" s="32"/>
      <c r="Z24" s="55"/>
      <c r="AA24" s="18"/>
      <c r="AB24" s="16"/>
      <c r="AC24" s="16"/>
      <c r="AD24" s="16"/>
      <c r="AE24" s="16"/>
      <c r="AF24" s="16"/>
      <c r="AG24" s="16"/>
    </row>
    <row r="25" spans="1:35" ht="12.75">
      <c r="A25" s="16"/>
      <c r="B25" s="16"/>
      <c r="C25" s="16"/>
      <c r="D25" s="16"/>
      <c r="E25" s="16"/>
      <c r="F25" s="16"/>
      <c r="G25" s="16"/>
      <c r="H25" s="16"/>
      <c r="I25" s="53"/>
      <c r="J25" s="21"/>
      <c r="K25" s="199"/>
      <c r="L25" s="20"/>
      <c r="M25" s="20" t="s">
        <v>58</v>
      </c>
      <c r="N25" s="200"/>
      <c r="O25" s="155"/>
      <c r="P25" s="201"/>
      <c r="Q25" s="201"/>
      <c r="R25" s="201"/>
      <c r="S25" s="155"/>
      <c r="T25" s="198"/>
      <c r="U25" s="198"/>
      <c r="V25" s="198"/>
      <c r="W25" s="198"/>
      <c r="X25" s="54"/>
      <c r="Y25" s="32"/>
      <c r="Z25" s="55"/>
      <c r="AA25" s="18"/>
      <c r="AB25" s="16"/>
      <c r="AC25" s="16"/>
      <c r="AD25" s="16"/>
      <c r="AE25" s="16"/>
      <c r="AF25" s="16"/>
      <c r="AG25" s="16"/>
    </row>
    <row r="26" spans="1:35" ht="14.25" customHeight="1">
      <c r="A26" s="16"/>
      <c r="B26" s="16"/>
      <c r="C26" s="16"/>
      <c r="D26" s="16"/>
      <c r="E26" s="16"/>
      <c r="F26" s="16"/>
      <c r="G26" s="16"/>
      <c r="H26" s="16"/>
      <c r="I26" s="53"/>
      <c r="J26" s="21"/>
      <c r="K26" s="22" t="s">
        <v>13</v>
      </c>
      <c r="L26" s="16" t="s">
        <v>23</v>
      </c>
      <c r="M26" s="16"/>
      <c r="N26" s="23" t="s">
        <v>19</v>
      </c>
      <c r="O26" s="28"/>
      <c r="P26" s="27"/>
      <c r="Q26" s="28"/>
      <c r="R26" s="168"/>
      <c r="S26" s="28"/>
      <c r="T26" s="168"/>
      <c r="U26" s="28"/>
      <c r="V26" s="168"/>
      <c r="W26" s="28"/>
      <c r="X26" s="54"/>
      <c r="Y26" s="32"/>
      <c r="Z26" s="55"/>
      <c r="AA26" s="18"/>
      <c r="AB26" s="16"/>
      <c r="AC26" s="16"/>
      <c r="AD26" s="16"/>
      <c r="AE26" s="16"/>
      <c r="AF26" s="16"/>
      <c r="AG26" s="16"/>
    </row>
    <row r="27" spans="1:35" ht="14.25" customHeight="1">
      <c r="A27" s="16"/>
      <c r="B27" s="16"/>
      <c r="C27" s="16"/>
      <c r="D27" s="16"/>
      <c r="E27" s="16"/>
      <c r="F27" s="16"/>
      <c r="G27" s="16"/>
      <c r="H27" s="16"/>
      <c r="I27" s="53"/>
      <c r="J27" s="21"/>
      <c r="K27" s="22" t="s">
        <v>13</v>
      </c>
      <c r="L27" s="16" t="s">
        <v>24</v>
      </c>
      <c r="M27" s="16"/>
      <c r="N27" s="23" t="s">
        <v>19</v>
      </c>
      <c r="O27" s="28"/>
      <c r="P27" s="27"/>
      <c r="Q27" s="28"/>
      <c r="R27" s="168"/>
      <c r="S27" s="28"/>
      <c r="T27" s="168"/>
      <c r="U27" s="28"/>
      <c r="V27" s="168"/>
      <c r="W27" s="28"/>
      <c r="X27" s="54"/>
      <c r="Y27" s="32"/>
      <c r="Z27" s="55"/>
      <c r="AA27" s="18"/>
      <c r="AB27" s="16"/>
      <c r="AC27" s="16"/>
      <c r="AD27" s="16"/>
      <c r="AE27" s="16"/>
      <c r="AF27" s="16"/>
      <c r="AG27" s="16"/>
    </row>
    <row r="28" spans="1:35" ht="14.25" customHeight="1">
      <c r="A28" s="16"/>
      <c r="B28" s="16"/>
      <c r="C28" s="16"/>
      <c r="D28" s="16"/>
      <c r="E28" s="16"/>
      <c r="F28" s="16"/>
      <c r="G28" s="16"/>
      <c r="H28" s="16"/>
      <c r="I28" s="53"/>
      <c r="J28" s="21"/>
      <c r="K28" s="22" t="s">
        <v>13</v>
      </c>
      <c r="L28" s="16" t="s">
        <v>5</v>
      </c>
      <c r="M28" s="16"/>
      <c r="N28" s="23" t="s">
        <v>19</v>
      </c>
      <c r="O28" s="195"/>
      <c r="P28" s="27"/>
      <c r="Q28" s="195"/>
      <c r="R28" s="168"/>
      <c r="S28" s="195"/>
      <c r="T28" s="168"/>
      <c r="U28" s="195"/>
      <c r="V28" s="168"/>
      <c r="W28" s="195"/>
      <c r="X28" s="54"/>
      <c r="Y28" s="32"/>
      <c r="Z28" s="55"/>
      <c r="AA28" s="18"/>
      <c r="AB28" s="16"/>
      <c r="AC28" s="16"/>
      <c r="AD28" s="16"/>
      <c r="AE28" s="16"/>
      <c r="AF28" s="16"/>
      <c r="AG28" s="16"/>
    </row>
    <row r="29" spans="1:35" ht="14.25" customHeight="1">
      <c r="A29" s="16"/>
      <c r="B29" s="16"/>
      <c r="C29" s="16"/>
      <c r="D29" s="16"/>
      <c r="E29" s="16"/>
      <c r="F29" s="16"/>
      <c r="G29" s="16"/>
      <c r="H29" s="16"/>
      <c r="I29" s="53"/>
      <c r="J29" s="30"/>
      <c r="K29" s="22" t="s">
        <v>13</v>
      </c>
      <c r="L29" s="16" t="s">
        <v>47</v>
      </c>
      <c r="M29" s="16"/>
      <c r="N29" s="23" t="s">
        <v>19</v>
      </c>
      <c r="O29" s="179"/>
      <c r="P29" s="168"/>
      <c r="Q29" s="179"/>
      <c r="R29" s="168"/>
      <c r="S29" s="179"/>
      <c r="T29" s="168"/>
      <c r="U29" s="179"/>
      <c r="V29" s="168"/>
      <c r="W29" s="179"/>
      <c r="X29" s="54"/>
      <c r="Y29" s="32"/>
      <c r="Z29" s="55"/>
      <c r="AA29" s="18"/>
      <c r="AB29" s="16"/>
      <c r="AC29" s="16"/>
      <c r="AD29" s="16"/>
      <c r="AE29" s="16"/>
      <c r="AF29" s="16"/>
      <c r="AG29" s="16"/>
    </row>
    <row r="30" spans="1:35" ht="14.25" customHeight="1">
      <c r="A30" s="16"/>
      <c r="B30" s="16"/>
      <c r="C30" s="16"/>
      <c r="D30" s="16"/>
      <c r="E30" s="16"/>
      <c r="F30" s="16"/>
      <c r="G30" s="16"/>
      <c r="H30" s="16"/>
      <c r="I30" s="53"/>
      <c r="J30" s="30"/>
      <c r="K30" s="22"/>
      <c r="L30" s="16"/>
      <c r="M30" s="16"/>
      <c r="N30" s="23"/>
      <c r="O30" s="180"/>
      <c r="P30" s="168"/>
      <c r="Q30" s="180"/>
      <c r="R30" s="168"/>
      <c r="S30" s="180"/>
      <c r="T30" s="168"/>
      <c r="U30" s="180"/>
      <c r="V30" s="168"/>
      <c r="W30" s="180"/>
      <c r="X30" s="54"/>
      <c r="Y30" s="32"/>
      <c r="Z30" s="55"/>
      <c r="AA30" s="18"/>
      <c r="AB30" s="16"/>
      <c r="AC30" s="16"/>
      <c r="AD30" s="16"/>
      <c r="AE30" s="16"/>
      <c r="AF30" s="16"/>
      <c r="AG30" s="16"/>
    </row>
    <row r="31" spans="1:35" s="146" customFormat="1" ht="16.5" customHeight="1">
      <c r="A31" s="141"/>
      <c r="B31" s="141"/>
      <c r="C31" s="141"/>
      <c r="D31" s="141"/>
      <c r="E31" s="141"/>
      <c r="F31" s="141"/>
      <c r="G31" s="141"/>
      <c r="H31" s="141"/>
      <c r="I31" s="142"/>
      <c r="J31" s="143"/>
      <c r="K31" s="22" t="s">
        <v>13</v>
      </c>
      <c r="L31" s="168" t="s">
        <v>25</v>
      </c>
      <c r="M31" s="144"/>
      <c r="N31" s="145" t="s">
        <v>19</v>
      </c>
      <c r="O31" s="196"/>
      <c r="P31" s="197"/>
      <c r="Q31" s="196"/>
      <c r="R31" s="197"/>
      <c r="S31" s="196"/>
      <c r="T31" s="197"/>
      <c r="U31" s="196"/>
      <c r="V31" s="197"/>
      <c r="W31" s="196"/>
      <c r="X31" s="147"/>
      <c r="Y31" s="147"/>
      <c r="Z31" s="148"/>
      <c r="AA31" s="149"/>
      <c r="AB31" s="150"/>
      <c r="AC31" s="144"/>
      <c r="AD31" s="144"/>
      <c r="AE31" s="144"/>
      <c r="AF31" s="144"/>
      <c r="AG31" s="144"/>
    </row>
    <row r="32" spans="1:35" ht="14.25" customHeight="1">
      <c r="A32" s="20" t="s">
        <v>9</v>
      </c>
      <c r="B32" s="16"/>
      <c r="C32" s="18"/>
      <c r="D32" s="18"/>
      <c r="E32" s="53"/>
      <c r="F32" s="30" t="s">
        <v>10</v>
      </c>
      <c r="G32" s="57"/>
      <c r="H32" s="57"/>
      <c r="I32" s="50"/>
      <c r="J32" s="21"/>
      <c r="K32" s="22" t="s">
        <v>13</v>
      </c>
      <c r="L32" s="16" t="s">
        <v>26</v>
      </c>
      <c r="M32" s="16"/>
      <c r="N32" s="23" t="s">
        <v>19</v>
      </c>
      <c r="O32" s="181"/>
      <c r="P32" s="39"/>
      <c r="Q32" s="181"/>
      <c r="R32" s="168"/>
      <c r="S32" s="181"/>
      <c r="T32" s="168"/>
      <c r="U32" s="181"/>
      <c r="V32" s="168"/>
      <c r="W32" s="181"/>
      <c r="X32" s="42"/>
      <c r="Y32" s="42"/>
      <c r="Z32" s="46"/>
      <c r="AA32" s="18"/>
      <c r="AB32" s="16"/>
      <c r="AC32" s="16"/>
      <c r="AD32" s="16"/>
      <c r="AE32" s="16"/>
      <c r="AF32" s="16"/>
      <c r="AG32" s="16"/>
    </row>
    <row r="33" spans="1:35" s="82" customFormat="1" ht="14.25" customHeight="1">
      <c r="A33" s="163"/>
      <c r="B33" s="164" t="s">
        <v>43</v>
      </c>
      <c r="C33" s="163"/>
      <c r="D33" s="163"/>
      <c r="E33" s="165"/>
      <c r="F33" s="163"/>
      <c r="G33" s="164" t="s">
        <v>51</v>
      </c>
      <c r="H33" s="164"/>
      <c r="I33" s="166"/>
      <c r="J33" s="30"/>
      <c r="K33" s="20"/>
      <c r="L33" s="20"/>
      <c r="M33" s="20"/>
      <c r="N33" s="20"/>
      <c r="O33" s="43"/>
      <c r="P33" s="182"/>
      <c r="Q33" s="43"/>
      <c r="R33" s="20"/>
      <c r="S33" s="43"/>
      <c r="T33" s="20"/>
      <c r="U33" s="43"/>
      <c r="V33" s="20"/>
      <c r="W33" s="43"/>
      <c r="X33" s="167"/>
      <c r="Y33" s="167"/>
      <c r="Z33" s="57"/>
      <c r="AA33" s="20"/>
      <c r="AB33" s="20"/>
      <c r="AC33" s="20"/>
      <c r="AD33" s="20"/>
      <c r="AE33" s="20"/>
      <c r="AF33" s="20"/>
      <c r="AG33" s="20"/>
    </row>
    <row r="34" spans="1:35" ht="14.25" customHeight="1">
      <c r="A34" s="20" t="s">
        <v>11</v>
      </c>
      <c r="B34" s="16"/>
      <c r="C34" s="18"/>
      <c r="D34" s="18"/>
      <c r="E34" s="53"/>
      <c r="F34" s="59" t="s">
        <v>12</v>
      </c>
      <c r="G34" s="57"/>
      <c r="H34" s="57"/>
      <c r="I34" s="50"/>
      <c r="J34" s="21"/>
      <c r="K34" s="22" t="s">
        <v>13</v>
      </c>
      <c r="L34" s="16" t="s">
        <v>27</v>
      </c>
      <c r="M34" s="16"/>
      <c r="N34" s="23" t="s">
        <v>19</v>
      </c>
      <c r="O34" s="183"/>
      <c r="P34" s="47"/>
      <c r="Q34" s="183"/>
      <c r="R34" s="168"/>
      <c r="S34" s="183"/>
      <c r="T34" s="168"/>
      <c r="U34" s="183"/>
      <c r="V34" s="168"/>
      <c r="W34" s="183"/>
      <c r="X34" s="18"/>
      <c r="Y34" s="18"/>
      <c r="Z34" s="18"/>
      <c r="AA34" s="16"/>
      <c r="AB34" s="16"/>
      <c r="AC34" s="16"/>
      <c r="AD34" s="16"/>
      <c r="AE34" s="16"/>
      <c r="AF34" s="16"/>
      <c r="AG34" s="16"/>
    </row>
    <row r="35" spans="1:35" s="82" customFormat="1" ht="14.25" customHeight="1">
      <c r="A35" s="210" t="s">
        <v>55</v>
      </c>
      <c r="B35" s="211"/>
      <c r="C35" s="211"/>
      <c r="D35" s="211"/>
      <c r="E35" s="212"/>
      <c r="F35" s="213"/>
      <c r="G35" s="214"/>
      <c r="H35" s="214"/>
      <c r="I35" s="215"/>
      <c r="J35" s="57"/>
      <c r="K35" s="23" t="s">
        <v>13</v>
      </c>
      <c r="L35" s="16" t="s">
        <v>28</v>
      </c>
      <c r="M35" s="151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57"/>
      <c r="Y35" s="57"/>
      <c r="Z35" s="57"/>
      <c r="AA35" s="20"/>
      <c r="AB35" s="20"/>
      <c r="AC35" s="20"/>
      <c r="AD35" s="20"/>
      <c r="AE35" s="20"/>
      <c r="AF35" s="20"/>
      <c r="AG35" s="20"/>
    </row>
    <row r="36" spans="1:35" ht="15" customHeight="1">
      <c r="A36" s="14" t="s">
        <v>45</v>
      </c>
      <c r="B36" s="15"/>
      <c r="C36" s="15"/>
      <c r="D36" s="15"/>
      <c r="E36" s="15"/>
      <c r="F36" s="136"/>
      <c r="G36" s="18"/>
      <c r="H36" s="18"/>
      <c r="I36" s="18"/>
      <c r="J36" s="15"/>
      <c r="K36" s="15"/>
      <c r="L36" s="15"/>
      <c r="M36" s="15"/>
      <c r="N36" s="15"/>
      <c r="O36" s="15"/>
      <c r="P36" s="15"/>
      <c r="Q36" s="15"/>
      <c r="R36" s="14"/>
      <c r="S36" s="14"/>
      <c r="T36" s="15"/>
      <c r="U36" s="15"/>
      <c r="V36" s="15"/>
      <c r="W36" s="15"/>
      <c r="X36" s="15"/>
      <c r="Y36" s="18"/>
      <c r="Z36" s="18"/>
      <c r="AA36" s="16"/>
      <c r="AB36" s="16"/>
      <c r="AC36" s="16"/>
      <c r="AD36" s="16"/>
      <c r="AE36" s="16"/>
      <c r="AF36" s="16"/>
      <c r="AG36" s="16"/>
      <c r="AI36" s="61"/>
    </row>
    <row r="37" spans="1:35" ht="1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62"/>
      <c r="Y37" s="4"/>
    </row>
    <row r="38" spans="1:35" ht="15" customHeight="1">
      <c r="A38" s="216" t="s">
        <v>48</v>
      </c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Y38" s="4"/>
    </row>
    <row r="39" spans="1:35" ht="1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Y39" s="4"/>
      <c r="Z39" s="62"/>
    </row>
    <row r="40" spans="1:35" ht="15" customHeight="1" thickBot="1">
      <c r="A40" s="16"/>
      <c r="B40" s="16"/>
      <c r="C40" s="16"/>
      <c r="D40" s="28"/>
      <c r="E40" s="16"/>
      <c r="F40" s="60"/>
      <c r="G40" s="60"/>
      <c r="H40" s="60"/>
      <c r="I40" s="60"/>
      <c r="J40" s="206"/>
      <c r="K40" s="206"/>
      <c r="L40" s="206"/>
      <c r="M40" s="206"/>
      <c r="N40" s="206"/>
      <c r="O40" s="204"/>
      <c r="P40" s="204"/>
      <c r="Q40" s="204"/>
      <c r="R40" s="204"/>
      <c r="S40" s="205"/>
      <c r="T40" s="205"/>
      <c r="U40" s="205"/>
      <c r="V40" s="205"/>
      <c r="W40" s="205"/>
      <c r="X40" s="63"/>
      <c r="Y40" s="4"/>
      <c r="Z40" s="63"/>
      <c r="AB40" s="62"/>
    </row>
    <row r="41" spans="1:35" ht="15" customHeight="1">
      <c r="A41" s="168"/>
      <c r="B41" s="226" t="s">
        <v>52</v>
      </c>
      <c r="C41" s="227"/>
      <c r="D41" s="228"/>
      <c r="E41" s="16"/>
      <c r="F41" s="203"/>
      <c r="G41" s="203"/>
      <c r="H41" s="203"/>
      <c r="I41" s="203"/>
      <c r="J41" s="206"/>
      <c r="K41" s="206"/>
      <c r="L41" s="206"/>
      <c r="M41" s="206"/>
      <c r="N41" s="206"/>
      <c r="O41" s="204"/>
      <c r="P41" s="204"/>
      <c r="Q41" s="204"/>
      <c r="R41" s="204"/>
      <c r="S41" s="205">
        <f>ROUND(J41*O41,2)</f>
        <v>0</v>
      </c>
      <c r="T41" s="205"/>
      <c r="U41" s="205"/>
      <c r="V41" s="205"/>
      <c r="W41" s="205"/>
      <c r="X41" s="63"/>
      <c r="Y41" s="4"/>
      <c r="Z41" s="63"/>
      <c r="AB41" s="62"/>
    </row>
    <row r="42" spans="1:35" ht="15" customHeight="1">
      <c r="A42" s="168"/>
      <c r="B42" s="229"/>
      <c r="C42" s="230"/>
      <c r="D42" s="231"/>
      <c r="E42" s="56"/>
      <c r="F42" s="56"/>
      <c r="G42" s="60"/>
      <c r="H42" s="60"/>
      <c r="I42" s="60"/>
      <c r="J42" s="206"/>
      <c r="K42" s="206"/>
      <c r="L42" s="206"/>
      <c r="M42" s="206"/>
      <c r="N42" s="206"/>
      <c r="O42" s="204"/>
      <c r="P42" s="204"/>
      <c r="Q42" s="204"/>
      <c r="R42" s="204"/>
      <c r="S42" s="205"/>
      <c r="T42" s="205"/>
      <c r="U42" s="205"/>
      <c r="V42" s="205"/>
      <c r="W42" s="205"/>
      <c r="X42" s="63"/>
      <c r="Y42" s="4"/>
      <c r="Z42" s="63"/>
      <c r="AB42" s="62"/>
    </row>
    <row r="43" spans="1:35" ht="15" customHeight="1" thickBot="1">
      <c r="A43" s="168"/>
      <c r="B43" s="232"/>
      <c r="C43" s="233"/>
      <c r="D43" s="234"/>
      <c r="E43" s="65"/>
      <c r="F43" s="225"/>
      <c r="G43" s="225"/>
      <c r="H43" s="225"/>
      <c r="I43" s="225"/>
      <c r="J43" s="206"/>
      <c r="K43" s="206"/>
      <c r="L43" s="206"/>
      <c r="M43" s="206"/>
      <c r="N43" s="206"/>
      <c r="O43" s="204"/>
      <c r="P43" s="204"/>
      <c r="Q43" s="204"/>
      <c r="R43" s="204"/>
      <c r="S43" s="205">
        <f>ROUND(J43*O43,2)</f>
        <v>0</v>
      </c>
      <c r="T43" s="205"/>
      <c r="U43" s="205"/>
      <c r="V43" s="205"/>
      <c r="W43" s="205"/>
      <c r="X43" s="63"/>
      <c r="Y43" s="4"/>
      <c r="Z43" s="63"/>
      <c r="AB43" s="62"/>
    </row>
    <row r="44" spans="1:35" ht="15" customHeight="1">
      <c r="A44" s="16"/>
      <c r="B44" s="16"/>
      <c r="C44" s="16"/>
      <c r="D44" s="28"/>
      <c r="E44" s="16"/>
      <c r="F44" s="56"/>
      <c r="G44" s="60"/>
      <c r="H44" s="60"/>
      <c r="I44" s="60"/>
      <c r="J44" s="206"/>
      <c r="K44" s="206"/>
      <c r="L44" s="206"/>
      <c r="M44" s="206"/>
      <c r="N44" s="206"/>
      <c r="O44" s="204"/>
      <c r="P44" s="204"/>
      <c r="Q44" s="204"/>
      <c r="R44" s="204"/>
      <c r="S44" s="205"/>
      <c r="T44" s="205"/>
      <c r="U44" s="205"/>
      <c r="V44" s="205"/>
      <c r="W44" s="205"/>
      <c r="X44" s="63"/>
      <c r="Y44" s="4"/>
      <c r="Z44" s="63"/>
      <c r="AB44" s="62"/>
    </row>
    <row r="45" spans="1:35" ht="15" customHeight="1">
      <c r="A45" s="16"/>
      <c r="E45" s="16"/>
      <c r="F45" s="225"/>
      <c r="G45" s="225"/>
      <c r="H45" s="225"/>
      <c r="I45" s="225"/>
      <c r="J45" s="206"/>
      <c r="K45" s="206"/>
      <c r="L45" s="206"/>
      <c r="M45" s="206"/>
      <c r="N45" s="206"/>
      <c r="O45" s="204"/>
      <c r="P45" s="204"/>
      <c r="Q45" s="204"/>
      <c r="R45" s="204"/>
      <c r="S45" s="205">
        <f>ROUND(J45*O45,2)</f>
        <v>0</v>
      </c>
      <c r="T45" s="205"/>
      <c r="U45" s="205"/>
      <c r="V45" s="205"/>
      <c r="W45" s="205"/>
      <c r="X45" s="63"/>
      <c r="Y45" s="4"/>
      <c r="Z45" s="63"/>
      <c r="AB45" s="62"/>
    </row>
    <row r="46" spans="1:35" ht="15" customHeight="1">
      <c r="A46" s="16"/>
      <c r="F46" s="56"/>
      <c r="G46" s="60"/>
      <c r="H46" s="60"/>
      <c r="I46" s="60"/>
      <c r="J46" s="206"/>
      <c r="K46" s="206"/>
      <c r="L46" s="206"/>
      <c r="M46" s="206"/>
      <c r="N46" s="206"/>
      <c r="O46" s="204"/>
      <c r="P46" s="204"/>
      <c r="Q46" s="204"/>
      <c r="R46" s="204"/>
      <c r="S46" s="205"/>
      <c r="T46" s="205"/>
      <c r="U46" s="205"/>
      <c r="V46" s="205"/>
      <c r="W46" s="205"/>
      <c r="X46" s="63"/>
      <c r="Y46" s="4"/>
      <c r="Z46" s="63"/>
      <c r="AB46" s="62"/>
    </row>
    <row r="47" spans="1:35" ht="15" customHeight="1">
      <c r="A47" s="16"/>
      <c r="F47" s="225"/>
      <c r="G47" s="225"/>
      <c r="H47" s="225"/>
      <c r="I47" s="225"/>
      <c r="J47" s="206"/>
      <c r="K47" s="206"/>
      <c r="L47" s="206"/>
      <c r="M47" s="206"/>
      <c r="N47" s="206"/>
      <c r="O47" s="204"/>
      <c r="P47" s="204"/>
      <c r="Q47" s="204"/>
      <c r="R47" s="204"/>
      <c r="S47" s="205">
        <f>ROUND(J47*O47,2)</f>
        <v>0</v>
      </c>
      <c r="T47" s="205"/>
      <c r="U47" s="205"/>
      <c r="V47" s="205"/>
      <c r="W47" s="205"/>
      <c r="X47" s="63"/>
      <c r="Y47" s="4"/>
      <c r="Z47" s="63"/>
      <c r="AB47" s="62"/>
    </row>
    <row r="48" spans="1:35" ht="15" customHeight="1">
      <c r="A48" s="16"/>
      <c r="B48" s="16"/>
      <c r="C48" s="16"/>
      <c r="D48" s="28"/>
      <c r="E48" s="16"/>
      <c r="F48" s="56"/>
      <c r="G48" s="60"/>
      <c r="H48" s="60"/>
      <c r="I48" s="60"/>
      <c r="J48" s="206"/>
      <c r="K48" s="206"/>
      <c r="L48" s="206"/>
      <c r="M48" s="206"/>
      <c r="N48" s="206"/>
      <c r="O48" s="204"/>
      <c r="P48" s="204"/>
      <c r="Q48" s="204"/>
      <c r="R48" s="204"/>
      <c r="S48" s="205"/>
      <c r="T48" s="205"/>
      <c r="U48" s="205"/>
      <c r="V48" s="205"/>
      <c r="W48" s="205"/>
      <c r="X48" s="63"/>
      <c r="Y48" s="4"/>
      <c r="Z48" s="63"/>
      <c r="AB48" s="62"/>
    </row>
    <row r="49" spans="1:28" ht="15" customHeight="1">
      <c r="A49" s="16"/>
      <c r="B49" s="16"/>
      <c r="C49" s="16"/>
      <c r="D49" s="28"/>
      <c r="E49" s="56"/>
      <c r="F49" s="225"/>
      <c r="G49" s="225"/>
      <c r="H49" s="225"/>
      <c r="I49" s="225"/>
      <c r="J49" s="206"/>
      <c r="K49" s="206"/>
      <c r="L49" s="206"/>
      <c r="M49" s="206"/>
      <c r="N49" s="206"/>
      <c r="O49" s="204"/>
      <c r="P49" s="204"/>
      <c r="Q49" s="204"/>
      <c r="R49" s="204"/>
      <c r="S49" s="205">
        <f>ROUND(J49*O49,2)</f>
        <v>0</v>
      </c>
      <c r="T49" s="205"/>
      <c r="U49" s="205"/>
      <c r="V49" s="205"/>
      <c r="W49" s="205"/>
      <c r="X49" s="63"/>
      <c r="Y49" s="4"/>
      <c r="Z49" s="63"/>
      <c r="AB49" s="62"/>
    </row>
    <row r="50" spans="1:28" ht="15" customHeight="1">
      <c r="A50" s="16"/>
      <c r="B50" s="16"/>
      <c r="C50" s="16"/>
      <c r="D50" s="28"/>
      <c r="F50" s="56"/>
      <c r="G50" s="60"/>
      <c r="H50" s="60"/>
      <c r="I50" s="60"/>
      <c r="J50" s="206"/>
      <c r="K50" s="206"/>
      <c r="L50" s="206"/>
      <c r="M50" s="206"/>
      <c r="N50" s="206"/>
      <c r="O50" s="204"/>
      <c r="P50" s="204"/>
      <c r="Q50" s="204"/>
      <c r="R50" s="204"/>
      <c r="S50" s="205"/>
      <c r="T50" s="205"/>
      <c r="U50" s="205"/>
      <c r="V50" s="205"/>
      <c r="W50" s="205"/>
      <c r="X50" s="67"/>
      <c r="Y50" s="67"/>
      <c r="Z50" s="67"/>
      <c r="AA50" s="68"/>
      <c r="AB50" s="62"/>
    </row>
    <row r="51" spans="1:28" ht="15" customHeight="1">
      <c r="A51" s="16"/>
      <c r="B51" s="16"/>
      <c r="C51" s="16"/>
      <c r="D51" s="28"/>
      <c r="E51" s="56"/>
      <c r="F51" s="60"/>
      <c r="G51" s="60"/>
      <c r="H51" s="60"/>
      <c r="I51" s="60"/>
      <c r="J51" s="206"/>
      <c r="K51" s="206"/>
      <c r="L51" s="206"/>
      <c r="M51" s="206"/>
      <c r="N51" s="206"/>
      <c r="O51" s="204"/>
      <c r="P51" s="204"/>
      <c r="Q51" s="204"/>
      <c r="R51" s="204"/>
      <c r="S51" s="205"/>
      <c r="T51" s="205"/>
      <c r="U51" s="205"/>
      <c r="V51" s="205"/>
      <c r="W51" s="205"/>
      <c r="X51" s="135"/>
      <c r="Y51" s="67"/>
      <c r="Z51" s="67"/>
      <c r="AA51" s="68"/>
      <c r="AB51" s="62"/>
    </row>
    <row r="52" spans="1:28" ht="15" customHeight="1">
      <c r="A52" s="16"/>
      <c r="B52" s="16"/>
      <c r="C52" s="16"/>
      <c r="D52" s="28"/>
      <c r="E52" s="123" t="s">
        <v>29</v>
      </c>
      <c r="F52" s="14"/>
      <c r="G52" s="14"/>
      <c r="H52" s="14"/>
      <c r="I52" s="14"/>
      <c r="J52" s="237">
        <f>SUM(J39:N51)</f>
        <v>0</v>
      </c>
      <c r="K52" s="237"/>
      <c r="L52" s="237"/>
      <c r="M52" s="237"/>
      <c r="N52" s="237"/>
      <c r="O52" s="14"/>
      <c r="P52" s="124"/>
      <c r="Q52" s="124"/>
      <c r="R52" s="125"/>
      <c r="S52" s="222">
        <f>SUM(S39:U51)</f>
        <v>0</v>
      </c>
      <c r="T52" s="222"/>
      <c r="U52" s="222"/>
      <c r="V52" s="222"/>
      <c r="W52" s="222"/>
      <c r="X52" s="63"/>
      <c r="Y52" s="67"/>
      <c r="Z52" s="67"/>
      <c r="AA52" s="68"/>
      <c r="AB52" s="62"/>
    </row>
    <row r="53" spans="1:28" ht="15" customHeight="1">
      <c r="A53" s="16"/>
      <c r="B53" s="16"/>
      <c r="C53" s="16"/>
      <c r="D53" s="28"/>
      <c r="X53" s="67"/>
      <c r="Y53" s="67"/>
      <c r="Z53" s="67"/>
      <c r="AA53" s="68"/>
      <c r="AB53" s="62"/>
    </row>
    <row r="54" spans="1:28" ht="15" customHeight="1">
      <c r="A54" s="69" t="s">
        <v>44</v>
      </c>
      <c r="B54" s="69"/>
      <c r="C54" s="16"/>
      <c r="D54" s="18"/>
      <c r="E54" s="70"/>
      <c r="F54" s="18"/>
      <c r="G54" s="18"/>
      <c r="H54" s="18"/>
      <c r="I54" s="18"/>
      <c r="J54" s="137"/>
      <c r="K54" s="137"/>
      <c r="L54" s="137"/>
      <c r="M54" s="137"/>
      <c r="N54" s="137"/>
      <c r="O54" s="18"/>
      <c r="P54" s="71"/>
      <c r="Q54" s="71"/>
      <c r="R54" s="72"/>
      <c r="S54" s="73"/>
      <c r="T54" s="73"/>
      <c r="U54" s="74"/>
      <c r="V54" s="73"/>
      <c r="W54" s="73"/>
      <c r="X54" s="67"/>
      <c r="Y54" s="67"/>
      <c r="Z54" s="67"/>
      <c r="AA54" s="68"/>
      <c r="AB54" s="62"/>
    </row>
    <row r="55" spans="1:28" ht="15" customHeight="1">
      <c r="A55" s="69" t="s">
        <v>14</v>
      </c>
      <c r="B55" s="69"/>
      <c r="C55" s="16"/>
      <c r="D55" s="18"/>
      <c r="E55" s="70"/>
      <c r="F55" s="18"/>
      <c r="G55" s="18"/>
      <c r="H55" s="18"/>
      <c r="I55" s="18"/>
      <c r="J55" s="137"/>
      <c r="K55" s="137"/>
      <c r="L55" s="137"/>
      <c r="M55" s="137"/>
      <c r="N55" s="137"/>
      <c r="O55" s="18"/>
      <c r="P55" s="71"/>
      <c r="Q55" s="71"/>
      <c r="R55" s="72"/>
      <c r="S55" s="73"/>
      <c r="T55" s="73"/>
      <c r="U55" s="74"/>
      <c r="V55" s="73"/>
      <c r="W55" s="73"/>
      <c r="X55" s="67"/>
      <c r="Y55" s="67"/>
      <c r="Z55" s="67"/>
      <c r="AA55" s="68"/>
      <c r="AB55" s="62"/>
    </row>
    <row r="56" spans="1:28" s="169" customFormat="1" ht="15" customHeight="1">
      <c r="A56" s="69"/>
      <c r="B56" s="69"/>
      <c r="C56" s="168"/>
      <c r="D56" s="18"/>
      <c r="E56" s="70"/>
      <c r="F56" s="18"/>
      <c r="G56" s="18"/>
      <c r="H56" s="18"/>
      <c r="I56" s="18"/>
      <c r="J56" s="176"/>
      <c r="K56" s="176"/>
      <c r="L56" s="176"/>
      <c r="M56" s="176"/>
      <c r="N56" s="176"/>
      <c r="O56" s="18"/>
      <c r="P56" s="71"/>
      <c r="Q56" s="71"/>
      <c r="R56" s="72"/>
      <c r="S56" s="73"/>
      <c r="T56" s="73"/>
      <c r="U56" s="74"/>
      <c r="V56" s="73"/>
      <c r="W56" s="73"/>
      <c r="X56" s="67"/>
      <c r="Y56" s="67"/>
      <c r="Z56" s="67"/>
      <c r="AA56" s="68"/>
      <c r="AB56" s="62"/>
    </row>
    <row r="57" spans="1:28" s="169" customFormat="1" ht="15" customHeight="1">
      <c r="A57" s="69"/>
      <c r="B57" s="69"/>
      <c r="C57" s="168"/>
      <c r="D57" s="18"/>
      <c r="E57" s="70"/>
      <c r="F57" s="18"/>
      <c r="G57" s="18"/>
      <c r="H57" s="18"/>
      <c r="I57" s="18"/>
      <c r="J57" s="176"/>
      <c r="K57" s="176"/>
      <c r="L57" s="176"/>
      <c r="M57" s="176"/>
      <c r="N57" s="176"/>
      <c r="O57" s="18"/>
      <c r="P57" s="71"/>
      <c r="Q57" s="71"/>
      <c r="R57" s="72"/>
      <c r="S57" s="73"/>
      <c r="T57" s="73"/>
      <c r="U57" s="74"/>
      <c r="V57" s="73"/>
      <c r="W57" s="73"/>
      <c r="X57" s="67"/>
      <c r="Y57" s="67"/>
      <c r="Z57" s="67"/>
      <c r="AA57" s="68"/>
      <c r="AB57" s="62"/>
    </row>
    <row r="58" spans="1:28" s="169" customFormat="1" ht="15" customHeight="1">
      <c r="A58" s="69"/>
      <c r="B58" s="69"/>
      <c r="C58" s="168"/>
      <c r="D58" s="18"/>
      <c r="E58" s="70"/>
      <c r="F58" s="18"/>
      <c r="G58" s="18"/>
      <c r="H58" s="18"/>
      <c r="I58" s="18"/>
      <c r="J58" s="176"/>
      <c r="K58" s="176"/>
      <c r="L58" s="176"/>
      <c r="M58" s="176"/>
      <c r="N58" s="176"/>
      <c r="O58" s="18"/>
      <c r="P58" s="71"/>
      <c r="Q58" s="71"/>
      <c r="R58" s="72"/>
      <c r="S58" s="73"/>
      <c r="T58" s="73"/>
      <c r="U58" s="74"/>
      <c r="V58" s="73"/>
      <c r="W58" s="73"/>
      <c r="X58" s="67"/>
      <c r="Y58" s="67"/>
      <c r="Z58" s="67"/>
      <c r="AA58" s="68"/>
      <c r="AB58" s="62"/>
    </row>
    <row r="59" spans="1:28" s="169" customFormat="1" ht="15" customHeight="1">
      <c r="A59" s="69"/>
      <c r="B59" s="69"/>
      <c r="C59" s="168"/>
      <c r="D59" s="18"/>
      <c r="E59" s="70"/>
      <c r="F59" s="18"/>
      <c r="G59" s="18"/>
      <c r="H59" s="18"/>
      <c r="I59" s="18"/>
      <c r="J59" s="176"/>
      <c r="K59" s="176"/>
      <c r="L59" s="176"/>
      <c r="M59" s="176"/>
      <c r="N59" s="176"/>
      <c r="O59" s="18"/>
      <c r="P59" s="71"/>
      <c r="Q59" s="71"/>
      <c r="R59" s="72"/>
      <c r="S59" s="73"/>
      <c r="T59" s="73"/>
      <c r="U59" s="74"/>
      <c r="V59" s="73"/>
      <c r="W59" s="73"/>
      <c r="X59" s="67"/>
      <c r="Y59" s="67"/>
      <c r="Z59" s="67"/>
      <c r="AA59" s="68"/>
      <c r="AB59" s="62"/>
    </row>
    <row r="60" spans="1:28" ht="15" customHeight="1">
      <c r="A60" s="69"/>
      <c r="B60" s="69"/>
      <c r="C60" s="16"/>
      <c r="D60" s="18"/>
      <c r="E60" s="70"/>
      <c r="F60" s="18"/>
      <c r="G60" s="18"/>
      <c r="H60" s="18"/>
      <c r="I60" s="18"/>
      <c r="J60" s="137"/>
      <c r="K60" s="137"/>
      <c r="L60" s="137"/>
      <c r="M60" s="137"/>
      <c r="N60" s="137"/>
      <c r="O60" s="18"/>
      <c r="P60" s="71"/>
      <c r="Q60" s="71"/>
      <c r="R60" s="72"/>
      <c r="S60" s="73"/>
      <c r="T60" s="73"/>
      <c r="U60" s="73"/>
      <c r="V60" s="73"/>
      <c r="W60" s="73"/>
      <c r="X60" s="67"/>
      <c r="Y60" s="67"/>
      <c r="Z60" s="67"/>
      <c r="AA60" s="68"/>
      <c r="AB60" s="62"/>
    </row>
    <row r="61" spans="1:28" ht="15" customHeight="1">
      <c r="A61" s="75"/>
      <c r="B61" s="75"/>
      <c r="D61" s="4"/>
      <c r="E61" s="76"/>
      <c r="F61" s="4"/>
      <c r="G61" s="4"/>
      <c r="H61" s="4"/>
      <c r="I61" s="4"/>
      <c r="J61" s="139"/>
      <c r="K61" s="139"/>
      <c r="L61" s="139"/>
      <c r="M61" s="139"/>
      <c r="N61" s="139"/>
      <c r="O61" s="4"/>
      <c r="P61" s="77"/>
      <c r="Q61" s="77"/>
      <c r="R61" s="78"/>
      <c r="S61" s="63"/>
      <c r="T61" s="63"/>
      <c r="U61" s="63"/>
      <c r="V61" s="63"/>
      <c r="W61" s="63"/>
      <c r="X61" s="2"/>
      <c r="Y61" s="4"/>
      <c r="Z61" s="63"/>
      <c r="AB61" s="62"/>
    </row>
    <row r="62" spans="1:28" ht="15" customHeight="1">
      <c r="A62" s="75"/>
      <c r="B62" s="75"/>
      <c r="D62" s="4"/>
      <c r="E62" s="76"/>
      <c r="F62" s="4"/>
      <c r="G62" s="4"/>
      <c r="H62" s="4"/>
      <c r="I62" s="4"/>
      <c r="J62" s="158"/>
      <c r="K62" s="158"/>
      <c r="L62" s="158"/>
      <c r="M62" s="158"/>
      <c r="N62" s="158"/>
      <c r="O62" s="4"/>
      <c r="P62" s="77"/>
      <c r="Q62" s="77"/>
      <c r="R62" s="78"/>
      <c r="S62" s="63"/>
      <c r="T62" s="63"/>
      <c r="U62" s="63"/>
      <c r="V62" s="63"/>
      <c r="W62" s="63"/>
      <c r="X62" s="2"/>
      <c r="Y62" s="4"/>
      <c r="Z62" s="63"/>
      <c r="AB62" s="62"/>
    </row>
    <row r="63" spans="1:28" ht="15" customHeight="1">
      <c r="A63" s="75"/>
      <c r="B63" s="75"/>
      <c r="D63" s="4"/>
      <c r="E63" s="76"/>
      <c r="F63" s="4"/>
      <c r="G63" s="4"/>
      <c r="H63" s="4"/>
      <c r="I63" s="4"/>
      <c r="J63" s="139"/>
      <c r="K63" s="139"/>
      <c r="L63" s="139"/>
      <c r="M63" s="139"/>
      <c r="N63" s="139"/>
      <c r="O63" s="4"/>
      <c r="P63" s="77"/>
      <c r="Q63" s="77"/>
      <c r="R63" s="78"/>
      <c r="S63" s="63"/>
      <c r="T63" s="63"/>
      <c r="U63" s="63"/>
      <c r="V63" s="63"/>
      <c r="W63" s="63"/>
      <c r="X63" s="2"/>
      <c r="Y63" s="4"/>
      <c r="Z63" s="63"/>
    </row>
    <row r="64" spans="1:28" ht="15" customHeight="1">
      <c r="A64" s="75"/>
      <c r="B64" s="75"/>
      <c r="D64" s="4"/>
      <c r="E64" s="76"/>
      <c r="F64" s="4"/>
      <c r="G64" s="4"/>
      <c r="H64" s="4"/>
      <c r="I64" s="4"/>
      <c r="J64" s="139"/>
      <c r="K64" s="139"/>
      <c r="L64" s="139"/>
      <c r="M64" s="139"/>
      <c r="N64" s="139"/>
      <c r="O64" s="4"/>
      <c r="P64" s="77"/>
      <c r="Q64" s="77"/>
      <c r="R64" s="78"/>
      <c r="S64" s="63"/>
      <c r="T64" s="63"/>
      <c r="U64" s="63"/>
      <c r="V64" s="63"/>
      <c r="W64" s="63"/>
      <c r="X64" s="63"/>
      <c r="Y64" s="4"/>
      <c r="Z64" s="63"/>
    </row>
    <row r="65" spans="1:32" ht="15" customHeight="1">
      <c r="A65" s="75"/>
      <c r="B65" s="75"/>
      <c r="D65" s="4"/>
      <c r="E65" s="76"/>
      <c r="F65" s="4"/>
      <c r="G65" s="4"/>
      <c r="H65" s="4"/>
      <c r="I65" s="4"/>
      <c r="J65" s="139"/>
      <c r="K65" s="139"/>
      <c r="L65" s="139"/>
      <c r="N65" s="3" t="s">
        <v>30</v>
      </c>
      <c r="O65" s="3"/>
      <c r="Q65" s="6"/>
      <c r="R65" s="6"/>
      <c r="S65" s="6"/>
      <c r="T65" s="6"/>
      <c r="U65" s="6"/>
      <c r="V65" s="6"/>
      <c r="W65" s="6"/>
      <c r="X65" s="2"/>
      <c r="Y65" s="4"/>
      <c r="Z65" s="63"/>
    </row>
    <row r="66" spans="1:32" ht="15" customHeight="1">
      <c r="A66" s="17"/>
      <c r="B66" s="75" t="s">
        <v>15</v>
      </c>
      <c r="C66" s="4"/>
      <c r="D66" s="17"/>
      <c r="E66" s="65"/>
      <c r="F66" s="79"/>
      <c r="G66" s="17"/>
      <c r="H66" s="17"/>
      <c r="I66" s="17"/>
      <c r="J66" s="17"/>
      <c r="K66" s="17"/>
      <c r="L66" s="17"/>
      <c r="M66" s="17"/>
      <c r="N66" s="4"/>
      <c r="O66" s="4"/>
      <c r="P66" s="13"/>
      <c r="Q66" s="4"/>
      <c r="R66" s="4"/>
      <c r="S66" s="17"/>
      <c r="T66" s="17"/>
      <c r="U66" s="17"/>
      <c r="V66" s="17"/>
      <c r="W66" s="13"/>
      <c r="X66" s="63"/>
      <c r="Y66" s="4"/>
      <c r="Z66" s="63"/>
    </row>
    <row r="67" spans="1:32" ht="15" customHeight="1">
      <c r="A67" s="17"/>
      <c r="B67" s="75"/>
      <c r="C67" s="4"/>
      <c r="D67" s="17"/>
      <c r="E67" s="80" t="s">
        <v>65</v>
      </c>
      <c r="F67" s="79"/>
      <c r="G67" s="17"/>
      <c r="H67" s="17"/>
      <c r="I67" s="17"/>
      <c r="J67" s="17"/>
      <c r="K67" s="17"/>
      <c r="L67" s="17"/>
      <c r="M67" s="17"/>
      <c r="N67" s="4"/>
      <c r="O67" s="4"/>
      <c r="P67" s="4"/>
      <c r="Q67" s="4"/>
      <c r="R67" s="4"/>
      <c r="S67" s="17"/>
      <c r="T67" s="17"/>
      <c r="U67" s="17"/>
      <c r="V67" s="17"/>
      <c r="W67" s="4"/>
      <c r="X67" s="63"/>
      <c r="Y67" s="4"/>
      <c r="Z67" s="63"/>
    </row>
    <row r="68" spans="1:32" ht="15" customHeight="1">
      <c r="A68" s="3"/>
      <c r="B68" s="65"/>
      <c r="C68" s="17"/>
      <c r="D68" s="4"/>
      <c r="E68" s="65" t="s">
        <v>66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80"/>
      <c r="R68" s="17"/>
      <c r="S68" s="17"/>
      <c r="T68" s="17"/>
      <c r="U68" s="17"/>
      <c r="V68" s="17"/>
      <c r="W68" s="17"/>
      <c r="X68" s="63"/>
      <c r="Y68" s="4"/>
      <c r="Z68" s="63"/>
    </row>
    <row r="69" spans="1:32" ht="15" customHeight="1">
      <c r="A69" s="3"/>
      <c r="B69" s="65"/>
      <c r="C69" s="17"/>
      <c r="D69" s="4"/>
      <c r="E69" s="81" t="s">
        <v>67</v>
      </c>
      <c r="Q69" s="81"/>
      <c r="X69" s="63"/>
      <c r="Y69" s="4"/>
      <c r="Z69" s="63"/>
    </row>
    <row r="70" spans="1:32" ht="15" customHeight="1">
      <c r="Y70" s="4"/>
      <c r="Z70" s="63"/>
    </row>
    <row r="71" spans="1:32" ht="15" customHeight="1">
      <c r="Y71" s="13"/>
      <c r="AA71" s="4"/>
      <c r="AB71" s="4"/>
      <c r="AC71" s="4"/>
      <c r="AD71" s="17"/>
      <c r="AE71" s="17"/>
    </row>
    <row r="72" spans="1:32" ht="15" customHeight="1">
      <c r="Y72" s="4"/>
      <c r="AA72" s="4"/>
      <c r="AB72" s="4"/>
      <c r="AC72" s="4"/>
      <c r="AD72" s="17"/>
      <c r="AE72" s="17"/>
    </row>
    <row r="73" spans="1:32" ht="15" customHeight="1">
      <c r="X73" s="17"/>
      <c r="Y73" s="65"/>
      <c r="AA73" s="4"/>
      <c r="AB73" s="4"/>
      <c r="AC73" s="4"/>
      <c r="AD73" s="17"/>
      <c r="AE73" s="17"/>
    </row>
    <row r="74" spans="1:32" ht="15" customHeight="1">
      <c r="Y74" s="4"/>
      <c r="AA74" s="4"/>
      <c r="AB74" s="4"/>
      <c r="AC74" s="4"/>
      <c r="AD74" s="4"/>
      <c r="AE74" s="4"/>
      <c r="AF74" s="4"/>
    </row>
    <row r="75" spans="1:32" ht="15" customHeight="1">
      <c r="A75" s="3"/>
      <c r="B75" s="4"/>
      <c r="C75" s="4"/>
      <c r="D75" s="4"/>
      <c r="Y75" s="4"/>
      <c r="AA75" s="4"/>
      <c r="AB75" s="4"/>
      <c r="AC75" s="4"/>
      <c r="AD75" s="4"/>
      <c r="AE75" s="4"/>
      <c r="AF75" s="4"/>
    </row>
    <row r="76" spans="1:32" ht="34.5" customHeight="1">
      <c r="A76" s="207" t="s">
        <v>16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1"/>
      <c r="AA76" s="4"/>
      <c r="AB76" s="4"/>
      <c r="AC76" s="4"/>
      <c r="AD76" s="4"/>
      <c r="AE76" s="4"/>
      <c r="AF76" s="4"/>
    </row>
    <row r="77" spans="1:32" ht="14.25" customHeight="1">
      <c r="A77" s="3" t="s">
        <v>17</v>
      </c>
      <c r="B77" s="4"/>
      <c r="C77" s="4"/>
      <c r="D77" s="4"/>
      <c r="E77" s="4"/>
      <c r="F77" s="4"/>
      <c r="G77" s="4"/>
      <c r="H77" s="4"/>
      <c r="I77" s="5"/>
      <c r="J77" s="3" t="s">
        <v>0</v>
      </c>
      <c r="K77" s="3"/>
      <c r="L77" s="3"/>
      <c r="M77" s="83"/>
      <c r="N77" s="83"/>
      <c r="O77" s="83"/>
      <c r="P77" s="83"/>
      <c r="Q77" s="83"/>
      <c r="R77" s="3"/>
      <c r="S77" s="3"/>
      <c r="Y77" s="4"/>
      <c r="AA77" s="4"/>
      <c r="AB77" s="4"/>
      <c r="AC77" s="4"/>
      <c r="AD77" s="4"/>
      <c r="AE77" s="4"/>
      <c r="AF77" s="4"/>
    </row>
    <row r="78" spans="1:32" ht="14.25" customHeight="1">
      <c r="A78" s="82" t="s">
        <v>36</v>
      </c>
      <c r="B78" s="82"/>
      <c r="I78" s="5"/>
      <c r="J78" s="84"/>
      <c r="K78" s="184">
        <f>K3</f>
        <v>0</v>
      </c>
      <c r="L78" s="186"/>
      <c r="M78" s="186"/>
      <c r="N78" s="131"/>
      <c r="O78" s="132">
        <f>O3</f>
        <v>0</v>
      </c>
      <c r="P78" s="131"/>
      <c r="Q78" s="131"/>
      <c r="R78" s="131"/>
      <c r="S78" s="131"/>
      <c r="T78" s="131"/>
      <c r="U78" s="217">
        <f>U3</f>
        <v>0</v>
      </c>
      <c r="V78" s="217"/>
      <c r="W78" s="217"/>
      <c r="X78" s="6"/>
      <c r="Y78" s="4"/>
      <c r="AA78" s="4"/>
      <c r="AB78" s="4"/>
      <c r="AC78" s="4"/>
      <c r="AD78" s="4"/>
      <c r="AE78" s="4"/>
      <c r="AF78" s="4"/>
    </row>
    <row r="79" spans="1:32" ht="14.25" customHeight="1">
      <c r="A79" s="2" t="s">
        <v>37</v>
      </c>
      <c r="I79" s="5"/>
      <c r="J79" s="4"/>
      <c r="K79" s="24"/>
      <c r="L79" s="62"/>
      <c r="M79" s="62"/>
      <c r="N79" s="4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AA79" s="4"/>
      <c r="AB79" s="4"/>
      <c r="AC79" s="4"/>
      <c r="AD79" s="4"/>
      <c r="AE79" s="4"/>
      <c r="AF79" s="4"/>
    </row>
    <row r="80" spans="1:32" ht="14.25" customHeight="1">
      <c r="A80" s="2" t="s">
        <v>38</v>
      </c>
      <c r="I80" s="5"/>
      <c r="J80" s="3" t="s">
        <v>18</v>
      </c>
      <c r="K80" s="3"/>
      <c r="L80" s="3"/>
      <c r="M80" s="3"/>
      <c r="N80" s="3"/>
      <c r="O80" s="57"/>
      <c r="P80" s="20"/>
      <c r="Q80" s="57"/>
      <c r="R80" s="57"/>
      <c r="S80" s="57"/>
      <c r="T80" s="18"/>
      <c r="U80" s="18"/>
      <c r="V80" s="18"/>
      <c r="W80" s="18"/>
      <c r="X80" s="18"/>
      <c r="Y80" s="18"/>
      <c r="AA80" s="4"/>
      <c r="AB80" s="4"/>
      <c r="AC80" s="4"/>
      <c r="AD80" s="4"/>
      <c r="AE80" s="4"/>
      <c r="AF80" s="4"/>
    </row>
    <row r="81" spans="1:32" ht="14.25" customHeight="1">
      <c r="A81" s="2" t="s">
        <v>39</v>
      </c>
      <c r="B81" s="10"/>
      <c r="I81" s="5"/>
      <c r="J81" s="3"/>
      <c r="K81" s="3"/>
      <c r="L81" s="3"/>
      <c r="M81" s="3"/>
      <c r="N81" s="3"/>
      <c r="O81" s="57"/>
      <c r="P81" s="20"/>
      <c r="Q81" s="57"/>
      <c r="R81" s="57"/>
      <c r="S81" s="57"/>
      <c r="T81" s="18"/>
      <c r="U81" s="18"/>
      <c r="V81" s="18"/>
      <c r="W81" s="18"/>
      <c r="X81" s="18"/>
      <c r="Y81" s="18"/>
      <c r="AA81" s="4"/>
      <c r="AB81" s="4"/>
      <c r="AC81" s="4"/>
      <c r="AD81" s="4"/>
      <c r="AE81" s="4"/>
      <c r="AF81" s="4"/>
    </row>
    <row r="82" spans="1:32" ht="14.25" customHeight="1">
      <c r="A82" s="6" t="s">
        <v>40</v>
      </c>
      <c r="B82" s="11"/>
      <c r="C82" s="6"/>
      <c r="D82" s="6"/>
      <c r="E82" s="6"/>
      <c r="I82" s="5"/>
      <c r="J82" s="3"/>
      <c r="K82" s="62">
        <f>K10</f>
        <v>0</v>
      </c>
      <c r="L82" s="4">
        <f>L10</f>
        <v>0</v>
      </c>
      <c r="M82" s="4"/>
      <c r="N82" s="62">
        <f>N10</f>
        <v>0</v>
      </c>
      <c r="O82" s="69"/>
      <c r="P82" s="58"/>
      <c r="Q82" s="69"/>
      <c r="R82" s="18"/>
      <c r="S82" s="69">
        <f>S10</f>
        <v>0</v>
      </c>
      <c r="T82" s="18"/>
      <c r="U82" s="69">
        <f>U10</f>
        <v>0</v>
      </c>
      <c r="V82" s="69"/>
      <c r="W82" s="69">
        <f>W10</f>
        <v>0</v>
      </c>
      <c r="X82" s="69"/>
      <c r="Y82" s="18"/>
      <c r="Z82" s="75">
        <f>Z10</f>
        <v>0</v>
      </c>
      <c r="AA82" s="4"/>
      <c r="AB82" s="4"/>
      <c r="AC82" s="4"/>
      <c r="AD82" s="4"/>
      <c r="AE82" s="4"/>
      <c r="AF82" s="4"/>
    </row>
    <row r="83" spans="1:32" ht="15" customHeight="1">
      <c r="A83" s="9" t="s">
        <v>1</v>
      </c>
      <c r="B83" s="13"/>
      <c r="C83" s="13"/>
      <c r="D83" s="13"/>
      <c r="E83" s="13"/>
      <c r="F83" s="13"/>
      <c r="G83" s="13"/>
      <c r="H83" s="13"/>
      <c r="I83" s="85"/>
      <c r="J83" s="4"/>
      <c r="K83" s="62"/>
      <c r="L83" s="4">
        <f>L11</f>
        <v>0</v>
      </c>
      <c r="M83" s="4"/>
      <c r="N83" s="62">
        <f>N11</f>
        <v>0</v>
      </c>
      <c r="O83" s="86">
        <f>O11</f>
        <v>0</v>
      </c>
      <c r="P83" s="58"/>
      <c r="Q83" s="87"/>
      <c r="R83" s="25"/>
      <c r="S83" s="87">
        <f>S11</f>
        <v>0</v>
      </c>
      <c r="T83" s="25"/>
      <c r="V83" s="25"/>
      <c r="W83" s="87">
        <f>W11</f>
        <v>0</v>
      </c>
      <c r="X83" s="16"/>
      <c r="Y83" s="18"/>
      <c r="AA83" s="4"/>
      <c r="AB83" s="4"/>
      <c r="AC83" s="4"/>
      <c r="AD83" s="4"/>
      <c r="AE83" s="4"/>
      <c r="AF83" s="4"/>
    </row>
    <row r="84" spans="1:32" ht="14.25" customHeight="1">
      <c r="A84" s="16"/>
      <c r="B84" s="16"/>
      <c r="C84" s="16"/>
      <c r="D84" s="16"/>
      <c r="E84" s="16"/>
      <c r="F84" s="16"/>
      <c r="I84" s="5"/>
      <c r="J84" s="4"/>
      <c r="K84" s="22" t="s">
        <v>13</v>
      </c>
      <c r="L84" s="16" t="s">
        <v>24</v>
      </c>
      <c r="M84" s="16"/>
      <c r="N84" s="23" t="s">
        <v>19</v>
      </c>
      <c r="O84" s="28">
        <f>O27</f>
        <v>0</v>
      </c>
      <c r="P84" s="27"/>
      <c r="Q84" s="28">
        <f>Q27</f>
        <v>0</v>
      </c>
      <c r="R84" s="168"/>
      <c r="S84" s="28">
        <f>S27</f>
        <v>0</v>
      </c>
      <c r="T84" s="168"/>
      <c r="U84" s="28">
        <f>U27</f>
        <v>0</v>
      </c>
      <c r="V84" s="28"/>
      <c r="W84" s="28">
        <f>W27</f>
        <v>0</v>
      </c>
      <c r="X84" s="2"/>
      <c r="Y84" s="18"/>
      <c r="AA84" s="4"/>
      <c r="AB84" s="4"/>
      <c r="AC84" s="4"/>
      <c r="AD84" s="4"/>
      <c r="AE84" s="4"/>
      <c r="AF84" s="4"/>
    </row>
    <row r="85" spans="1:32" ht="12" customHeight="1">
      <c r="A85" s="16"/>
      <c r="B85" s="57" t="str">
        <f>B10</f>
        <v xml:space="preserve">Autoliv México S.A. de C.V.  (AMX) </v>
      </c>
      <c r="C85" s="16"/>
      <c r="D85" s="16"/>
      <c r="E85" s="16"/>
      <c r="F85" s="16"/>
      <c r="I85" s="5"/>
      <c r="J85" s="3"/>
      <c r="K85" s="22" t="s">
        <v>13</v>
      </c>
      <c r="L85" s="16" t="s">
        <v>47</v>
      </c>
      <c r="M85" s="16"/>
      <c r="N85" s="23" t="s">
        <v>19</v>
      </c>
      <c r="O85" s="187">
        <f t="shared" ref="O85:O90" si="0">O29</f>
        <v>0</v>
      </c>
      <c r="P85" s="168"/>
      <c r="Q85" s="187">
        <f t="shared" ref="Q85:Q90" si="1">Q29</f>
        <v>0</v>
      </c>
      <c r="R85" s="168"/>
      <c r="S85" s="187">
        <f t="shared" ref="S85:S90" si="2">S29</f>
        <v>0</v>
      </c>
      <c r="T85" s="168"/>
      <c r="U85" s="187">
        <f t="shared" ref="U85:U90" si="3">U29</f>
        <v>0</v>
      </c>
      <c r="V85" s="28"/>
      <c r="W85" s="187">
        <f t="shared" ref="W85:W90" si="4">W29</f>
        <v>0</v>
      </c>
      <c r="X85" s="2"/>
      <c r="Y85" s="18"/>
      <c r="AA85" s="4"/>
      <c r="AB85" s="4"/>
      <c r="AC85" s="4"/>
      <c r="AD85" s="4"/>
      <c r="AE85" s="4"/>
      <c r="AF85" s="4"/>
    </row>
    <row r="86" spans="1:32" ht="12" customHeight="1">
      <c r="A86" s="16"/>
      <c r="B86" s="18" t="str">
        <f t="shared" ref="B86:B91" si="5">B11</f>
        <v xml:space="preserve">Ave. de los Sauces No. 9 </v>
      </c>
      <c r="C86" s="16"/>
      <c r="D86" s="16"/>
      <c r="E86" s="16"/>
      <c r="F86" s="16"/>
      <c r="I86" s="5"/>
      <c r="J86" s="3"/>
      <c r="K86" s="22"/>
      <c r="L86" s="16"/>
      <c r="M86" s="16"/>
      <c r="N86" s="23"/>
      <c r="O86" s="40">
        <f t="shared" si="0"/>
        <v>0</v>
      </c>
      <c r="P86" s="168"/>
      <c r="Q86" s="40">
        <f t="shared" si="1"/>
        <v>0</v>
      </c>
      <c r="R86" s="168"/>
      <c r="S86" s="40">
        <f t="shared" si="2"/>
        <v>0</v>
      </c>
      <c r="T86" s="168"/>
      <c r="U86" s="40">
        <f t="shared" si="3"/>
        <v>0</v>
      </c>
      <c r="V86" s="28"/>
      <c r="W86" s="40">
        <f t="shared" si="4"/>
        <v>0</v>
      </c>
      <c r="X86" s="2"/>
      <c r="Y86" s="18"/>
      <c r="AA86" s="4"/>
      <c r="AB86" s="4"/>
      <c r="AC86" s="4"/>
      <c r="AD86" s="4"/>
      <c r="AE86" s="4"/>
      <c r="AF86" s="4"/>
    </row>
    <row r="87" spans="1:32" ht="15" customHeight="1">
      <c r="A87" s="16"/>
      <c r="B87" s="18" t="str">
        <f t="shared" si="5"/>
        <v xml:space="preserve">Parque Industrial Lerma 
</v>
      </c>
      <c r="C87" s="16"/>
      <c r="D87" s="16"/>
      <c r="E87" s="16"/>
      <c r="F87" s="16"/>
      <c r="I87" s="5"/>
      <c r="J87" s="3"/>
      <c r="K87" s="22" t="s">
        <v>13</v>
      </c>
      <c r="L87" s="168" t="s">
        <v>25</v>
      </c>
      <c r="M87" s="168"/>
      <c r="N87" s="174" t="s">
        <v>19</v>
      </c>
      <c r="O87" s="37">
        <f t="shared" si="0"/>
        <v>0</v>
      </c>
      <c r="P87" s="197"/>
      <c r="Q87" s="37">
        <f t="shared" si="1"/>
        <v>0</v>
      </c>
      <c r="R87" s="197"/>
      <c r="S87" s="37">
        <f t="shared" si="2"/>
        <v>0</v>
      </c>
      <c r="T87" s="197"/>
      <c r="U87" s="37">
        <f t="shared" si="3"/>
        <v>0</v>
      </c>
      <c r="V87" s="37"/>
      <c r="W87" s="37">
        <f t="shared" si="4"/>
        <v>0</v>
      </c>
      <c r="X87" s="91">
        <f>P25</f>
        <v>0</v>
      </c>
      <c r="Y87" s="18"/>
      <c r="AA87" s="4"/>
      <c r="AB87" s="4"/>
      <c r="AC87" s="4"/>
      <c r="AD87" s="4"/>
      <c r="AE87" s="4"/>
      <c r="AF87" s="4"/>
    </row>
    <row r="88" spans="1:32" ht="12.75">
      <c r="A88" s="16"/>
      <c r="B88" s="18" t="str">
        <f t="shared" si="5"/>
        <v xml:space="preserve">Lerma, MX, 52000 </v>
      </c>
      <c r="C88" s="16"/>
      <c r="D88" s="16"/>
      <c r="E88" s="16"/>
      <c r="F88" s="16"/>
      <c r="I88" s="5"/>
      <c r="J88" s="4"/>
      <c r="K88" s="22" t="s">
        <v>13</v>
      </c>
      <c r="L88" s="16" t="s">
        <v>26</v>
      </c>
      <c r="M88" s="16"/>
      <c r="N88" s="23" t="s">
        <v>19</v>
      </c>
      <c r="O88" s="181">
        <f t="shared" si="0"/>
        <v>0</v>
      </c>
      <c r="P88" s="39"/>
      <c r="Q88" s="181">
        <f t="shared" si="1"/>
        <v>0</v>
      </c>
      <c r="R88" s="168"/>
      <c r="S88" s="181">
        <f t="shared" si="2"/>
        <v>0</v>
      </c>
      <c r="T88" s="168"/>
      <c r="U88" s="181">
        <f t="shared" si="3"/>
        <v>0</v>
      </c>
      <c r="V88" s="28"/>
      <c r="W88" s="181">
        <f t="shared" si="4"/>
        <v>0</v>
      </c>
      <c r="X88" s="2"/>
      <c r="Y88" s="18"/>
      <c r="AA88" s="4"/>
      <c r="AB88" s="4"/>
      <c r="AC88" s="4"/>
      <c r="AD88" s="4"/>
      <c r="AE88" s="4"/>
      <c r="AF88" s="4"/>
    </row>
    <row r="89" spans="1:32" ht="18.75" customHeight="1">
      <c r="A89" s="16"/>
      <c r="B89" s="18" t="str">
        <f t="shared" si="5"/>
        <v>México</v>
      </c>
      <c r="C89" s="16"/>
      <c r="D89" s="16"/>
      <c r="E89" s="16"/>
      <c r="F89" s="16"/>
      <c r="I89" s="5"/>
      <c r="J89" s="4"/>
      <c r="K89" s="16"/>
      <c r="L89" s="16"/>
      <c r="M89" s="16"/>
      <c r="N89" s="16"/>
      <c r="O89" s="43">
        <f t="shared" si="0"/>
        <v>0</v>
      </c>
      <c r="P89" s="44"/>
      <c r="Q89" s="43">
        <f t="shared" si="1"/>
        <v>0</v>
      </c>
      <c r="R89" s="168"/>
      <c r="S89" s="43">
        <f t="shared" si="2"/>
        <v>0</v>
      </c>
      <c r="T89" s="168"/>
      <c r="U89" s="43">
        <f t="shared" si="3"/>
        <v>0</v>
      </c>
      <c r="V89" s="28"/>
      <c r="W89" s="43">
        <f t="shared" si="4"/>
        <v>0</v>
      </c>
      <c r="X89" s="2"/>
      <c r="Y89" s="18"/>
      <c r="AA89" s="4"/>
      <c r="AB89" s="4"/>
      <c r="AC89" s="4"/>
      <c r="AD89" s="4"/>
      <c r="AE89" s="4"/>
      <c r="AF89" s="4"/>
    </row>
    <row r="90" spans="1:32" ht="14.25" customHeight="1">
      <c r="A90" s="16"/>
      <c r="B90" s="18" t="str">
        <f t="shared" si="5"/>
        <v>Tel )52.728.2827600 (ext)7631</v>
      </c>
      <c r="C90" s="16"/>
      <c r="D90" s="16"/>
      <c r="E90" s="16"/>
      <c r="F90" s="16"/>
      <c r="I90" s="5"/>
      <c r="J90" s="4"/>
      <c r="K90" s="22" t="s">
        <v>13</v>
      </c>
      <c r="L90" s="16" t="s">
        <v>27</v>
      </c>
      <c r="M90" s="16"/>
      <c r="N90" s="23" t="s">
        <v>19</v>
      </c>
      <c r="O90" s="183">
        <f t="shared" si="0"/>
        <v>0</v>
      </c>
      <c r="P90" s="47"/>
      <c r="Q90" s="183">
        <f t="shared" si="1"/>
        <v>0</v>
      </c>
      <c r="R90" s="168"/>
      <c r="S90" s="183">
        <f t="shared" si="2"/>
        <v>0</v>
      </c>
      <c r="T90" s="168"/>
      <c r="U90" s="183">
        <f t="shared" si="3"/>
        <v>0</v>
      </c>
      <c r="V90" s="28"/>
      <c r="W90" s="183">
        <f t="shared" si="4"/>
        <v>0</v>
      </c>
      <c r="X90" s="2"/>
      <c r="Y90" s="18"/>
      <c r="AA90" s="4"/>
      <c r="AB90" s="4"/>
      <c r="AC90" s="4"/>
      <c r="AD90" s="4"/>
      <c r="AE90" s="4"/>
      <c r="AF90" s="4"/>
    </row>
    <row r="91" spans="1:32" ht="14.25" customHeight="1">
      <c r="A91" s="16"/>
      <c r="B91" s="57">
        <f t="shared" si="5"/>
        <v>0</v>
      </c>
      <c r="C91" s="16"/>
      <c r="D91" s="16"/>
      <c r="E91" s="16"/>
      <c r="F91" s="16"/>
      <c r="I91" s="5"/>
      <c r="O91" s="16"/>
      <c r="P91" s="16"/>
      <c r="Q91" s="18"/>
      <c r="R91" s="18"/>
      <c r="S91" s="18"/>
      <c r="T91" s="18"/>
      <c r="U91" s="16"/>
      <c r="X91" s="18"/>
      <c r="Y91" s="18"/>
      <c r="Z91" s="93"/>
      <c r="AA91" s="4"/>
      <c r="AB91" s="4"/>
      <c r="AC91" s="4"/>
      <c r="AD91" s="4"/>
      <c r="AE91" s="4"/>
      <c r="AF91" s="4"/>
    </row>
    <row r="92" spans="1:32" ht="14.25" customHeight="1">
      <c r="A92" s="14" t="s">
        <v>8</v>
      </c>
      <c r="B92" s="15"/>
      <c r="C92" s="15"/>
      <c r="D92" s="15"/>
      <c r="E92" s="15"/>
      <c r="F92" s="15"/>
      <c r="G92" s="13"/>
      <c r="H92" s="13"/>
      <c r="I92" s="85"/>
      <c r="J92" s="4"/>
      <c r="K92" s="62"/>
      <c r="L92" s="4"/>
      <c r="M92" s="4"/>
      <c r="N92" s="62"/>
      <c r="O92" s="25"/>
      <c r="R92" s="16"/>
      <c r="T92" s="16"/>
      <c r="U92" s="69">
        <f>+U21</f>
        <v>0</v>
      </c>
      <c r="V92" s="16"/>
      <c r="W92" s="69">
        <f>+W21</f>
        <v>0</v>
      </c>
      <c r="X92" s="46">
        <f>X32</f>
        <v>0</v>
      </c>
      <c r="Y92" s="18"/>
      <c r="Z92" s="94">
        <f>Z31</f>
        <v>0</v>
      </c>
      <c r="AA92" s="4"/>
      <c r="AB92" s="4"/>
      <c r="AC92" s="4"/>
      <c r="AD92" s="4"/>
      <c r="AE92" s="4"/>
      <c r="AF92" s="4"/>
    </row>
    <row r="93" spans="1:32" ht="14.25" customHeight="1">
      <c r="I93" s="5"/>
      <c r="J93" s="4"/>
      <c r="K93" s="62"/>
      <c r="L93" s="4"/>
      <c r="M93" s="4"/>
      <c r="N93" s="62"/>
      <c r="O93" s="95"/>
      <c r="U93" s="96">
        <f>+U23</f>
        <v>0</v>
      </c>
      <c r="W93" s="96">
        <f>+W23</f>
        <v>0</v>
      </c>
      <c r="X93" s="94">
        <f>X33</f>
        <v>0</v>
      </c>
      <c r="Y93" s="4"/>
      <c r="Z93" s="94">
        <f>Z32</f>
        <v>0</v>
      </c>
      <c r="AA93" s="4"/>
      <c r="AB93" s="4"/>
      <c r="AC93" s="4"/>
      <c r="AD93" s="4"/>
      <c r="AE93" s="4"/>
      <c r="AF93" s="4"/>
    </row>
    <row r="94" spans="1:32" ht="12.75">
      <c r="H94" s="82"/>
      <c r="I94" s="5"/>
      <c r="J94" s="4"/>
      <c r="K94" s="156"/>
      <c r="L94" s="4"/>
      <c r="N94" s="62"/>
      <c r="O94" s="25"/>
      <c r="U94" s="89"/>
      <c r="W94" s="89"/>
      <c r="X94" s="46"/>
      <c r="Y94" s="18"/>
      <c r="Z94" s="46"/>
      <c r="AA94" s="4"/>
      <c r="AB94" s="4"/>
      <c r="AC94" s="4"/>
      <c r="AD94" s="4"/>
      <c r="AE94" s="4"/>
      <c r="AF94" s="4"/>
    </row>
    <row r="95" spans="1:32" ht="13.5" customHeight="1">
      <c r="B95" s="82" t="str">
        <f>B18</f>
        <v>Corporativo Enciso SC</v>
      </c>
      <c r="H95" s="82"/>
      <c r="I95" s="5"/>
      <c r="J95" s="4"/>
      <c r="K95" s="88"/>
      <c r="N95" s="62"/>
      <c r="O95" s="25"/>
      <c r="U95" s="46">
        <f>+U26</f>
        <v>0</v>
      </c>
      <c r="W95" s="46">
        <f>+W26</f>
        <v>0</v>
      </c>
      <c r="X95" s="46"/>
      <c r="Y95" s="18"/>
      <c r="Z95" s="46"/>
      <c r="AA95" s="4"/>
      <c r="AB95" s="4"/>
      <c r="AC95" s="4"/>
      <c r="AD95" s="4"/>
      <c r="AE95" s="4"/>
      <c r="AF95" s="4"/>
    </row>
    <row r="96" spans="1:32" ht="13.5" customHeight="1">
      <c r="B96" s="169" t="str">
        <f t="shared" ref="B96:B104" si="6">B19</f>
        <v>Blvd. Miguel de la Madrid hurtado No. 324-A</v>
      </c>
      <c r="H96" s="82"/>
      <c r="I96" s="5"/>
      <c r="J96" s="4"/>
      <c r="L96" s="4"/>
      <c r="O96" s="90"/>
      <c r="U96" s="51">
        <f>+U28</f>
        <v>0</v>
      </c>
      <c r="W96" s="51">
        <f>+W28</f>
        <v>0</v>
      </c>
      <c r="X96" s="46"/>
      <c r="Y96" s="18"/>
      <c r="Z96" s="46"/>
      <c r="AA96" s="4"/>
      <c r="AB96" s="4"/>
      <c r="AC96" s="4"/>
      <c r="AD96" s="4"/>
      <c r="AE96" s="4"/>
      <c r="AF96" s="4"/>
    </row>
    <row r="97" spans="1:32" ht="13.5" customHeight="1">
      <c r="B97" s="169" t="str">
        <f t="shared" si="6"/>
        <v>Col. Tapeixtles, Manzanillo, Colima, C.p. 28238</v>
      </c>
      <c r="I97" s="5"/>
      <c r="J97" s="4"/>
      <c r="K97" s="88"/>
      <c r="N97" s="62"/>
      <c r="O97" s="92"/>
      <c r="U97" s="46"/>
      <c r="W97" s="46"/>
      <c r="X97" s="46"/>
      <c r="Y97" s="18"/>
      <c r="Z97" s="46"/>
      <c r="AA97" s="4"/>
      <c r="AB97" s="4"/>
      <c r="AC97" s="4"/>
      <c r="AD97" s="4"/>
      <c r="AE97" s="4"/>
      <c r="AF97" s="4"/>
    </row>
    <row r="98" spans="1:32" ht="13.5" customHeight="1">
      <c r="B98" s="169" t="str">
        <f t="shared" si="6"/>
        <v>Imelda Reyes</v>
      </c>
      <c r="I98" s="5"/>
      <c r="J98" s="4"/>
      <c r="X98" s="46"/>
      <c r="Y98" s="18"/>
      <c r="Z98" s="46"/>
      <c r="AA98" s="4"/>
      <c r="AB98" s="4"/>
      <c r="AC98" s="4"/>
      <c r="AD98" s="4"/>
      <c r="AE98" s="4"/>
      <c r="AF98" s="4"/>
    </row>
    <row r="99" spans="1:32" ht="13.5" customHeight="1">
      <c r="B99" s="169" t="str">
        <f t="shared" si="6"/>
        <v>México</v>
      </c>
      <c r="I99" s="5"/>
      <c r="J99" s="4"/>
      <c r="X99" s="46"/>
      <c r="Y99" s="18"/>
      <c r="Z99" s="46"/>
      <c r="AA99" s="4"/>
      <c r="AB99" s="4"/>
      <c r="AC99" s="4"/>
      <c r="AD99" s="4"/>
      <c r="AE99" s="4"/>
      <c r="AF99" s="4"/>
    </row>
    <row r="100" spans="1:32" ht="13.5" customHeight="1">
      <c r="B100" s="169" t="str">
        <f t="shared" si="6"/>
        <v>Tel )52 (314) 138 2328 Ext. 127</v>
      </c>
      <c r="I100" s="5"/>
      <c r="J100" s="4"/>
      <c r="X100" s="46"/>
      <c r="Y100" s="18"/>
      <c r="Z100" s="46"/>
      <c r="AA100" s="4"/>
      <c r="AB100" s="4"/>
      <c r="AC100" s="4"/>
      <c r="AD100" s="4"/>
      <c r="AE100" s="4"/>
      <c r="AF100" s="4"/>
    </row>
    <row r="101" spans="1:32" ht="13.5" customHeight="1">
      <c r="B101" s="202" t="str">
        <f t="shared" si="6"/>
        <v>Email: imelda.reyescorporativoenciso.com</v>
      </c>
      <c r="I101" s="5"/>
      <c r="J101" s="18"/>
      <c r="K101" s="174" t="s">
        <v>13</v>
      </c>
      <c r="L101" s="168" t="s">
        <v>31</v>
      </c>
      <c r="M101" s="168"/>
      <c r="N101" s="178" t="s">
        <v>19</v>
      </c>
      <c r="O101" s="58"/>
      <c r="P101" s="60"/>
      <c r="Q101" s="168"/>
      <c r="R101" s="189"/>
      <c r="S101" s="189"/>
      <c r="T101" s="189"/>
      <c r="U101" s="58"/>
      <c r="V101" s="58"/>
      <c r="W101" s="58"/>
      <c r="X101" s="46"/>
      <c r="Y101" s="18"/>
      <c r="Z101" s="46"/>
      <c r="AA101" s="4"/>
      <c r="AB101" s="4"/>
      <c r="AC101" s="4"/>
      <c r="AD101" s="4"/>
      <c r="AE101" s="4"/>
      <c r="AF101" s="4"/>
    </row>
    <row r="102" spans="1:32" ht="13.5" customHeight="1">
      <c r="B102" s="169">
        <f t="shared" si="6"/>
        <v>0</v>
      </c>
      <c r="I102" s="5"/>
      <c r="J102" s="4"/>
      <c r="K102" s="88"/>
      <c r="N102" s="97"/>
      <c r="O102" s="98"/>
      <c r="P102" s="17"/>
      <c r="Q102" s="16"/>
      <c r="R102" s="99"/>
      <c r="S102" s="99"/>
      <c r="T102" s="99"/>
      <c r="U102" s="98"/>
      <c r="X102" s="46"/>
      <c r="Y102" s="18"/>
      <c r="Z102" s="46"/>
      <c r="AA102" s="4"/>
      <c r="AB102" s="4"/>
      <c r="AC102" s="4"/>
      <c r="AD102" s="4"/>
      <c r="AE102" s="4"/>
      <c r="AF102" s="4"/>
    </row>
    <row r="103" spans="1:32" ht="13.5" customHeight="1">
      <c r="B103" s="169">
        <f t="shared" si="6"/>
        <v>0</v>
      </c>
      <c r="I103" s="5"/>
      <c r="J103" s="4"/>
      <c r="K103" s="88"/>
      <c r="N103" s="97"/>
      <c r="P103" s="66"/>
      <c r="Q103" s="16"/>
      <c r="R103" s="99"/>
      <c r="S103" s="99"/>
      <c r="T103" s="99"/>
      <c r="U103" s="98"/>
      <c r="X103" s="46"/>
      <c r="Y103" s="18"/>
      <c r="Z103" s="46"/>
      <c r="AA103" s="4"/>
      <c r="AB103" s="4"/>
      <c r="AC103" s="4"/>
      <c r="AD103" s="4"/>
      <c r="AE103" s="4"/>
      <c r="AF103" s="4"/>
    </row>
    <row r="104" spans="1:32" ht="13.5" customHeight="1">
      <c r="B104" s="169">
        <f t="shared" si="6"/>
        <v>0</v>
      </c>
      <c r="I104" s="5"/>
      <c r="J104" s="4"/>
      <c r="K104" s="88"/>
      <c r="N104" s="97"/>
      <c r="X104" s="46"/>
      <c r="Y104" s="18"/>
      <c r="Z104" s="46"/>
      <c r="AA104" s="4"/>
      <c r="AB104" s="4"/>
      <c r="AC104" s="4"/>
      <c r="AD104" s="4"/>
      <c r="AE104" s="4"/>
      <c r="AF104" s="4"/>
    </row>
    <row r="105" spans="1:32" ht="13.5" customHeight="1">
      <c r="B105" s="2">
        <f>B31</f>
        <v>0</v>
      </c>
      <c r="I105" s="5"/>
      <c r="J105" s="4"/>
      <c r="O105" s="98"/>
      <c r="P105" s="66"/>
      <c r="Q105" s="16"/>
      <c r="R105" s="99"/>
      <c r="S105" s="99"/>
      <c r="T105" s="99"/>
      <c r="U105" s="98"/>
      <c r="AA105" s="4"/>
      <c r="AB105" s="4"/>
      <c r="AC105" s="4"/>
      <c r="AD105" s="4"/>
      <c r="AE105" s="4"/>
      <c r="AF105" s="4"/>
    </row>
    <row r="106" spans="1:32" ht="14.25" customHeight="1">
      <c r="A106" s="9" t="s">
        <v>9</v>
      </c>
      <c r="B106" s="13"/>
      <c r="C106" s="13"/>
      <c r="D106" s="13"/>
      <c r="E106" s="85"/>
      <c r="F106" s="12" t="s">
        <v>10</v>
      </c>
      <c r="G106" s="9"/>
      <c r="H106" s="9"/>
      <c r="I106" s="100"/>
      <c r="O106" s="98"/>
      <c r="P106" s="17"/>
      <c r="Q106" s="16"/>
      <c r="R106" s="17"/>
      <c r="S106" s="99"/>
      <c r="T106" s="99"/>
      <c r="U106" s="98"/>
      <c r="X106" s="18"/>
      <c r="Y106" s="101"/>
      <c r="Z106" s="18"/>
      <c r="AA106" s="4"/>
      <c r="AB106" s="4"/>
      <c r="AC106" s="4"/>
      <c r="AD106" s="4"/>
      <c r="AE106" s="4"/>
      <c r="AF106" s="4"/>
    </row>
    <row r="107" spans="1:32" s="82" customFormat="1" ht="14.25" customHeight="1">
      <c r="A107" s="131"/>
      <c r="B107" s="170" t="str">
        <f>B33</f>
        <v>Ho Chi Minh, Viet Nam</v>
      </c>
      <c r="C107" s="131"/>
      <c r="D107" s="131"/>
      <c r="E107" s="171"/>
      <c r="F107" s="131"/>
      <c r="G107" s="170" t="str">
        <f>G33</f>
        <v>Manzanillo, Mexico</v>
      </c>
      <c r="H107" s="170"/>
      <c r="I107" s="172"/>
      <c r="X107" s="57"/>
      <c r="Y107" s="173"/>
      <c r="Z107" s="57"/>
      <c r="AA107" s="3"/>
      <c r="AB107" s="3"/>
      <c r="AC107" s="3"/>
      <c r="AD107" s="3"/>
      <c r="AE107" s="3"/>
      <c r="AF107" s="3"/>
    </row>
    <row r="108" spans="1:32" ht="14.25" customHeight="1">
      <c r="A108" s="82" t="s">
        <v>11</v>
      </c>
      <c r="C108" s="4"/>
      <c r="D108" s="4"/>
      <c r="E108" s="5"/>
      <c r="F108" s="102" t="s">
        <v>12</v>
      </c>
      <c r="G108" s="3"/>
      <c r="H108" s="3"/>
      <c r="I108" s="103"/>
      <c r="J108" s="104"/>
      <c r="K108" s="62" t="s">
        <v>32</v>
      </c>
      <c r="L108" s="4" t="s">
        <v>33</v>
      </c>
      <c r="M108" s="4"/>
      <c r="N108" s="62" t="s">
        <v>19</v>
      </c>
      <c r="O108" s="188">
        <f>Q129</f>
        <v>0</v>
      </c>
      <c r="U108" s="105"/>
      <c r="V108" s="105"/>
      <c r="Y108" s="4"/>
      <c r="AA108" s="4"/>
      <c r="AB108" s="4"/>
      <c r="AC108" s="4"/>
      <c r="AD108" s="4"/>
      <c r="AE108" s="4"/>
      <c r="AF108" s="4"/>
    </row>
    <row r="109" spans="1:32" s="82" customFormat="1" ht="14.25" customHeight="1">
      <c r="A109" s="223" t="str">
        <f>A35</f>
        <v>WAN HAI 306 N293</v>
      </c>
      <c r="B109" s="223"/>
      <c r="C109" s="223"/>
      <c r="D109" s="223"/>
      <c r="E109" s="224"/>
      <c r="F109" s="213">
        <f>F35</f>
        <v>0</v>
      </c>
      <c r="G109" s="214"/>
      <c r="H109" s="214"/>
      <c r="I109" s="215"/>
      <c r="J109" s="153"/>
      <c r="K109" s="154" t="str">
        <f>K35</f>
        <v>※</v>
      </c>
      <c r="L109" s="4" t="str">
        <f>L35</f>
        <v>OUT BOUND SHIPMENT</v>
      </c>
      <c r="M109" s="3"/>
      <c r="N109" s="154"/>
      <c r="O109" s="155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" customHeight="1">
      <c r="A110" s="106" t="s">
        <v>46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9"/>
      <c r="S110" s="9"/>
      <c r="T110" s="13"/>
      <c r="U110" s="13"/>
      <c r="V110" s="13"/>
      <c r="W110" s="13"/>
      <c r="X110" s="13"/>
      <c r="Y110" s="4"/>
      <c r="AA110" s="4"/>
      <c r="AB110" s="4"/>
      <c r="AC110" s="4"/>
      <c r="AD110" s="4"/>
      <c r="AE110" s="4"/>
      <c r="AF110" s="4"/>
    </row>
    <row r="111" spans="1:32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62"/>
      <c r="Y111" s="4"/>
      <c r="AA111" s="4"/>
      <c r="AB111" s="4"/>
      <c r="AC111" s="4"/>
      <c r="AD111" s="4"/>
      <c r="AE111" s="4"/>
      <c r="AF111" s="4"/>
    </row>
    <row r="112" spans="1:32" ht="15" customHeight="1">
      <c r="A112" s="238" t="s">
        <v>57</v>
      </c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18"/>
      <c r="Y112" s="18"/>
      <c r="AA112" s="4"/>
      <c r="AB112" s="4"/>
      <c r="AC112" s="4"/>
      <c r="AD112" s="4"/>
      <c r="AE112" s="4"/>
      <c r="AF112" s="4"/>
    </row>
    <row r="113" spans="1:32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18"/>
      <c r="Y113" s="18"/>
      <c r="Z113" s="62"/>
      <c r="AA113" s="4"/>
      <c r="AB113" s="4"/>
      <c r="AC113" s="4"/>
      <c r="AD113" s="4"/>
      <c r="AE113" s="4"/>
      <c r="AF113" s="4"/>
    </row>
    <row r="114" spans="1:32" ht="15" customHeight="1">
      <c r="A114" s="18"/>
      <c r="B114" s="22"/>
      <c r="C114" s="18"/>
      <c r="D114" s="18"/>
      <c r="X114" s="107"/>
      <c r="Y114" s="108"/>
      <c r="Z114" s="109"/>
      <c r="AA114" s="4"/>
      <c r="AB114" s="4"/>
      <c r="AC114" s="4"/>
      <c r="AD114" s="4"/>
      <c r="AE114" s="4"/>
      <c r="AF114" s="4"/>
    </row>
    <row r="115" spans="1:32" ht="15" customHeight="1" thickBot="1">
      <c r="A115" s="18"/>
      <c r="B115" s="22"/>
      <c r="C115" s="18"/>
      <c r="D115" s="18"/>
      <c r="X115" s="107"/>
      <c r="Y115" s="108"/>
      <c r="Z115" s="109"/>
      <c r="AA115" s="4"/>
      <c r="AB115" s="4"/>
      <c r="AC115" s="4"/>
      <c r="AD115" s="4"/>
      <c r="AE115" s="4"/>
      <c r="AF115" s="4"/>
    </row>
    <row r="116" spans="1:32" ht="15" customHeight="1">
      <c r="A116" s="18"/>
      <c r="B116" s="226" t="s">
        <v>56</v>
      </c>
      <c r="C116" s="227"/>
      <c r="D116" s="228"/>
      <c r="E116" s="2">
        <f>E41</f>
        <v>0</v>
      </c>
      <c r="F116" s="168">
        <f>F41</f>
        <v>0</v>
      </c>
      <c r="G116" s="168"/>
      <c r="H116" s="168"/>
      <c r="I116" s="168"/>
      <c r="J116" s="168"/>
      <c r="K116" s="168"/>
      <c r="L116" s="168"/>
      <c r="M116" s="64">
        <f>J41</f>
        <v>0</v>
      </c>
      <c r="N116" s="168"/>
      <c r="O116" s="194">
        <f>ROUNDDOWN(M116*0.0983,0)</f>
        <v>0</v>
      </c>
      <c r="P116" s="168"/>
      <c r="Q116" s="235"/>
      <c r="R116" s="235"/>
      <c r="S116" s="235"/>
      <c r="T116" s="168"/>
      <c r="U116" s="236"/>
      <c r="V116" s="236"/>
      <c r="W116" s="236"/>
      <c r="X116" s="236"/>
      <c r="Y116" s="108"/>
      <c r="Z116" s="109"/>
      <c r="AA116" s="4"/>
      <c r="AB116" s="4"/>
      <c r="AC116" s="4"/>
      <c r="AD116" s="4"/>
      <c r="AE116" s="4"/>
      <c r="AF116" s="4"/>
    </row>
    <row r="117" spans="1:32" ht="15" customHeight="1">
      <c r="A117" s="18"/>
      <c r="B117" s="229"/>
      <c r="C117" s="230"/>
      <c r="D117" s="231"/>
      <c r="E117" s="2">
        <f>E42</f>
        <v>0</v>
      </c>
      <c r="F117" s="168">
        <f>F42</f>
        <v>0</v>
      </c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08"/>
      <c r="Z117" s="109"/>
      <c r="AA117" s="4"/>
      <c r="AB117" s="4"/>
      <c r="AC117" s="4"/>
      <c r="AD117" s="4"/>
      <c r="AE117" s="4"/>
      <c r="AF117" s="4"/>
    </row>
    <row r="118" spans="1:32" ht="15" customHeight="1" thickBot="1">
      <c r="A118" s="18"/>
      <c r="B118" s="232"/>
      <c r="C118" s="233"/>
      <c r="D118" s="234"/>
      <c r="E118" s="18"/>
      <c r="F118" s="168">
        <f t="shared" ref="F118:F127" si="7">F43</f>
        <v>0</v>
      </c>
      <c r="G118" s="168"/>
      <c r="H118" s="168"/>
      <c r="I118" s="168"/>
      <c r="J118" s="168"/>
      <c r="K118" s="168"/>
      <c r="L118" s="168"/>
      <c r="M118" s="64">
        <f>J43</f>
        <v>0</v>
      </c>
      <c r="N118" s="168"/>
      <c r="O118" s="194">
        <f>ROUNDDOWN(M118*0.0983,0)</f>
        <v>0</v>
      </c>
      <c r="P118" s="168"/>
      <c r="Q118" s="235"/>
      <c r="R118" s="235"/>
      <c r="S118" s="235"/>
      <c r="T118" s="168"/>
      <c r="U118" s="236"/>
      <c r="V118" s="236"/>
      <c r="W118" s="236"/>
      <c r="X118" s="236"/>
      <c r="Y118" s="111"/>
      <c r="Z118" s="111"/>
      <c r="AA118" s="4"/>
      <c r="AB118" s="4"/>
      <c r="AC118" s="4"/>
      <c r="AD118" s="4"/>
      <c r="AE118" s="4"/>
      <c r="AF118" s="4"/>
    </row>
    <row r="119" spans="1:32" ht="15" customHeight="1">
      <c r="A119" s="18"/>
      <c r="B119" s="22"/>
      <c r="C119" s="18"/>
      <c r="D119" s="18"/>
      <c r="E119" s="18"/>
      <c r="F119" s="168">
        <f t="shared" si="7"/>
        <v>0</v>
      </c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11"/>
      <c r="Z119" s="111"/>
      <c r="AA119" s="4"/>
      <c r="AB119" s="4"/>
      <c r="AC119" s="4"/>
      <c r="AD119" s="4"/>
      <c r="AE119" s="4"/>
      <c r="AF119" s="4"/>
    </row>
    <row r="120" spans="1:32" ht="15" customHeight="1">
      <c r="A120" s="18"/>
      <c r="E120" s="18"/>
      <c r="F120" s="168">
        <f t="shared" si="7"/>
        <v>0</v>
      </c>
      <c r="G120" s="168"/>
      <c r="H120" s="168"/>
      <c r="I120" s="168"/>
      <c r="J120" s="168"/>
      <c r="K120" s="168"/>
      <c r="L120" s="168"/>
      <c r="M120" s="64">
        <f>J45</f>
        <v>0</v>
      </c>
      <c r="N120" s="168"/>
      <c r="O120" s="194">
        <f>ROUNDDOWN(M120*0.0983,0)</f>
        <v>0</v>
      </c>
      <c r="P120" s="168"/>
      <c r="Q120" s="235"/>
      <c r="R120" s="235"/>
      <c r="S120" s="235"/>
      <c r="T120" s="168"/>
      <c r="U120" s="236"/>
      <c r="V120" s="236"/>
      <c r="W120" s="236"/>
      <c r="X120" s="236"/>
      <c r="Y120" s="112"/>
      <c r="Z120" s="112"/>
      <c r="AA120" s="112"/>
      <c r="AB120" s="4"/>
      <c r="AC120" s="4"/>
      <c r="AD120" s="4"/>
      <c r="AE120" s="4"/>
      <c r="AF120" s="4"/>
    </row>
    <row r="121" spans="1:32" ht="15" customHeight="1">
      <c r="A121" s="18"/>
      <c r="E121" s="18">
        <f>+E45</f>
        <v>0</v>
      </c>
      <c r="F121" s="168">
        <f t="shared" si="7"/>
        <v>0</v>
      </c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11"/>
      <c r="Z121" s="111"/>
      <c r="AA121" s="111"/>
      <c r="AB121" s="4"/>
      <c r="AC121" s="4"/>
      <c r="AD121" s="4"/>
      <c r="AE121" s="4"/>
      <c r="AF121" s="4"/>
    </row>
    <row r="122" spans="1:32" ht="15" customHeight="1">
      <c r="A122" s="18"/>
      <c r="F122" s="168">
        <f t="shared" si="7"/>
        <v>0</v>
      </c>
      <c r="G122" s="168"/>
      <c r="H122" s="168"/>
      <c r="I122" s="168"/>
      <c r="J122" s="168"/>
      <c r="K122" s="168"/>
      <c r="L122" s="168"/>
      <c r="M122" s="64">
        <f>J47</f>
        <v>0</v>
      </c>
      <c r="N122" s="168"/>
      <c r="O122" s="194">
        <f>ROUNDDOWN(M122*0.0983,0)</f>
        <v>0</v>
      </c>
      <c r="P122" s="168"/>
      <c r="Q122" s="235"/>
      <c r="R122" s="235"/>
      <c r="S122" s="235"/>
      <c r="T122" s="168"/>
      <c r="U122" s="236"/>
      <c r="V122" s="236"/>
      <c r="W122" s="236"/>
      <c r="X122" s="236"/>
      <c r="Y122" s="111"/>
      <c r="Z122" s="111"/>
      <c r="AA122" s="4"/>
      <c r="AB122" s="4"/>
      <c r="AC122" s="4"/>
      <c r="AD122" s="4"/>
      <c r="AE122" s="4"/>
      <c r="AF122" s="4"/>
    </row>
    <row r="123" spans="1:32" ht="15" customHeight="1">
      <c r="A123" s="18"/>
      <c r="B123" s="22"/>
      <c r="C123" s="18"/>
      <c r="D123" s="18"/>
      <c r="F123" s="168">
        <f t="shared" si="7"/>
        <v>0</v>
      </c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11"/>
      <c r="Z123" s="111"/>
      <c r="AA123" s="4"/>
      <c r="AB123" s="4"/>
      <c r="AC123" s="4"/>
      <c r="AD123" s="4"/>
      <c r="AE123" s="4"/>
      <c r="AF123" s="4"/>
    </row>
    <row r="124" spans="1:32" ht="15" customHeight="1">
      <c r="A124" s="18"/>
      <c r="B124" s="22"/>
      <c r="C124" s="18"/>
      <c r="D124" s="18"/>
      <c r="F124" s="168">
        <f t="shared" si="7"/>
        <v>0</v>
      </c>
      <c r="G124" s="168"/>
      <c r="H124" s="168"/>
      <c r="I124" s="168"/>
      <c r="J124" s="168"/>
      <c r="K124" s="168"/>
      <c r="L124" s="168"/>
      <c r="M124" s="64">
        <f>J49</f>
        <v>0</v>
      </c>
      <c r="N124" s="168"/>
      <c r="O124" s="194">
        <f>ROUNDDOWN(M124*0.0983,0)</f>
        <v>0</v>
      </c>
      <c r="P124" s="168"/>
      <c r="Q124" s="235"/>
      <c r="R124" s="235"/>
      <c r="S124" s="235"/>
      <c r="T124" s="168"/>
      <c r="U124" s="236"/>
      <c r="V124" s="236"/>
      <c r="W124" s="236"/>
      <c r="X124" s="236"/>
      <c r="Y124" s="169"/>
      <c r="Z124" s="169"/>
      <c r="AA124" s="4"/>
      <c r="AB124" s="4"/>
      <c r="AC124" s="4"/>
      <c r="AD124" s="4"/>
      <c r="AE124" s="4"/>
      <c r="AF124" s="4"/>
    </row>
    <row r="125" spans="1:32" ht="15" customHeight="1">
      <c r="A125" s="18"/>
      <c r="B125" s="22"/>
      <c r="C125" s="18"/>
      <c r="D125" s="18"/>
      <c r="E125" s="18"/>
      <c r="F125" s="168">
        <f t="shared" si="7"/>
        <v>0</v>
      </c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11"/>
      <c r="Z125" s="111"/>
      <c r="AA125" s="111"/>
      <c r="AB125" s="4"/>
      <c r="AC125" s="4"/>
      <c r="AD125" s="4"/>
      <c r="AE125" s="4"/>
      <c r="AF125" s="4"/>
    </row>
    <row r="126" spans="1:32" ht="15" customHeight="1">
      <c r="A126" s="18"/>
      <c r="B126" s="22"/>
      <c r="C126" s="18"/>
      <c r="D126" s="18"/>
      <c r="E126" s="18"/>
      <c r="F126" s="168">
        <f t="shared" si="7"/>
        <v>0</v>
      </c>
      <c r="G126" s="168"/>
      <c r="H126" s="168"/>
      <c r="I126" s="168"/>
      <c r="J126" s="168"/>
      <c r="K126" s="168"/>
      <c r="L126" s="168"/>
      <c r="M126" s="64">
        <f>J51</f>
        <v>0</v>
      </c>
      <c r="N126" s="168"/>
      <c r="O126" s="194">
        <f>ROUNDDOWN(M126*0.0983,0)</f>
        <v>0</v>
      </c>
      <c r="P126" s="168"/>
      <c r="Q126" s="235"/>
      <c r="R126" s="235"/>
      <c r="S126" s="235"/>
      <c r="T126" s="168"/>
      <c r="U126" s="236"/>
      <c r="V126" s="236"/>
      <c r="W126" s="236"/>
      <c r="X126" s="236"/>
      <c r="Y126" s="112"/>
      <c r="Z126" s="112"/>
      <c r="AA126" s="112"/>
      <c r="AB126" s="4"/>
      <c r="AC126" s="4"/>
      <c r="AD126" s="4"/>
      <c r="AE126" s="4"/>
      <c r="AF126" s="4"/>
    </row>
    <row r="127" spans="1:32" ht="15" customHeight="1">
      <c r="A127" s="18"/>
      <c r="B127" s="22"/>
      <c r="C127" s="18"/>
      <c r="D127" s="18"/>
      <c r="E127" s="18"/>
      <c r="F127" s="168">
        <f t="shared" si="7"/>
        <v>0</v>
      </c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11"/>
      <c r="Z127" s="111"/>
      <c r="AA127" s="111"/>
      <c r="AB127" s="4"/>
      <c r="AC127" s="4"/>
      <c r="AD127" s="4"/>
      <c r="AE127" s="4"/>
      <c r="AF127" s="4"/>
    </row>
    <row r="128" spans="1:32" ht="15" customHeight="1">
      <c r="A128" s="18"/>
      <c r="B128" s="22"/>
      <c r="C128" s="18"/>
      <c r="D128" s="18"/>
      <c r="E128" s="18"/>
      <c r="F128" s="18"/>
      <c r="G128" s="18"/>
      <c r="H128" s="18"/>
      <c r="I128" s="18"/>
      <c r="J128" s="191"/>
      <c r="K128" s="191"/>
      <c r="L128" s="191"/>
      <c r="M128" s="191"/>
      <c r="N128" s="190"/>
      <c r="O128" s="190"/>
      <c r="P128" s="190"/>
      <c r="Q128" s="193"/>
      <c r="R128" s="193"/>
      <c r="S128" s="193"/>
      <c r="T128" s="192"/>
      <c r="U128" s="192"/>
      <c r="V128" s="192"/>
      <c r="W128" s="192"/>
      <c r="X128" s="107"/>
      <c r="Y128" s="108"/>
      <c r="Z128" s="109"/>
      <c r="AA128" s="4"/>
      <c r="AB128" s="4"/>
      <c r="AC128" s="4"/>
      <c r="AD128" s="4"/>
      <c r="AE128" s="4"/>
      <c r="AF128" s="4"/>
    </row>
    <row r="129" spans="1:35" s="82" customFormat="1" ht="15" customHeight="1">
      <c r="A129" s="57"/>
      <c r="B129" s="126"/>
      <c r="C129" s="57"/>
      <c r="D129" s="57"/>
      <c r="E129" s="127" t="s">
        <v>29</v>
      </c>
      <c r="F129" s="14"/>
      <c r="G129" s="14"/>
      <c r="H129" s="14"/>
      <c r="I129" s="14"/>
      <c r="J129" s="221">
        <f>SUM(M116:N127)</f>
        <v>0</v>
      </c>
      <c r="K129" s="221"/>
      <c r="L129" s="221"/>
      <c r="M129" s="221"/>
      <c r="N129" s="220">
        <f>SUM(N116:P128)</f>
        <v>0</v>
      </c>
      <c r="O129" s="220"/>
      <c r="P129" s="220"/>
      <c r="Q129" s="219">
        <f>SUM(Q116:S128)</f>
        <v>0</v>
      </c>
      <c r="R129" s="219"/>
      <c r="S129" s="219"/>
      <c r="T129" s="218">
        <f>SUM(T116:W128)</f>
        <v>0</v>
      </c>
      <c r="U129" s="218"/>
      <c r="V129" s="218"/>
      <c r="W129" s="218"/>
      <c r="X129" s="128"/>
      <c r="Y129" s="129"/>
      <c r="Z129" s="130"/>
      <c r="AA129" s="3"/>
      <c r="AB129" s="3"/>
      <c r="AC129" s="3"/>
      <c r="AD129" s="3"/>
      <c r="AE129" s="3"/>
      <c r="AF129" s="3"/>
    </row>
    <row r="130" spans="1:35" ht="15" customHeight="1">
      <c r="A130" s="16" t="str">
        <f>A54</f>
        <v>MADE IN VIET NAM</v>
      </c>
      <c r="B130" s="16"/>
      <c r="C130" s="16"/>
      <c r="D130" s="16"/>
      <c r="E130" s="22"/>
      <c r="F130" s="22"/>
      <c r="G130" s="22"/>
      <c r="H130" s="22"/>
      <c r="I130" s="22"/>
      <c r="J130" s="114"/>
      <c r="K130" s="114"/>
      <c r="L130" s="114"/>
      <c r="M130" s="114"/>
      <c r="N130" s="138"/>
      <c r="O130" s="108"/>
      <c r="P130" s="18"/>
      <c r="Q130" s="18"/>
      <c r="R130" s="16"/>
      <c r="S130" s="16"/>
      <c r="T130" s="16"/>
      <c r="U130" s="16"/>
      <c r="V130" s="16"/>
      <c r="W130" s="16"/>
      <c r="X130" s="18"/>
      <c r="Y130" s="18"/>
      <c r="AA130" s="4"/>
      <c r="AB130" s="4"/>
      <c r="AC130" s="4"/>
      <c r="AD130" s="4"/>
      <c r="AE130" s="4"/>
      <c r="AF130" s="4"/>
    </row>
    <row r="131" spans="1:35" ht="15" customHeight="1">
      <c r="A131" s="16" t="str">
        <f>A55</f>
        <v>//////////////////////////////////</v>
      </c>
      <c r="B131" s="16"/>
      <c r="C131" s="16"/>
      <c r="D131" s="16"/>
      <c r="E131" s="22"/>
      <c r="F131" s="22"/>
      <c r="G131" s="22"/>
      <c r="H131" s="22"/>
      <c r="I131" s="22"/>
      <c r="J131" s="114"/>
      <c r="K131" s="114"/>
      <c r="L131" s="114"/>
      <c r="M131" s="114"/>
      <c r="N131" s="138"/>
      <c r="O131" s="108"/>
      <c r="P131" s="18"/>
      <c r="Q131" s="115"/>
      <c r="R131" s="16"/>
      <c r="S131" s="16"/>
      <c r="T131" s="16"/>
      <c r="U131" s="16"/>
      <c r="V131" s="16"/>
      <c r="W131" s="16"/>
      <c r="X131" s="18"/>
      <c r="Y131" s="18"/>
      <c r="AA131" s="4"/>
      <c r="AB131" s="4"/>
      <c r="AC131" s="4"/>
      <c r="AD131" s="4"/>
      <c r="AE131" s="4"/>
      <c r="AF131" s="4"/>
      <c r="AI131" s="110"/>
    </row>
    <row r="132" spans="1:35" ht="15" customHeight="1">
      <c r="A132" s="16"/>
      <c r="B132" s="16"/>
      <c r="C132" s="16"/>
      <c r="D132" s="16"/>
      <c r="E132" s="22"/>
      <c r="F132" s="22"/>
      <c r="G132" s="22"/>
      <c r="H132" s="22"/>
      <c r="I132" s="22"/>
      <c r="J132" s="114"/>
      <c r="K132" s="114"/>
      <c r="L132" s="114"/>
      <c r="M132" s="114"/>
      <c r="N132" s="157"/>
      <c r="O132" s="108"/>
      <c r="P132" s="18"/>
      <c r="Q132" s="115"/>
      <c r="R132" s="16"/>
      <c r="S132" s="16"/>
      <c r="T132" s="16"/>
      <c r="U132" s="16"/>
      <c r="V132" s="16"/>
      <c r="W132" s="16"/>
      <c r="X132" s="18"/>
      <c r="Y132" s="18"/>
      <c r="AA132" s="4"/>
      <c r="AB132" s="4"/>
      <c r="AC132" s="4"/>
      <c r="AD132" s="4"/>
      <c r="AE132" s="4"/>
      <c r="AF132" s="4"/>
      <c r="AI132" s="110"/>
    </row>
    <row r="133" spans="1:35" s="169" customFormat="1" ht="15" customHeight="1">
      <c r="A133" s="168"/>
      <c r="B133" s="168"/>
      <c r="C133" s="168"/>
      <c r="D133" s="168"/>
      <c r="E133" s="22"/>
      <c r="F133" s="22"/>
      <c r="G133" s="22"/>
      <c r="H133" s="22"/>
      <c r="I133" s="22"/>
      <c r="J133" s="114"/>
      <c r="K133" s="114"/>
      <c r="L133" s="114"/>
      <c r="M133" s="114"/>
      <c r="N133" s="175"/>
      <c r="O133" s="108"/>
      <c r="P133" s="18"/>
      <c r="Q133" s="115"/>
      <c r="R133" s="168"/>
      <c r="S133" s="168"/>
      <c r="T133" s="168"/>
      <c r="U133" s="168"/>
      <c r="V133" s="168"/>
      <c r="W133" s="168"/>
      <c r="X133" s="18"/>
      <c r="Y133" s="18"/>
      <c r="Z133" s="4"/>
      <c r="AA133" s="4"/>
      <c r="AB133" s="4"/>
      <c r="AC133" s="4"/>
      <c r="AD133" s="4"/>
      <c r="AE133" s="4"/>
      <c r="AF133" s="4"/>
      <c r="AI133" s="110"/>
    </row>
    <row r="134" spans="1:35" s="169" customFormat="1" ht="15" customHeight="1">
      <c r="A134" s="168"/>
      <c r="B134" s="168"/>
      <c r="C134" s="168"/>
      <c r="D134" s="168"/>
      <c r="E134" s="22"/>
      <c r="F134" s="22"/>
      <c r="G134" s="22"/>
      <c r="H134" s="22"/>
      <c r="I134" s="22"/>
      <c r="J134" s="114"/>
      <c r="K134" s="114"/>
      <c r="L134" s="114"/>
      <c r="M134" s="114"/>
      <c r="N134" s="175"/>
      <c r="O134" s="108"/>
      <c r="P134" s="18"/>
      <c r="Q134" s="115"/>
      <c r="R134" s="168"/>
      <c r="S134" s="168"/>
      <c r="T134" s="168"/>
      <c r="U134" s="168"/>
      <c r="V134" s="168"/>
      <c r="W134" s="168"/>
      <c r="X134" s="18"/>
      <c r="Y134" s="18"/>
      <c r="Z134" s="4"/>
      <c r="AA134" s="4"/>
      <c r="AB134" s="4"/>
      <c r="AC134" s="4"/>
      <c r="AD134" s="4"/>
      <c r="AE134" s="4"/>
      <c r="AF134" s="4"/>
      <c r="AI134" s="110"/>
    </row>
    <row r="135" spans="1:35" s="169" customFormat="1" ht="15" customHeight="1">
      <c r="A135" s="168"/>
      <c r="B135" s="168"/>
      <c r="C135" s="168"/>
      <c r="D135" s="168"/>
      <c r="E135" s="22"/>
      <c r="F135" s="22"/>
      <c r="G135" s="22"/>
      <c r="H135" s="22"/>
      <c r="I135" s="22"/>
      <c r="J135" s="114"/>
      <c r="K135" s="114"/>
      <c r="L135" s="114"/>
      <c r="M135" s="114"/>
      <c r="N135" s="175"/>
      <c r="O135" s="108"/>
      <c r="P135" s="18"/>
      <c r="Q135" s="115"/>
      <c r="R135" s="168"/>
      <c r="S135" s="168"/>
      <c r="T135" s="168"/>
      <c r="U135" s="168"/>
      <c r="V135" s="168"/>
      <c r="W135" s="168"/>
      <c r="X135" s="18"/>
      <c r="Y135" s="18"/>
      <c r="Z135" s="4"/>
      <c r="AA135" s="4"/>
      <c r="AB135" s="4"/>
      <c r="AC135" s="4"/>
      <c r="AD135" s="4"/>
      <c r="AE135" s="4"/>
      <c r="AF135" s="4"/>
      <c r="AI135" s="110"/>
    </row>
    <row r="136" spans="1:35" ht="15" customHeight="1">
      <c r="E136" s="62"/>
      <c r="F136" s="62"/>
      <c r="G136" s="62"/>
      <c r="H136" s="62"/>
      <c r="I136" s="62"/>
      <c r="J136" s="113"/>
      <c r="K136" s="113"/>
      <c r="L136" s="113"/>
      <c r="M136" s="113"/>
      <c r="N136" s="140"/>
      <c r="O136" s="118"/>
      <c r="P136" s="4"/>
      <c r="Q136" s="4"/>
      <c r="Y136" s="4"/>
      <c r="AA136" s="4"/>
      <c r="AB136" s="4"/>
      <c r="AC136" s="4"/>
      <c r="AD136" s="4"/>
      <c r="AE136" s="4"/>
      <c r="AF136" s="4"/>
    </row>
    <row r="137" spans="1:35" ht="15" customHeight="1">
      <c r="E137" s="62"/>
      <c r="F137" s="62"/>
      <c r="G137" s="62"/>
      <c r="H137" s="62"/>
      <c r="I137" s="62"/>
      <c r="J137" s="113"/>
      <c r="K137" s="113"/>
      <c r="L137" s="113"/>
      <c r="M137" s="113"/>
      <c r="N137" s="140"/>
      <c r="O137" s="118"/>
      <c r="P137" s="4"/>
      <c r="Q137" s="4"/>
      <c r="Y137" s="4"/>
      <c r="AA137" s="4"/>
      <c r="AB137" s="4"/>
      <c r="AC137" s="4"/>
      <c r="AD137" s="4"/>
      <c r="AE137" s="4"/>
      <c r="AF137" s="4"/>
    </row>
    <row r="138" spans="1:35" ht="15" customHeight="1">
      <c r="E138" s="116"/>
      <c r="F138" s="116"/>
      <c r="G138" s="116"/>
      <c r="H138" s="116"/>
      <c r="I138" s="116"/>
      <c r="J138" s="113"/>
      <c r="K138" s="113"/>
      <c r="L138" s="113"/>
      <c r="M138" s="113"/>
      <c r="N138" s="117"/>
      <c r="O138" s="118"/>
      <c r="P138" s="4"/>
      <c r="Q138" s="119"/>
      <c r="Y138" s="4"/>
      <c r="AA138" s="4"/>
      <c r="AB138" s="4"/>
      <c r="AC138" s="4"/>
      <c r="AD138" s="4"/>
      <c r="AE138" s="4"/>
      <c r="AF138" s="4"/>
    </row>
    <row r="139" spans="1:35" ht="15" customHeight="1">
      <c r="E139" s="116"/>
      <c r="F139" s="116"/>
      <c r="G139" s="116"/>
      <c r="H139" s="116"/>
      <c r="I139" s="116"/>
      <c r="J139" s="113"/>
      <c r="K139" s="113"/>
      <c r="L139" s="113"/>
      <c r="M139" s="113"/>
      <c r="N139" s="117"/>
      <c r="O139" s="118"/>
      <c r="P139" s="4"/>
      <c r="Q139" s="4"/>
      <c r="Y139" s="4"/>
      <c r="AA139" s="4"/>
      <c r="AB139" s="4"/>
      <c r="AC139" s="4"/>
      <c r="AD139" s="4"/>
      <c r="AE139" s="4"/>
      <c r="AF139" s="4"/>
    </row>
    <row r="140" spans="1:35" ht="15" customHeight="1">
      <c r="E140" s="116"/>
      <c r="F140" s="116"/>
      <c r="G140" s="116"/>
      <c r="H140" s="116"/>
      <c r="I140" s="116"/>
      <c r="J140" s="113"/>
      <c r="K140" s="113"/>
      <c r="L140" s="113"/>
      <c r="M140" s="113"/>
      <c r="N140" s="117"/>
      <c r="O140" s="118"/>
      <c r="P140" s="4"/>
      <c r="Q140" s="4"/>
      <c r="Y140" s="4"/>
      <c r="AA140" s="4"/>
      <c r="AB140" s="4"/>
      <c r="AC140" s="4"/>
      <c r="AD140" s="4"/>
      <c r="AE140" s="4"/>
      <c r="AF140" s="4"/>
    </row>
    <row r="141" spans="1:35" ht="15" customHeight="1">
      <c r="E141" s="116"/>
      <c r="F141" s="116"/>
      <c r="G141" s="116"/>
      <c r="H141" s="116"/>
      <c r="I141" s="116"/>
      <c r="J141" s="113"/>
      <c r="K141" s="113"/>
      <c r="L141" s="113"/>
      <c r="M141" s="113"/>
      <c r="N141" s="117"/>
      <c r="O141" s="118"/>
      <c r="P141" s="4"/>
      <c r="Q141" s="4"/>
      <c r="Y141" s="4"/>
      <c r="AA141" s="4"/>
      <c r="AB141" s="4"/>
      <c r="AC141" s="4"/>
      <c r="AD141" s="4"/>
      <c r="AE141" s="4"/>
      <c r="AF141" s="4"/>
    </row>
    <row r="142" spans="1:35" ht="15" customHeight="1">
      <c r="A142" s="82"/>
      <c r="E142" s="79"/>
      <c r="N142" s="3" t="s">
        <v>34</v>
      </c>
      <c r="O142" s="4"/>
      <c r="P142" s="6"/>
      <c r="Q142" s="6"/>
      <c r="R142" s="6"/>
      <c r="S142" s="6"/>
      <c r="T142" s="6"/>
      <c r="U142" s="6"/>
      <c r="V142" s="6"/>
      <c r="W142" s="6"/>
      <c r="Y142" s="4"/>
      <c r="AA142" s="4"/>
      <c r="AB142" s="4"/>
      <c r="AC142" s="4"/>
      <c r="AD142" s="4"/>
      <c r="AE142" s="4"/>
      <c r="AF142" s="4"/>
    </row>
    <row r="143" spans="1:35" ht="15" customHeight="1">
      <c r="E143" s="79"/>
      <c r="O143" s="4"/>
      <c r="P143" s="13"/>
      <c r="Q143" s="13"/>
      <c r="R143" s="4"/>
      <c r="S143" s="4"/>
      <c r="X143" s="13"/>
      <c r="Y143" s="4"/>
      <c r="AA143" s="4"/>
      <c r="AB143" s="4"/>
      <c r="AC143" s="4"/>
      <c r="AD143" s="4"/>
      <c r="AE143" s="4"/>
      <c r="AF143" s="4"/>
    </row>
  </sheetData>
  <mergeCells count="72">
    <mergeCell ref="U126:X126"/>
    <mergeCell ref="U118:X118"/>
    <mergeCell ref="U120:X120"/>
    <mergeCell ref="Q122:S122"/>
    <mergeCell ref="U122:X122"/>
    <mergeCell ref="Q120:S120"/>
    <mergeCell ref="Q126:S126"/>
    <mergeCell ref="Q116:S116"/>
    <mergeCell ref="J50:N50"/>
    <mergeCell ref="O50:R50"/>
    <mergeCell ref="S50:W50"/>
    <mergeCell ref="Q124:S124"/>
    <mergeCell ref="U124:X124"/>
    <mergeCell ref="Q118:S118"/>
    <mergeCell ref="J51:N51"/>
    <mergeCell ref="O51:R51"/>
    <mergeCell ref="S51:W51"/>
    <mergeCell ref="J52:N52"/>
    <mergeCell ref="A76:Y76"/>
    <mergeCell ref="F109:I109"/>
    <mergeCell ref="A112:W112"/>
    <mergeCell ref="U116:X116"/>
    <mergeCell ref="B116:D118"/>
    <mergeCell ref="F49:I49"/>
    <mergeCell ref="J49:N49"/>
    <mergeCell ref="O49:R49"/>
    <mergeCell ref="S49:W49"/>
    <mergeCell ref="S48:W48"/>
    <mergeCell ref="A109:E109"/>
    <mergeCell ref="J40:N40"/>
    <mergeCell ref="O40:R40"/>
    <mergeCell ref="F43:I43"/>
    <mergeCell ref="S43:W43"/>
    <mergeCell ref="F45:I45"/>
    <mergeCell ref="J45:N45"/>
    <mergeCell ref="O45:R45"/>
    <mergeCell ref="S45:W45"/>
    <mergeCell ref="J46:N46"/>
    <mergeCell ref="O46:R46"/>
    <mergeCell ref="S46:W46"/>
    <mergeCell ref="F47:I47"/>
    <mergeCell ref="J47:N47"/>
    <mergeCell ref="O47:R47"/>
    <mergeCell ref="B41:D43"/>
    <mergeCell ref="T129:W129"/>
    <mergeCell ref="Q129:S129"/>
    <mergeCell ref="N129:P129"/>
    <mergeCell ref="J129:M129"/>
    <mergeCell ref="S40:W40"/>
    <mergeCell ref="J41:N41"/>
    <mergeCell ref="O41:R41"/>
    <mergeCell ref="S41:W41"/>
    <mergeCell ref="J42:N42"/>
    <mergeCell ref="O42:R42"/>
    <mergeCell ref="S42:W42"/>
    <mergeCell ref="U78:W78"/>
    <mergeCell ref="J43:N43"/>
    <mergeCell ref="O43:R43"/>
    <mergeCell ref="S52:W52"/>
    <mergeCell ref="J44:N44"/>
    <mergeCell ref="A1:Y1"/>
    <mergeCell ref="Q10:R10"/>
    <mergeCell ref="A35:E35"/>
    <mergeCell ref="F35:I35"/>
    <mergeCell ref="A38:W38"/>
    <mergeCell ref="U3:W3"/>
    <mergeCell ref="F41:I41"/>
    <mergeCell ref="O44:R44"/>
    <mergeCell ref="S44:W44"/>
    <mergeCell ref="J48:N48"/>
    <mergeCell ref="O48:R48"/>
    <mergeCell ref="S47:W47"/>
  </mergeCells>
  <phoneticPr fontId="45" type="noConversion"/>
  <printOptions horizontalCentered="1"/>
  <pageMargins left="0.47244094488188981" right="0.47244094488188981" top="0.51181102362204722" bottom="0.51181102362204722" header="0.51181102362204722" footer="0.51181102362204722"/>
  <pageSetup paperSize="9" scale="69" fitToHeight="5" orientation="portrait" r:id="rId1"/>
  <headerFooter alignWithMargins="0"/>
  <rowBreaks count="1" manualBreakCount="1">
    <brk id="75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7:F10"/>
  <sheetViews>
    <sheetView workbookViewId="0">
      <selection activeCell="E36" sqref="E36"/>
    </sheetView>
  </sheetViews>
  <sheetFormatPr defaultRowHeight="12.75"/>
  <cols>
    <col min="6" max="6" width="13.7109375" customWidth="1"/>
  </cols>
  <sheetData>
    <row r="7" spans="4:6" ht="18.75" customHeight="1">
      <c r="D7" s="239" t="s">
        <v>53</v>
      </c>
      <c r="E7" s="239"/>
      <c r="F7" s="239"/>
    </row>
    <row r="8" spans="4:6">
      <c r="D8" s="239"/>
      <c r="E8" s="239"/>
      <c r="F8" s="239"/>
    </row>
    <row r="9" spans="4:6" ht="18.75" customHeight="1">
      <c r="D9" s="239" t="s">
        <v>54</v>
      </c>
      <c r="E9" s="239"/>
      <c r="F9" s="239"/>
    </row>
    <row r="10" spans="4:6">
      <c r="D10" s="239"/>
      <c r="E10" s="239"/>
      <c r="F10" s="239"/>
    </row>
  </sheetData>
  <mergeCells count="2">
    <mergeCell ref="D7:F8"/>
    <mergeCell ref="D9:F10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IV &amp; PK</vt:lpstr>
      <vt:lpstr>Sheet1</vt:lpstr>
      <vt:lpstr>'IV &amp; PK'!Print_Area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OTM-COFERENCE ROOM</dc:creator>
  <cp:lastModifiedBy>Huy Nguyễn</cp:lastModifiedBy>
  <cp:lastPrinted>2020-11-13T09:16:19Z</cp:lastPrinted>
  <dcterms:created xsi:type="dcterms:W3CDTF">2020-01-07T06:10:12Z</dcterms:created>
  <dcterms:modified xsi:type="dcterms:W3CDTF">2021-06-03T05:51:47Z</dcterms:modified>
</cp:coreProperties>
</file>