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OFT\Downloads\"/>
    </mc:Choice>
  </mc:AlternateContent>
  <bookViews>
    <workbookView xWindow="600" yWindow="120" windowWidth="16890" windowHeight="12930" tabRatio="855" firstSheet="1" activeTab="1"/>
  </bookViews>
  <sheets>
    <sheet name="000000" sheetId="4" state="veryHidden" r:id="rId1"/>
    <sheet name="Sheet2" sheetId="51" r:id="rId2"/>
  </sheets>
  <definedNames>
    <definedName name="_xlnm.Print_Area" localSheetId="1">Sheet2!$A$1:$X$139</definedName>
  </definedNames>
  <calcPr calcId="162913"/>
</workbook>
</file>

<file path=xl/calcChain.xml><?xml version="1.0" encoding="utf-8"?>
<calcChain xmlns="http://schemas.openxmlformats.org/spreadsheetml/2006/main">
  <c r="L83" i="51" l="1"/>
  <c r="E101" i="51"/>
  <c r="M101" i="51"/>
  <c r="O101" i="51"/>
  <c r="R101" i="51"/>
  <c r="E102" i="51"/>
  <c r="K71" i="51"/>
  <c r="K70" i="51"/>
  <c r="B71" i="51"/>
  <c r="B70" i="51"/>
  <c r="O24" i="51"/>
  <c r="O83" i="51"/>
  <c r="B88" i="51"/>
  <c r="B87" i="51"/>
  <c r="B86" i="51"/>
  <c r="B85" i="51"/>
  <c r="B84" i="51"/>
  <c r="K69" i="51"/>
  <c r="O82" i="51"/>
  <c r="S35" i="51"/>
  <c r="G94" i="51"/>
  <c r="K68" i="51"/>
  <c r="B79" i="51"/>
  <c r="B78" i="51"/>
  <c r="B77" i="51"/>
  <c r="B76" i="51"/>
  <c r="B75" i="51"/>
  <c r="B74" i="51"/>
  <c r="B73" i="51"/>
  <c r="B83" i="51"/>
  <c r="P76" i="51"/>
  <c r="P77" i="51"/>
  <c r="P78" i="51"/>
  <c r="P79" i="51"/>
  <c r="P80" i="51"/>
  <c r="P81" i="51"/>
  <c r="P82" i="51"/>
  <c r="P83" i="51"/>
  <c r="O76" i="51"/>
  <c r="O77" i="51"/>
  <c r="O78" i="51"/>
  <c r="O79" i="51"/>
  <c r="O80" i="51"/>
  <c r="O81" i="51"/>
  <c r="B66" i="51"/>
  <c r="O66" i="51"/>
  <c r="B67" i="51"/>
  <c r="B68" i="51"/>
  <c r="B69" i="51"/>
  <c r="K76" i="51"/>
  <c r="L76" i="51"/>
  <c r="N76" i="51"/>
  <c r="X76" i="51"/>
  <c r="K77" i="51"/>
  <c r="L77" i="51"/>
  <c r="N77" i="51"/>
  <c r="X77" i="51"/>
  <c r="K78" i="51"/>
  <c r="L78" i="51"/>
  <c r="N78" i="51"/>
  <c r="X78" i="51"/>
  <c r="L80" i="51"/>
  <c r="N80" i="51"/>
  <c r="L81" i="51"/>
  <c r="N81" i="51"/>
  <c r="L82" i="51"/>
  <c r="N82" i="51"/>
  <c r="B94" i="51"/>
  <c r="A117" i="51"/>
  <c r="A118" i="51"/>
</calcChain>
</file>

<file path=xl/sharedStrings.xml><?xml version="1.0" encoding="utf-8"?>
<sst xmlns="http://schemas.openxmlformats.org/spreadsheetml/2006/main" count="129" uniqueCount="93">
  <si>
    <t>1)Shipper/Exporter</t>
  </si>
  <si>
    <t>8)No. &amp; date of invoice</t>
  </si>
  <si>
    <t>2)For Account &amp; Risk of Messrs.</t>
  </si>
  <si>
    <t>3)Notify party</t>
  </si>
  <si>
    <t>4)Port of loading</t>
  </si>
  <si>
    <t>5)Final destination</t>
  </si>
  <si>
    <t>6)Carrier</t>
  </si>
  <si>
    <t>7)Sailing on or about</t>
  </si>
  <si>
    <t>PACKING LIST</t>
  </si>
  <si>
    <t>:</t>
  </si>
  <si>
    <t>//////////////////////////////////</t>
  </si>
  <si>
    <t>9) Terms of delivery and payment</t>
    <phoneticPr fontId="8" type="noConversion"/>
  </si>
  <si>
    <t>:</t>
    <phoneticPr fontId="8" type="noConversion"/>
  </si>
  <si>
    <t>P/No.</t>
    <phoneticPr fontId="8" type="noConversion"/>
  </si>
  <si>
    <t>SKID No.</t>
    <phoneticPr fontId="8" type="noConversion"/>
  </si>
  <si>
    <t>LOT No.</t>
    <phoneticPr fontId="8" type="noConversion"/>
  </si>
  <si>
    <t>C/No.</t>
    <phoneticPr fontId="8" type="noConversion"/>
  </si>
  <si>
    <t>Q'TY/CTN</t>
    <phoneticPr fontId="8" type="noConversion"/>
  </si>
  <si>
    <t>1)Shipper/Exporter/Manufacturer</t>
    <phoneticPr fontId="8" type="noConversion"/>
  </si>
  <si>
    <t>P/Name</t>
    <phoneticPr fontId="8" type="noConversion"/>
  </si>
  <si>
    <r>
      <rPr>
        <sz val="10"/>
        <rFont val="바탕"/>
        <family val="1"/>
        <charset val="129"/>
      </rPr>
      <t>※</t>
    </r>
    <phoneticPr fontId="8" type="noConversion"/>
  </si>
  <si>
    <t>PO No.</t>
    <phoneticPr fontId="8" type="noConversion"/>
  </si>
  <si>
    <t>:</t>
    <phoneticPr fontId="8" type="noConversion"/>
  </si>
  <si>
    <t xml:space="preserve">  T O T A L</t>
    <phoneticPr fontId="8" type="noConversion"/>
  </si>
  <si>
    <r>
      <rPr>
        <sz val="10"/>
        <rFont val="바탕"/>
        <family val="1"/>
        <charset val="129"/>
      </rPr>
      <t>※</t>
    </r>
    <phoneticPr fontId="8" type="noConversion"/>
  </si>
  <si>
    <t>CTN Q'TY</t>
    <phoneticPr fontId="8" type="noConversion"/>
  </si>
  <si>
    <t>:</t>
    <phoneticPr fontId="8" type="noConversion"/>
  </si>
  <si>
    <t>※</t>
    <phoneticPr fontId="8" type="noConversion"/>
  </si>
  <si>
    <t xml:space="preserve">* BANK INFORMATION </t>
  </si>
  <si>
    <t>T/T NET 15DAYS FROM RECEIPT</t>
    <phoneticPr fontId="8" type="noConversion"/>
  </si>
  <si>
    <t>OT MOTOR VINA CO.,LTD</t>
  </si>
  <si>
    <t>Dong Nai Province, Vietnam</t>
  </si>
  <si>
    <t>TEL: +84 2513 569 066</t>
  </si>
  <si>
    <t>FCA at OTM</t>
  </si>
  <si>
    <t>10) Country of Origin of Goods                   VIETNAM</t>
  </si>
  <si>
    <t>284433</t>
  </si>
  <si>
    <t>VIETNAM</t>
  </si>
  <si>
    <t>MADE IN VIETNAM</t>
  </si>
  <si>
    <t>(1,140×1,170×970)</t>
  </si>
  <si>
    <t>※</t>
  </si>
  <si>
    <t>CONT/SEAL</t>
  </si>
  <si>
    <t>- Bank Account Number/SWIFT: 0764-0054-932-0001 // IBKOVNVX</t>
  </si>
  <si>
    <t>OT MOTOR TO ZF REYNOSA</t>
  </si>
  <si>
    <t>SPR4 SPOOL</t>
  </si>
  <si>
    <t>(34181316A)</t>
  </si>
  <si>
    <t xml:space="preserve">Land Lot No B-3.1, Nhon Trach 6B Subdivision of IZ, </t>
  </si>
  <si>
    <t>- Bank Name : Shinhan Bank Vietnam</t>
  </si>
  <si>
    <t>- Address : 2nd Flr, Nhon Trach 3 Industrial Park Office Building, Ton Duc Thang Stress, Hiep Phuoc Town, Nhon Trach District, Dong Nai Province</t>
  </si>
  <si>
    <t>Nhon Trach 6 IZ, Long Tho Commune, Nhon Trach District</t>
  </si>
  <si>
    <t>Mexico</t>
  </si>
  <si>
    <t>Boulevard Mike Allen 1370 SN</t>
  </si>
  <si>
    <t>Parque Industrial Reynosa Sección Norte</t>
  </si>
  <si>
    <t>Reynosa, Tamaulipas CP: 88788 Mexico</t>
  </si>
  <si>
    <t>TEL:899-958-1443 Ext.102</t>
  </si>
  <si>
    <t>SUPPLIER CODE</t>
  </si>
  <si>
    <t>SHIPPING MARK</t>
  </si>
  <si>
    <t>ZF Passive Safety US Inc.</t>
  </si>
  <si>
    <t>Seatbelt Division- OUC 454</t>
  </si>
  <si>
    <t>c/o Laredo Freight Dispatch</t>
  </si>
  <si>
    <t xml:space="preserve">9600 International Blvd.  </t>
  </si>
  <si>
    <t>Pharr Texas 78577</t>
  </si>
  <si>
    <t>U.S.A.</t>
  </si>
  <si>
    <t>TEL:956-632-8100, FAX:956-632-8127</t>
  </si>
  <si>
    <t>13)Marks and numbers of PKGS 14)Description of goods                                   15)Quantity/Unit 16)Unit Price                                                    17)Amount</t>
  </si>
  <si>
    <t>18)Commodity HTS Number                                          " Automotive Seat Belt Component" (HS: 8708.29.0000)</t>
  </si>
  <si>
    <t>19)Signed By</t>
  </si>
  <si>
    <t xml:space="preserve">TOTAL CTN Q'TY </t>
  </si>
  <si>
    <t xml:space="preserve">TOTAL SKID Q'TY </t>
  </si>
  <si>
    <t xml:space="preserve">SKID SIZE </t>
  </si>
  <si>
    <t>※ SKID Q'TY:</t>
  </si>
  <si>
    <t>※ WGT/SKID :</t>
  </si>
  <si>
    <t>※ GROSS WGT:</t>
  </si>
  <si>
    <t>17)Commodity HTS Number                                "Automotive Seat Belt Component" (HS: 8708.29.0000)</t>
  </si>
  <si>
    <t>18)Signed By</t>
  </si>
  <si>
    <t>11)Marks and numbers of PKGS 12)Description of goods                        13)Quantity                              14)Net Weight               15)Gross Weight 16)Measurement</t>
  </si>
  <si>
    <t>11) Consignee:</t>
  </si>
  <si>
    <t>12)Remarks :</t>
  </si>
  <si>
    <t>9) Consignee:</t>
  </si>
  <si>
    <t>10)Remarks :</t>
  </si>
  <si>
    <t>MIRSA REYNOSA Plt 1</t>
  </si>
  <si>
    <t>Avenida Prologis Edificio 4</t>
  </si>
  <si>
    <t>Parque Industrial Prologis</t>
  </si>
  <si>
    <t>Reynosa, Tamaulipas</t>
  </si>
  <si>
    <t>C.P. 88787</t>
  </si>
  <si>
    <t>34100164C</t>
  </si>
  <si>
    <t>5500205691</t>
  </si>
  <si>
    <t>COMMERCIAL INVOICE</t>
  </si>
  <si>
    <t>34100164C   SKID</t>
  </si>
  <si>
    <t>1. SPR4 SPOOL</t>
  </si>
  <si>
    <t>TAX ID: 3603512483</t>
  </si>
  <si>
    <t>232-235</t>
  </si>
  <si>
    <t>7393-7520</t>
  </si>
  <si>
    <t>ETA MANZANILLO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</si>
</sst>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82" formatCode="&quot;I-000&quot;##&quot;,&quot;"/>
    <numFmt numFmtId="183" formatCode="&quot;(&quot;#\ &quot;SKIDS)&quot;"/>
    <numFmt numFmtId="184" formatCode="&quot;(&quot;#\ &quot;SKID)&quot;"/>
    <numFmt numFmtId="185" formatCode="#,##0\ &quot;PCS&quot;"/>
    <numFmt numFmtId="187" formatCode="&quot;US$&quot;\ #,##0.00"/>
    <numFmt numFmtId="188" formatCode="#,##0\ &quot;kgs&quot;"/>
    <numFmt numFmtId="189" formatCode="0.00\ &quot;CBM&quot;"/>
    <numFmt numFmtId="190" formatCode="0.000\ &quot;CBM&quot;"/>
    <numFmt numFmtId="191" formatCode="&quot;￦ &quot;#,##0"/>
    <numFmt numFmtId="193" formatCode="&quot;0&quot;00#"/>
    <numFmt numFmtId="194" formatCode="mm&quot;월&quot;\ dd&quot;일&quot;"/>
    <numFmt numFmtId="195" formatCode="&quot;@$ &quot;0.0000"/>
    <numFmt numFmtId="197" formatCode="&quot;￦ &quot;#,##0.00"/>
    <numFmt numFmtId="198" formatCode="###\ &quot;kgs&quot;"/>
    <numFmt numFmtId="199" formatCode="#\ &quot;SKIDS&quot;"/>
    <numFmt numFmtId="200" formatCode="#,##0\ &quot;BOXES&quot;"/>
    <numFmt numFmtId="201" formatCode="#,##0\ &quot;SKIDS&quot;"/>
    <numFmt numFmtId="202" formatCode="#,###\ &quot;kgs&quot;"/>
    <numFmt numFmtId="203" formatCode="mmm\.\ dd\.\ yyyy"/>
    <numFmt numFmtId="205" formatCode="#\ &quot; BOXES&quot;"/>
    <numFmt numFmtId="210" formatCode="[$-409]d\-mmm\-yy;@"/>
    <numFmt numFmtId="217" formatCode="0.000"/>
  </numFmts>
  <fonts count="25">
    <font>
      <sz val="10"/>
      <name val="MS Sans Serif"/>
      <family val="2"/>
    </font>
    <font>
      <sz val="10"/>
      <name val="MS Sans Serif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color indexed="18"/>
      <name val="Times New Roman"/>
      <family val="1"/>
    </font>
    <font>
      <sz val="10"/>
      <name val="바탕"/>
      <family val="1"/>
      <charset val="129"/>
    </font>
    <font>
      <sz val="8"/>
      <name val="돋움"/>
      <family val="3"/>
      <charset val="129"/>
    </font>
    <font>
      <b/>
      <sz val="9"/>
      <name val="Times New Roman"/>
      <family val="1"/>
    </font>
    <font>
      <u/>
      <sz val="10"/>
      <color indexed="12"/>
      <name val="MS Sans Serif"/>
      <family val="2"/>
    </font>
    <font>
      <sz val="9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sz val="11"/>
      <name val="돋움"/>
      <family val="3"/>
      <charset val="129"/>
    </font>
    <font>
      <b/>
      <sz val="10"/>
      <color indexed="8"/>
      <name val="Times New Roman"/>
      <family val="1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10"/>
      <color indexed="8"/>
      <name val="Tahoma"/>
      <family val="2"/>
    </font>
    <font>
      <sz val="10.5"/>
      <name val="Tahoma"/>
      <family val="2"/>
    </font>
    <font>
      <b/>
      <sz val="11"/>
      <name val="Times New Roman"/>
      <family val="1"/>
    </font>
    <font>
      <sz val="11"/>
      <color theme="1"/>
      <name val="Calibri"/>
      <family val="3"/>
      <charset val="129"/>
      <scheme val="minor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0" fontId="14" fillId="0" borderId="0"/>
    <xf numFmtId="0" fontId="22" fillId="0" borderId="0">
      <alignment vertical="center"/>
    </xf>
  </cellStyleXfs>
  <cellXfs count="238">
    <xf numFmtId="0" fontId="0" fillId="0" borderId="0" xfId="0"/>
    <xf numFmtId="194" fontId="2" fillId="0" borderId="0" xfId="0" applyNumberFormat="1" applyFont="1" applyFill="1" applyAlignment="1">
      <alignment horizontal="left" vertical="center" wrapText="1"/>
    </xf>
    <xf numFmtId="194" fontId="2" fillId="0" borderId="0" xfId="0" quotePrefix="1" applyNumberFormat="1" applyFont="1" applyFill="1" applyAlignment="1">
      <alignment vertical="center" wrapText="1"/>
    </xf>
    <xf numFmtId="198" fontId="2" fillId="2" borderId="0" xfId="0" applyNumberFormat="1" applyFont="1" applyFill="1" applyAlignment="1">
      <alignment horizontal="center" vertical="center"/>
    </xf>
    <xf numFmtId="185" fontId="2" fillId="0" borderId="0" xfId="0" applyNumberFormat="1" applyFont="1" applyFill="1" applyBorder="1" applyAlignment="1">
      <alignment horizontal="left" vertical="center"/>
    </xf>
    <xf numFmtId="190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/>
    <xf numFmtId="183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left" vertical="center"/>
    </xf>
    <xf numFmtId="185" fontId="2" fillId="2" borderId="0" xfId="0" applyNumberFormat="1" applyFont="1" applyFill="1" applyBorder="1" applyAlignment="1">
      <alignment horizontal="right" vertical="center"/>
    </xf>
    <xf numFmtId="4" fontId="2" fillId="2" borderId="0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Border="1" applyAlignment="1">
      <alignment horizontal="centerContinuous" vertical="center"/>
    </xf>
    <xf numFmtId="0" fontId="9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Continuous" vertical="center"/>
    </xf>
    <xf numFmtId="189" fontId="2" fillId="2" borderId="0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91" fontId="2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190" fontId="3" fillId="2" borderId="0" xfId="0" applyNumberFormat="1" applyFont="1" applyFill="1" applyAlignment="1">
      <alignment horizontal="center" vertical="center"/>
    </xf>
    <xf numFmtId="187" fontId="2" fillId="2" borderId="0" xfId="0" applyNumberFormat="1" applyFont="1" applyFill="1" applyBorder="1" applyAlignment="1">
      <alignment horizontal="right" vertical="center"/>
    </xf>
    <xf numFmtId="188" fontId="3" fillId="2" borderId="0" xfId="0" applyNumberFormat="1" applyFont="1" applyFill="1" applyBorder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183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91" fontId="2" fillId="0" borderId="0" xfId="0" applyNumberFormat="1" applyFont="1" applyFill="1" applyBorder="1" applyAlignment="1">
      <alignment vertical="center"/>
    </xf>
    <xf numFmtId="0" fontId="2" fillId="0" borderId="0" xfId="0" quotePrefix="1" applyFont="1" applyFill="1" applyAlignment="1">
      <alignment vertical="center"/>
    </xf>
    <xf numFmtId="185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quotePrefix="1" applyFont="1" applyFill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193" fontId="2" fillId="0" borderId="0" xfId="0" quotePrefix="1" applyNumberFormat="1" applyFont="1" applyFill="1" applyAlignment="1">
      <alignment horizontal="left" vertical="center" wrapText="1"/>
    </xf>
    <xf numFmtId="185" fontId="3" fillId="0" borderId="0" xfId="0" applyNumberFormat="1" applyFont="1" applyFill="1" applyAlignment="1">
      <alignment horizontal="left" vertical="center"/>
    </xf>
    <xf numFmtId="185" fontId="3" fillId="0" borderId="0" xfId="0" applyNumberFormat="1" applyFont="1" applyFill="1" applyBorder="1" applyAlignment="1">
      <alignment horizontal="left" vertical="center"/>
    </xf>
    <xf numFmtId="193" fontId="2" fillId="0" borderId="0" xfId="0" quotePrefix="1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quotePrefix="1" applyFont="1" applyFill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183" fontId="2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189" fontId="3" fillId="0" borderId="0" xfId="0" applyNumberFormat="1" applyFont="1" applyFill="1" applyBorder="1" applyAlignment="1">
      <alignment horizontal="right" vertical="center"/>
    </xf>
    <xf numFmtId="189" fontId="3" fillId="0" borderId="0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NumberFormat="1" applyFont="1" applyFill="1" applyBorder="1" applyAlignment="1">
      <alignment horizontal="centerContinuous" vertical="center"/>
    </xf>
    <xf numFmtId="0" fontId="13" fillId="2" borderId="0" xfId="0" applyFont="1" applyFill="1" applyAlignment="1">
      <alignment vertical="center"/>
    </xf>
    <xf numFmtId="49" fontId="2" fillId="0" borderId="0" xfId="0" applyNumberFormat="1" applyFont="1" applyFill="1" applyAlignment="1">
      <alignment horizontal="left" vertical="center" wrapText="1"/>
    </xf>
    <xf numFmtId="190" fontId="3" fillId="0" borderId="0" xfId="0" quotePrefix="1" applyNumberFormat="1" applyFont="1" applyFill="1" applyAlignment="1">
      <alignment horizontal="left" vertical="center"/>
    </xf>
    <xf numFmtId="0" fontId="2" fillId="0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200" fontId="3" fillId="0" borderId="0" xfId="0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201" fontId="3" fillId="0" borderId="0" xfId="0" applyNumberFormat="1" applyFont="1" applyFill="1" applyBorder="1" applyAlignment="1">
      <alignment horizontal="left" vertical="center"/>
    </xf>
    <xf numFmtId="202" fontId="2" fillId="2" borderId="0" xfId="0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203" fontId="2" fillId="0" borderId="3" xfId="0" applyNumberFormat="1" applyFont="1" applyFill="1" applyBorder="1" applyAlignment="1">
      <alignment horizontal="left" vertical="center"/>
    </xf>
    <xf numFmtId="187" fontId="2" fillId="0" borderId="0" xfId="0" applyNumberFormat="1" applyFont="1" applyFill="1" applyBorder="1" applyAlignment="1">
      <alignment horizontal="right" vertical="center"/>
    </xf>
    <xf numFmtId="49" fontId="2" fillId="2" borderId="0" xfId="0" applyNumberFormat="1" applyFont="1" applyFill="1" applyAlignment="1">
      <alignment horizontal="left" vertical="center"/>
    </xf>
    <xf numFmtId="0" fontId="2" fillId="0" borderId="2" xfId="0" applyNumberFormat="1" applyFont="1" applyFill="1" applyBorder="1" applyAlignment="1">
      <alignment horizontal="left" vertical="center"/>
    </xf>
    <xf numFmtId="4" fontId="2" fillId="0" borderId="2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185" fontId="2" fillId="0" borderId="0" xfId="0" applyNumberFormat="1" applyFont="1" applyFill="1" applyBorder="1" applyAlignment="1">
      <alignment horizontal="right" vertical="center"/>
    </xf>
    <xf numFmtId="4" fontId="2" fillId="0" borderId="0" xfId="0" applyNumberFormat="1" applyFont="1" applyFill="1" applyBorder="1" applyAlignment="1">
      <alignment vertical="center"/>
    </xf>
    <xf numFmtId="197" fontId="2" fillId="0" borderId="0" xfId="0" applyNumberFormat="1" applyFont="1" applyFill="1" applyBorder="1" applyAlignment="1">
      <alignment vertical="center"/>
    </xf>
    <xf numFmtId="193" fontId="3" fillId="0" borderId="0" xfId="0" applyNumberFormat="1" applyFont="1" applyFill="1" applyAlignment="1">
      <alignment horizontal="left" vertical="center"/>
    </xf>
    <xf numFmtId="0" fontId="3" fillId="2" borderId="0" xfId="0" quotePrefix="1" applyFont="1" applyFill="1" applyBorder="1" applyAlignment="1">
      <alignment vertical="center"/>
    </xf>
    <xf numFmtId="0" fontId="2" fillId="2" borderId="0" xfId="0" quotePrefix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quotePrefix="1" applyFont="1" applyFill="1" applyAlignment="1">
      <alignment vertical="center"/>
    </xf>
    <xf numFmtId="0" fontId="0" fillId="0" borderId="0" xfId="0" applyBorder="1"/>
    <xf numFmtId="0" fontId="2" fillId="2" borderId="0" xfId="0" quotePrefix="1" applyFont="1" applyFill="1" applyBorder="1" applyAlignment="1">
      <alignment vertical="center"/>
    </xf>
    <xf numFmtId="0" fontId="23" fillId="0" borderId="0" xfId="0" applyFont="1"/>
    <xf numFmtId="0" fontId="5" fillId="2" borderId="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quotePrefix="1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188" fontId="3" fillId="0" borderId="0" xfId="0" applyNumberFormat="1" applyFont="1" applyFill="1" applyBorder="1" applyAlignment="1">
      <alignment horizontal="right" vertical="center"/>
    </xf>
    <xf numFmtId="188" fontId="2" fillId="0" borderId="0" xfId="0" applyNumberFormat="1" applyFont="1" applyFill="1" applyBorder="1" applyAlignment="1">
      <alignment horizontal="right" vertical="center"/>
    </xf>
    <xf numFmtId="185" fontId="2" fillId="0" borderId="2" xfId="0" applyNumberFormat="1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0" fillId="2" borderId="0" xfId="1" applyFill="1" applyAlignment="1" applyProtection="1">
      <alignment vertical="center"/>
    </xf>
    <xf numFmtId="0" fontId="19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0" fillId="0" borderId="0" xfId="0" applyFont="1"/>
    <xf numFmtId="0" fontId="20" fillId="2" borderId="0" xfId="0" applyFont="1" applyFill="1" applyAlignment="1">
      <alignment vertical="center"/>
    </xf>
    <xf numFmtId="188" fontId="2" fillId="2" borderId="2" xfId="0" applyNumberFormat="1" applyFont="1" applyFill="1" applyBorder="1" applyAlignment="1">
      <alignment vertical="center"/>
    </xf>
    <xf numFmtId="190" fontId="2" fillId="0" borderId="2" xfId="0" applyNumberFormat="1" applyFont="1" applyFill="1" applyBorder="1" applyAlignment="1">
      <alignment horizontal="right" vertical="center"/>
    </xf>
    <xf numFmtId="187" fontId="2" fillId="0" borderId="2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205" fontId="2" fillId="2" borderId="0" xfId="0" applyNumberFormat="1" applyFont="1" applyFill="1" applyAlignment="1">
      <alignment horizontal="left" vertical="center"/>
    </xf>
    <xf numFmtId="205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/>
    <xf numFmtId="195" fontId="2" fillId="0" borderId="0" xfId="0" applyNumberFormat="1" applyFont="1" applyFill="1" applyAlignment="1">
      <alignment vertical="center"/>
    </xf>
    <xf numFmtId="187" fontId="2" fillId="0" borderId="0" xfId="0" applyNumberFormat="1" applyFont="1" applyFill="1" applyBorder="1" applyAlignment="1">
      <alignment vertical="center"/>
    </xf>
    <xf numFmtId="199" fontId="3" fillId="2" borderId="0" xfId="0" applyNumberFormat="1" applyFont="1" applyFill="1" applyAlignment="1">
      <alignment horizontal="left" vertical="center"/>
    </xf>
    <xf numFmtId="183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19" fillId="2" borderId="0" xfId="0" quotePrefix="1" applyFont="1" applyFill="1" applyAlignment="1">
      <alignment vertical="center"/>
    </xf>
    <xf numFmtId="0" fontId="17" fillId="2" borderId="0" xfId="0" quotePrefix="1" applyFont="1" applyFill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210" fontId="2" fillId="0" borderId="0" xfId="0" applyNumberFormat="1" applyFont="1" applyFill="1" applyAlignment="1">
      <alignment horizontal="left" vertical="center"/>
    </xf>
    <xf numFmtId="217" fontId="2" fillId="2" borderId="0" xfId="0" applyNumberFormat="1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24" fillId="0" borderId="0" xfId="0" applyFont="1" applyFill="1"/>
    <xf numFmtId="183" fontId="2" fillId="0" borderId="2" xfId="0" applyNumberFormat="1" applyFont="1" applyFill="1" applyBorder="1" applyAlignment="1">
      <alignment horizontal="left" vertical="center"/>
    </xf>
    <xf numFmtId="184" fontId="2" fillId="0" borderId="2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190" fontId="3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/>
    <xf numFmtId="199" fontId="3" fillId="2" borderId="2" xfId="0" applyNumberFormat="1" applyFont="1" applyFill="1" applyBorder="1" applyAlignment="1">
      <alignment horizontal="left" vertical="center"/>
    </xf>
    <xf numFmtId="198" fontId="2" fillId="2" borderId="2" xfId="0" applyNumberFormat="1" applyFont="1" applyFill="1" applyBorder="1" applyAlignment="1">
      <alignment horizontal="center" vertical="center"/>
    </xf>
    <xf numFmtId="202" fontId="2" fillId="2" borderId="2" xfId="0" applyNumberFormat="1" applyFont="1" applyFill="1" applyBorder="1" applyAlignment="1">
      <alignment horizontal="center" vertical="center"/>
    </xf>
    <xf numFmtId="194" fontId="2" fillId="0" borderId="0" xfId="0" quotePrefix="1" applyNumberFormat="1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193" fontId="3" fillId="2" borderId="0" xfId="0" applyNumberFormat="1" applyFont="1" applyFill="1" applyBorder="1" applyAlignment="1">
      <alignment horizontal="left" vertical="center"/>
    </xf>
    <xf numFmtId="185" fontId="3" fillId="2" borderId="0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205" fontId="3" fillId="2" borderId="0" xfId="0" applyNumberFormat="1" applyFont="1" applyFill="1" applyBorder="1" applyAlignment="1">
      <alignment horizontal="left" vertical="center"/>
    </xf>
    <xf numFmtId="17" fontId="2" fillId="2" borderId="0" xfId="0" applyNumberFormat="1" applyFont="1" applyFill="1" applyBorder="1" applyAlignment="1">
      <alignment vertical="center"/>
    </xf>
    <xf numFmtId="185" fontId="2" fillId="2" borderId="0" xfId="0" applyNumberFormat="1" applyFont="1" applyFill="1" applyAlignment="1">
      <alignment horizontal="left" vertical="center"/>
    </xf>
    <xf numFmtId="0" fontId="2" fillId="0" borderId="8" xfId="0" applyFont="1" applyFill="1" applyBorder="1" applyAlignment="1">
      <alignment horizontal="left" vertical="center" wrapText="1"/>
    </xf>
    <xf numFmtId="193" fontId="3" fillId="2" borderId="0" xfId="0" applyNumberFormat="1" applyFont="1" applyFill="1" applyBorder="1" applyAlignment="1">
      <alignment horizontal="center" vertical="center"/>
    </xf>
    <xf numFmtId="190" fontId="2" fillId="2" borderId="0" xfId="0" applyNumberFormat="1" applyFont="1" applyFill="1" applyBorder="1" applyAlignment="1">
      <alignment horizontal="left" vertical="center"/>
    </xf>
    <xf numFmtId="202" fontId="3" fillId="2" borderId="0" xfId="0" applyNumberFormat="1" applyFont="1" applyFill="1" applyBorder="1" applyAlignment="1">
      <alignment horizontal="center" vertical="center"/>
    </xf>
    <xf numFmtId="201" fontId="3" fillId="2" borderId="0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vertical="center"/>
    </xf>
    <xf numFmtId="185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90" fontId="3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 wrapText="1"/>
    </xf>
    <xf numFmtId="16" fontId="2" fillId="2" borderId="0" xfId="0" applyNumberFormat="1" applyFont="1" applyFill="1" applyAlignment="1">
      <alignment horizontal="left" vertical="center"/>
    </xf>
    <xf numFmtId="17" fontId="2" fillId="2" borderId="0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vertical="center"/>
    </xf>
    <xf numFmtId="201" fontId="15" fillId="2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quotePrefix="1" applyNumberFormat="1" applyFont="1" applyFill="1" applyBorder="1" applyAlignment="1">
      <alignment horizontal="left" vertical="center" wrapText="1"/>
    </xf>
    <xf numFmtId="200" fontId="3" fillId="2" borderId="0" xfId="0" applyNumberFormat="1" applyFont="1" applyFill="1" applyBorder="1" applyAlignment="1">
      <alignment horizontal="left" vertical="center"/>
    </xf>
    <xf numFmtId="190" fontId="2" fillId="0" borderId="0" xfId="0" applyNumberFormat="1" applyFont="1" applyFill="1" applyBorder="1" applyAlignment="1">
      <alignment horizontal="right" vertical="center"/>
    </xf>
    <xf numFmtId="190" fontId="2" fillId="2" borderId="2" xfId="0" applyNumberFormat="1" applyFont="1" applyFill="1" applyBorder="1" applyAlignment="1">
      <alignment horizontal="right" vertical="center"/>
    </xf>
    <xf numFmtId="185" fontId="2" fillId="2" borderId="2" xfId="0" applyNumberFormat="1" applyFont="1" applyFill="1" applyBorder="1" applyAlignment="1">
      <alignment horizontal="center" vertical="center"/>
    </xf>
    <xf numFmtId="188" fontId="2" fillId="2" borderId="2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quotePrefix="1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185" fontId="2" fillId="0" borderId="2" xfId="0" applyNumberFormat="1" applyFont="1" applyFill="1" applyBorder="1" applyAlignment="1">
      <alignment vertical="center"/>
    </xf>
    <xf numFmtId="182" fontId="2" fillId="0" borderId="3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3" xfId="0" quotePrefix="1" applyNumberFormat="1" applyFont="1" applyFill="1" applyBorder="1" applyAlignment="1">
      <alignment horizontal="center" vertical="center"/>
    </xf>
    <xf numFmtId="49" fontId="2" fillId="0" borderId="4" xfId="0" quotePrefix="1" applyNumberFormat="1" applyFont="1" applyFill="1" applyBorder="1" applyAlignment="1">
      <alignment horizontal="center" vertical="center"/>
    </xf>
  </cellXfs>
  <cellStyles count="6">
    <cellStyle name="Hyperlink" xfId="1" builtinId="8"/>
    <cellStyle name="Normal" xfId="0" builtinId="0"/>
    <cellStyle name="콤마 [0]_laroux" xfId="2"/>
    <cellStyle name="콤마_laroux" xfId="3"/>
    <cellStyle name="표준 2" xfId="4"/>
    <cellStyle name="표준 3" xf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956-632-8100,%20FAX:956-632-8127" TargetMode="External"/><Relationship Id="rId1" Type="http://schemas.openxmlformats.org/officeDocument/2006/relationships/hyperlink" Target="tel:899-958-1443%20Ext.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showGridLines="0" showRowColHeaders="0" showZeros="0" showOutlineSymbols="0" topLeftCell="B10546" zoomScaleNormal="58" zoomScaleSheetLayoutView="70" workbookViewId="0"/>
  </sheetViews>
  <sheetFormatPr defaultRowHeight="12.7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FF00"/>
  </sheetPr>
  <dimension ref="A1:AE219"/>
  <sheetViews>
    <sheetView showGridLines="0" showZeros="0" tabSelected="1" zoomScaleNormal="100" zoomScaleSheetLayoutView="100" workbookViewId="0">
      <selection sqref="A1:X1"/>
    </sheetView>
  </sheetViews>
  <sheetFormatPr defaultRowHeight="17.25" customHeight="1"/>
  <cols>
    <col min="1" max="1" width="1.42578125" style="39" customWidth="1"/>
    <col min="2" max="2" width="7.5703125" style="39" customWidth="1"/>
    <col min="3" max="3" width="1.28515625" style="39" customWidth="1"/>
    <col min="4" max="4" width="8.28515625" style="39" customWidth="1"/>
    <col min="5" max="5" width="7.85546875" style="39" customWidth="1"/>
    <col min="6" max="6" width="0.7109375" style="39" customWidth="1"/>
    <col min="7" max="8" width="6.5703125" style="39" customWidth="1"/>
    <col min="9" max="9" width="9.140625" style="39" customWidth="1"/>
    <col min="10" max="10" width="1.28515625" style="39" customWidth="1"/>
    <col min="11" max="11" width="2.140625" style="39" customWidth="1"/>
    <col min="12" max="12" width="2" style="39" customWidth="1"/>
    <col min="13" max="13" width="24.28515625" style="39" customWidth="1"/>
    <col min="14" max="14" width="1.140625" style="39" customWidth="1"/>
    <col min="15" max="15" width="15.140625" style="39" customWidth="1"/>
    <col min="16" max="16" width="0.5703125" style="39" customWidth="1"/>
    <col min="17" max="17" width="14.85546875" style="39" customWidth="1"/>
    <col min="18" max="18" width="1" style="39" customWidth="1"/>
    <col min="19" max="19" width="13.140625" style="39" customWidth="1"/>
    <col min="20" max="20" width="1.7109375" style="39" customWidth="1"/>
    <col min="21" max="21" width="11.7109375" style="39" customWidth="1"/>
    <col min="22" max="22" width="1.5703125" style="39" customWidth="1"/>
    <col min="23" max="23" width="13.85546875" style="39" customWidth="1"/>
    <col min="24" max="24" width="1.7109375" style="39" customWidth="1"/>
    <col min="25" max="25" width="14.5703125" style="39" customWidth="1"/>
    <col min="26" max="26" width="1.42578125" style="39" customWidth="1"/>
    <col min="27" max="27" width="13.42578125" style="39" customWidth="1"/>
    <col min="28" max="28" width="9.140625" style="39"/>
    <col min="29" max="29" width="9.5703125" style="39" bestFit="1" customWidth="1"/>
    <col min="30" max="16384" width="9.140625" style="39"/>
  </cols>
  <sheetData>
    <row r="1" spans="1:26" ht="34.5" customHeight="1">
      <c r="A1" s="218" t="s">
        <v>86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</row>
    <row r="2" spans="1:26" ht="14.25" customHeight="1">
      <c r="A2" s="9" t="s">
        <v>18</v>
      </c>
      <c r="B2" s="40"/>
      <c r="C2" s="40"/>
      <c r="D2" s="40"/>
      <c r="E2" s="40"/>
      <c r="F2" s="40"/>
      <c r="G2" s="40"/>
      <c r="H2" s="40"/>
      <c r="I2" s="117"/>
      <c r="J2" s="118" t="s">
        <v>1</v>
      </c>
      <c r="K2" s="118"/>
      <c r="L2" s="118"/>
      <c r="M2" s="118"/>
      <c r="N2" s="118"/>
      <c r="O2" s="118"/>
      <c r="P2" s="118"/>
      <c r="Q2" s="118"/>
      <c r="R2" s="9"/>
      <c r="S2" s="9"/>
      <c r="W2" s="40"/>
      <c r="X2" s="40"/>
    </row>
    <row r="3" spans="1:26" ht="14.25" customHeight="1">
      <c r="B3" s="106" t="s">
        <v>30</v>
      </c>
      <c r="C3" s="124"/>
      <c r="D3" s="125"/>
      <c r="E3" s="125"/>
      <c r="H3" s="40"/>
      <c r="I3" s="117"/>
      <c r="J3" s="78"/>
      <c r="K3" s="234"/>
      <c r="L3" s="234"/>
      <c r="M3" s="234"/>
      <c r="N3" s="78"/>
      <c r="O3" s="85"/>
      <c r="P3" s="78"/>
      <c r="Q3" s="78"/>
      <c r="S3" s="33"/>
      <c r="T3" s="33"/>
      <c r="U3" s="33"/>
      <c r="V3" s="33"/>
      <c r="W3" s="190"/>
      <c r="X3" s="33"/>
    </row>
    <row r="4" spans="1:26" ht="14.25" customHeight="1">
      <c r="B4" s="109" t="s">
        <v>45</v>
      </c>
      <c r="C4" s="125"/>
      <c r="D4" s="125"/>
      <c r="E4" s="125"/>
      <c r="H4" s="40"/>
      <c r="I4" s="117"/>
      <c r="J4" s="119" t="s">
        <v>11</v>
      </c>
      <c r="K4" s="119"/>
      <c r="L4" s="119"/>
      <c r="M4" s="119"/>
      <c r="N4" s="119"/>
      <c r="O4" s="119"/>
      <c r="P4" s="119"/>
      <c r="Q4" s="119"/>
      <c r="R4" s="12"/>
      <c r="S4" s="9"/>
    </row>
    <row r="5" spans="1:26" ht="14.25" customHeight="1">
      <c r="B5" s="109" t="s">
        <v>48</v>
      </c>
      <c r="C5" s="125"/>
      <c r="D5" s="125"/>
      <c r="E5" s="125"/>
      <c r="H5" s="40"/>
      <c r="I5" s="117"/>
      <c r="J5" s="118"/>
      <c r="K5" s="8" t="s">
        <v>33</v>
      </c>
      <c r="L5" s="118"/>
      <c r="M5" s="118"/>
      <c r="N5" s="118"/>
      <c r="O5" s="118"/>
      <c r="P5" s="118"/>
      <c r="Q5" s="118"/>
      <c r="R5" s="9"/>
      <c r="S5" s="9"/>
    </row>
    <row r="6" spans="1:26" ht="14.25" customHeight="1">
      <c r="B6" s="109" t="s">
        <v>31</v>
      </c>
      <c r="C6" s="127"/>
      <c r="D6" s="126"/>
      <c r="E6" s="126"/>
      <c r="H6" s="40"/>
      <c r="I6" s="117"/>
      <c r="J6" s="8"/>
      <c r="K6" s="109" t="s">
        <v>29</v>
      </c>
      <c r="L6" s="109"/>
      <c r="M6" s="109"/>
      <c r="N6" s="109"/>
      <c r="O6" s="109"/>
      <c r="P6" s="8"/>
      <c r="Q6" s="8"/>
      <c r="S6" s="40"/>
    </row>
    <row r="7" spans="1:26" s="109" customFormat="1" ht="14.25" customHeight="1">
      <c r="B7" s="109" t="s">
        <v>32</v>
      </c>
      <c r="C7" s="127"/>
      <c r="D7" s="126"/>
      <c r="E7" s="126"/>
      <c r="H7" s="110"/>
      <c r="I7" s="117"/>
      <c r="J7" s="121" t="s">
        <v>34</v>
      </c>
      <c r="K7" s="119"/>
      <c r="L7" s="119"/>
      <c r="M7" s="119"/>
      <c r="N7" s="119"/>
      <c r="O7" s="119"/>
      <c r="P7" s="119"/>
      <c r="Q7" s="119"/>
      <c r="R7" s="12"/>
      <c r="S7" s="12"/>
      <c r="T7" s="11"/>
      <c r="U7" s="11"/>
      <c r="V7" s="11"/>
      <c r="W7" s="11"/>
      <c r="X7" s="11"/>
    </row>
    <row r="8" spans="1:26" ht="14.25" customHeight="1">
      <c r="A8" s="33"/>
      <c r="B8" s="13" t="s">
        <v>89</v>
      </c>
      <c r="C8" s="33"/>
      <c r="D8" s="33"/>
      <c r="E8" s="33"/>
      <c r="F8" s="33"/>
      <c r="G8" s="33"/>
      <c r="H8" s="33"/>
      <c r="I8" s="120"/>
      <c r="J8" s="123"/>
      <c r="K8" s="78"/>
      <c r="L8" s="78"/>
      <c r="M8" s="78"/>
      <c r="N8" s="78"/>
      <c r="O8" s="78"/>
      <c r="P8" s="78"/>
      <c r="Q8" s="78"/>
      <c r="R8" s="33"/>
      <c r="S8" s="33"/>
      <c r="T8" s="33"/>
      <c r="U8" s="33"/>
      <c r="V8" s="33"/>
      <c r="W8" s="33"/>
      <c r="X8" s="33"/>
    </row>
    <row r="9" spans="1:26" ht="14.25" customHeight="1">
      <c r="A9" s="12" t="s">
        <v>2</v>
      </c>
      <c r="B9" s="11"/>
      <c r="C9" s="11"/>
      <c r="D9" s="11"/>
      <c r="E9" s="11"/>
      <c r="F9" s="11"/>
      <c r="G9" s="11"/>
      <c r="H9" s="11"/>
      <c r="I9" s="122"/>
      <c r="J9" s="121" t="s">
        <v>75</v>
      </c>
      <c r="K9" s="66"/>
      <c r="L9" s="66"/>
      <c r="M9" s="66"/>
      <c r="N9" s="66"/>
      <c r="O9" s="155"/>
      <c r="P9" s="155"/>
      <c r="Q9" s="155"/>
      <c r="R9" s="66"/>
      <c r="S9" s="155"/>
      <c r="T9" s="155"/>
      <c r="U9" s="156"/>
      <c r="V9" s="155"/>
      <c r="W9" s="156"/>
      <c r="X9" s="66"/>
    </row>
    <row r="10" spans="1:26" ht="14.25" customHeight="1">
      <c r="B10" s="158" t="s">
        <v>56</v>
      </c>
      <c r="C10" s="153"/>
      <c r="D10" s="153"/>
      <c r="E10" s="153"/>
      <c r="F10" s="153"/>
      <c r="G10" s="153"/>
      <c r="H10" s="153"/>
      <c r="I10" s="117"/>
      <c r="J10" s="8"/>
      <c r="K10" s="182" t="s">
        <v>56</v>
      </c>
      <c r="L10" s="109"/>
      <c r="M10" s="8"/>
      <c r="N10" s="47"/>
      <c r="O10" s="54"/>
      <c r="P10" s="54"/>
      <c r="Q10" s="57"/>
      <c r="R10" s="6"/>
      <c r="S10" s="54"/>
      <c r="T10" s="54"/>
      <c r="U10" s="57"/>
      <c r="V10" s="54"/>
      <c r="W10" s="54"/>
      <c r="X10" s="54"/>
    </row>
    <row r="11" spans="1:26" ht="14.25" customHeight="1">
      <c r="B11" s="154" t="s">
        <v>57</v>
      </c>
      <c r="C11" s="153"/>
      <c r="D11" s="153"/>
      <c r="E11" s="153"/>
      <c r="F11" s="153"/>
      <c r="G11" s="153"/>
      <c r="H11" s="153"/>
      <c r="I11" s="117"/>
      <c r="J11" s="40"/>
      <c r="K11" s="157" t="s">
        <v>50</v>
      </c>
      <c r="L11" s="8"/>
      <c r="N11" s="47"/>
      <c r="O11" s="8"/>
      <c r="P11" s="8"/>
      <c r="Q11" s="8"/>
      <c r="R11" s="8"/>
      <c r="S11" s="8"/>
    </row>
    <row r="12" spans="1:26" ht="14.25" customHeight="1">
      <c r="B12" s="153" t="s">
        <v>58</v>
      </c>
      <c r="C12" s="153"/>
      <c r="D12" s="153"/>
      <c r="E12" s="153"/>
      <c r="F12" s="153"/>
      <c r="G12" s="153"/>
      <c r="H12" s="153"/>
      <c r="I12" s="117"/>
      <c r="J12" s="40"/>
      <c r="K12" s="157" t="s">
        <v>51</v>
      </c>
      <c r="N12" s="18"/>
      <c r="O12" s="151"/>
    </row>
    <row r="13" spans="1:26" ht="16.5" customHeight="1">
      <c r="B13" s="8" t="s">
        <v>59</v>
      </c>
      <c r="C13" s="153"/>
      <c r="D13" s="153"/>
      <c r="E13" s="153"/>
      <c r="F13" s="153"/>
      <c r="G13" s="153"/>
      <c r="H13" s="153"/>
      <c r="I13" s="117"/>
      <c r="J13" s="40"/>
      <c r="K13" s="157" t="s">
        <v>52</v>
      </c>
      <c r="N13" s="18"/>
      <c r="O13" s="87"/>
      <c r="Z13" s="58"/>
    </row>
    <row r="14" spans="1:26" ht="14.25" customHeight="1">
      <c r="A14" s="109"/>
      <c r="B14" s="8" t="s">
        <v>60</v>
      </c>
      <c r="C14" s="153"/>
      <c r="D14" s="153"/>
      <c r="E14" s="153"/>
      <c r="F14" s="153"/>
      <c r="G14" s="153"/>
      <c r="H14" s="153"/>
      <c r="I14" s="117"/>
      <c r="Y14" s="57"/>
      <c r="Z14" s="57"/>
    </row>
    <row r="15" spans="1:26" ht="15" customHeight="1">
      <c r="B15" s="8" t="s">
        <v>61</v>
      </c>
      <c r="C15" s="153"/>
      <c r="D15" s="153"/>
      <c r="E15" s="153"/>
      <c r="F15" s="153"/>
      <c r="G15" s="153"/>
      <c r="H15" s="153"/>
      <c r="I15" s="117"/>
      <c r="J15" s="121" t="s">
        <v>76</v>
      </c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156"/>
      <c r="X15" s="66"/>
      <c r="Y15" s="45"/>
      <c r="Z15" s="113"/>
    </row>
    <row r="16" spans="1:26" ht="14.25" customHeight="1">
      <c r="B16" s="8" t="s">
        <v>62</v>
      </c>
      <c r="C16" s="153"/>
      <c r="D16" s="153"/>
      <c r="E16" s="153"/>
      <c r="F16" s="153"/>
      <c r="G16" s="153"/>
      <c r="H16" s="153"/>
      <c r="I16" s="117"/>
      <c r="J16" s="8"/>
      <c r="K16" s="47" t="s">
        <v>20</v>
      </c>
      <c r="L16" s="8" t="s">
        <v>21</v>
      </c>
      <c r="M16" s="8"/>
      <c r="N16" s="47" t="s">
        <v>22</v>
      </c>
      <c r="O16" s="111" t="s">
        <v>85</v>
      </c>
      <c r="P16" s="109"/>
      <c r="Q16" s="111"/>
      <c r="R16" s="49"/>
      <c r="S16" s="111"/>
      <c r="T16" s="109"/>
      <c r="U16" s="111"/>
      <c r="W16" s="111"/>
      <c r="X16" s="49"/>
      <c r="Y16" s="56"/>
      <c r="Z16" s="56"/>
    </row>
    <row r="17" spans="1:27" ht="14.25" customHeight="1">
      <c r="I17" s="34"/>
      <c r="K17" s="18" t="s">
        <v>20</v>
      </c>
      <c r="L17" s="39" t="s">
        <v>13</v>
      </c>
      <c r="N17" s="18" t="s">
        <v>12</v>
      </c>
      <c r="O17" s="136" t="s">
        <v>84</v>
      </c>
      <c r="P17" s="109"/>
      <c r="Q17" s="136"/>
      <c r="R17" s="137"/>
      <c r="S17" s="90"/>
      <c r="T17" s="138"/>
      <c r="U17" s="137"/>
      <c r="W17" s="136"/>
      <c r="X17" s="49"/>
      <c r="Y17" s="80"/>
      <c r="Z17" s="80"/>
    </row>
    <row r="18" spans="1:27" ht="14.25" customHeight="1">
      <c r="B18" s="128"/>
      <c r="C18" s="75"/>
      <c r="D18" s="75"/>
      <c r="E18" s="75"/>
      <c r="F18" s="75"/>
      <c r="G18" s="75"/>
      <c r="H18" s="75"/>
      <c r="I18" s="34"/>
      <c r="K18" s="18" t="s">
        <v>20</v>
      </c>
      <c r="L18" s="39" t="s">
        <v>19</v>
      </c>
      <c r="N18" s="18" t="s">
        <v>12</v>
      </c>
      <c r="O18" s="137" t="s">
        <v>43</v>
      </c>
      <c r="P18" s="109"/>
      <c r="Q18" s="136"/>
      <c r="S18" s="137"/>
      <c r="T18" s="138"/>
      <c r="U18" s="136"/>
      <c r="W18" s="136"/>
      <c r="X18" s="49"/>
      <c r="Y18" s="8"/>
      <c r="Z18" s="8"/>
      <c r="AA18" s="8"/>
    </row>
    <row r="19" spans="1:27" ht="14.25" customHeight="1">
      <c r="A19" s="12" t="s">
        <v>3</v>
      </c>
      <c r="B19" s="11"/>
      <c r="C19" s="11"/>
      <c r="D19" s="11"/>
      <c r="E19" s="11"/>
      <c r="F19" s="11"/>
      <c r="G19" s="11"/>
      <c r="H19" s="11"/>
      <c r="I19" s="10"/>
      <c r="K19" s="18" t="s">
        <v>20</v>
      </c>
      <c r="L19" s="39" t="s">
        <v>14</v>
      </c>
      <c r="N19" s="18" t="s">
        <v>12</v>
      </c>
      <c r="O19" s="188" t="s">
        <v>90</v>
      </c>
      <c r="P19" s="8"/>
      <c r="Q19" s="187"/>
      <c r="S19" s="137"/>
      <c r="U19" s="186"/>
      <c r="W19" s="188"/>
      <c r="X19" s="1"/>
      <c r="Y19" s="111"/>
      <c r="Z19" s="111"/>
      <c r="AA19" s="111"/>
    </row>
    <row r="20" spans="1:27" ht="14.25" customHeight="1">
      <c r="B20" s="227" t="s">
        <v>79</v>
      </c>
      <c r="C20" s="227"/>
      <c r="D20" s="227"/>
      <c r="E20" s="227"/>
      <c r="F20" s="227"/>
      <c r="G20" s="227"/>
      <c r="H20" s="227"/>
      <c r="I20" s="228"/>
      <c r="J20" s="17"/>
      <c r="O20" s="7">
        <v>4</v>
      </c>
      <c r="P20" s="8"/>
      <c r="Q20" s="146"/>
      <c r="S20" s="7"/>
      <c r="U20" s="61"/>
      <c r="W20" s="61"/>
      <c r="X20" s="65"/>
      <c r="Y20" s="53"/>
      <c r="Z20" s="53"/>
      <c r="AA20" s="53"/>
    </row>
    <row r="21" spans="1:27" ht="14.25" customHeight="1">
      <c r="B21" s="229" t="s">
        <v>80</v>
      </c>
      <c r="C21" s="229"/>
      <c r="D21" s="229"/>
      <c r="E21" s="229"/>
      <c r="F21" s="229"/>
      <c r="G21" s="229"/>
      <c r="H21" s="229"/>
      <c r="I21" s="230"/>
      <c r="K21" s="18" t="s">
        <v>20</v>
      </c>
      <c r="L21" s="39" t="s">
        <v>15</v>
      </c>
      <c r="N21" s="18" t="s">
        <v>12</v>
      </c>
      <c r="O21" s="90">
        <v>66</v>
      </c>
      <c r="P21" s="8"/>
      <c r="Q21" s="147"/>
      <c r="S21" s="90"/>
      <c r="U21" s="24"/>
      <c r="W21" s="24"/>
      <c r="X21" s="54"/>
      <c r="Y21" s="53"/>
      <c r="Z21" s="53"/>
      <c r="AA21" s="53"/>
    </row>
    <row r="22" spans="1:27" ht="15" customHeight="1">
      <c r="B22" s="216" t="s">
        <v>81</v>
      </c>
      <c r="C22" s="216"/>
      <c r="D22" s="216"/>
      <c r="E22" s="216"/>
      <c r="F22" s="216"/>
      <c r="G22" s="216"/>
      <c r="H22" s="216"/>
      <c r="I22" s="225"/>
      <c r="K22" s="18" t="s">
        <v>20</v>
      </c>
      <c r="L22" s="39" t="s">
        <v>16</v>
      </c>
      <c r="N22" s="18" t="s">
        <v>12</v>
      </c>
      <c r="O22" s="90" t="s">
        <v>91</v>
      </c>
      <c r="P22" s="8"/>
      <c r="Q22" s="90"/>
      <c r="S22" s="90"/>
      <c r="U22" s="184"/>
      <c r="W22" s="189"/>
      <c r="X22" s="45"/>
      <c r="Y22" s="76"/>
      <c r="Z22" s="76"/>
      <c r="AA22" s="76"/>
    </row>
    <row r="23" spans="1:27" ht="14.25" customHeight="1">
      <c r="B23" s="216" t="s">
        <v>82</v>
      </c>
      <c r="C23" s="216"/>
      <c r="D23" s="216"/>
      <c r="E23" s="216"/>
      <c r="F23" s="216"/>
      <c r="G23" s="216"/>
      <c r="H23" s="216"/>
      <c r="I23" s="225"/>
      <c r="K23" s="18" t="s">
        <v>20</v>
      </c>
      <c r="L23" s="39" t="s">
        <v>17</v>
      </c>
      <c r="N23" s="18" t="s">
        <v>12</v>
      </c>
      <c r="O23" s="4">
        <v>126</v>
      </c>
      <c r="P23" s="8"/>
      <c r="Q23" s="4"/>
      <c r="S23" s="4"/>
      <c r="U23" s="4"/>
      <c r="W23" s="4"/>
      <c r="X23" s="55"/>
      <c r="Y23" s="46"/>
      <c r="Z23" s="46"/>
      <c r="AA23" s="46"/>
    </row>
    <row r="24" spans="1:27" ht="14.25" customHeight="1">
      <c r="A24" s="110"/>
      <c r="B24" s="226" t="s">
        <v>83</v>
      </c>
      <c r="C24" s="226"/>
      <c r="D24" s="226"/>
      <c r="E24" s="226"/>
      <c r="F24" s="226"/>
      <c r="G24" s="226"/>
      <c r="H24" s="226"/>
      <c r="I24" s="225"/>
      <c r="K24" s="81" t="s">
        <v>27</v>
      </c>
      <c r="L24" s="39" t="s">
        <v>25</v>
      </c>
      <c r="N24" s="18" t="s">
        <v>26</v>
      </c>
      <c r="O24" s="141">
        <f>O20*32</f>
        <v>128</v>
      </c>
      <c r="P24" s="8"/>
      <c r="Q24" s="141"/>
      <c r="S24" s="141"/>
      <c r="U24" s="141"/>
      <c r="W24" s="141"/>
      <c r="X24" s="55"/>
      <c r="Y24" s="54"/>
      <c r="Z24" s="54"/>
      <c r="AA24" s="54"/>
    </row>
    <row r="25" spans="1:27" s="109" customFormat="1" ht="14.25" customHeight="1">
      <c r="A25" s="110"/>
      <c r="B25" s="216" t="s">
        <v>53</v>
      </c>
      <c r="C25" s="216"/>
      <c r="D25" s="216"/>
      <c r="E25" s="216"/>
      <c r="F25" s="216"/>
      <c r="G25" s="216"/>
      <c r="H25" s="216"/>
      <c r="I25" s="225"/>
      <c r="K25" s="196"/>
      <c r="L25" s="197"/>
      <c r="M25" s="197"/>
      <c r="N25" s="198"/>
      <c r="O25" s="76"/>
      <c r="P25" s="199"/>
      <c r="Q25" s="76"/>
      <c r="R25" s="197"/>
      <c r="S25" s="76"/>
      <c r="T25" s="197"/>
      <c r="U25" s="76"/>
      <c r="V25" s="197"/>
      <c r="W25" s="76"/>
      <c r="X25" s="200"/>
      <c r="Y25" s="54"/>
      <c r="Z25" s="54"/>
      <c r="AA25" s="54"/>
    </row>
    <row r="26" spans="1:27" s="109" customFormat="1" ht="12.75" customHeight="1">
      <c r="A26" s="33"/>
      <c r="B26" s="231"/>
      <c r="C26" s="231"/>
      <c r="D26" s="231"/>
      <c r="E26" s="231"/>
      <c r="F26" s="231"/>
      <c r="G26" s="231"/>
      <c r="H26" s="231"/>
      <c r="I26" s="232"/>
      <c r="J26" s="8"/>
      <c r="K26" s="199"/>
      <c r="L26" s="199"/>
      <c r="M26" s="199"/>
      <c r="N26" s="199"/>
      <c r="O26" s="87"/>
      <c r="P26" s="201"/>
      <c r="Q26" s="202"/>
      <c r="R26" s="203"/>
      <c r="S26" s="76"/>
      <c r="T26" s="197"/>
      <c r="U26" s="87"/>
      <c r="V26" s="199"/>
      <c r="W26" s="199"/>
      <c r="X26" s="204"/>
      <c r="Y26" s="205"/>
      <c r="Z26" s="80"/>
      <c r="AA26" s="80"/>
    </row>
    <row r="27" spans="1:27" ht="14.25" customHeight="1">
      <c r="A27" s="17" t="s">
        <v>4</v>
      </c>
      <c r="C27" s="40"/>
      <c r="D27" s="40"/>
      <c r="E27" s="34"/>
      <c r="F27" s="19" t="s">
        <v>5</v>
      </c>
      <c r="G27" s="9"/>
      <c r="H27" s="9"/>
      <c r="I27" s="20"/>
      <c r="J27" s="8"/>
      <c r="K27" s="47" t="s">
        <v>39</v>
      </c>
      <c r="L27" s="8" t="s">
        <v>40</v>
      </c>
      <c r="M27" s="8"/>
      <c r="N27" s="47" t="s">
        <v>9</v>
      </c>
      <c r="O27" s="53"/>
      <c r="P27" s="112"/>
      <c r="Q27" s="111"/>
      <c r="R27" s="111"/>
      <c r="S27" s="111"/>
      <c r="T27" s="49"/>
      <c r="U27" s="111"/>
      <c r="V27" s="49"/>
      <c r="W27" s="111"/>
      <c r="X27" s="111"/>
    </row>
    <row r="28" spans="1:27" ht="14.25" customHeight="1">
      <c r="A28" s="33"/>
      <c r="B28" s="214" t="s">
        <v>36</v>
      </c>
      <c r="C28" s="214"/>
      <c r="D28" s="214"/>
      <c r="E28" s="215"/>
      <c r="F28" s="33"/>
      <c r="G28" s="214" t="s">
        <v>49</v>
      </c>
      <c r="H28" s="214"/>
      <c r="I28" s="215"/>
      <c r="J28" s="8"/>
      <c r="K28" s="47" t="s">
        <v>39</v>
      </c>
      <c r="L28" s="185" t="s">
        <v>92</v>
      </c>
      <c r="M28" s="8"/>
      <c r="N28" s="47" t="s">
        <v>9</v>
      </c>
      <c r="O28" s="219"/>
      <c r="P28" s="220"/>
      <c r="Q28" s="220"/>
      <c r="R28" s="53"/>
      <c r="S28" s="8"/>
      <c r="T28" s="8"/>
      <c r="U28" s="53"/>
      <c r="V28" s="45"/>
      <c r="W28" s="53"/>
      <c r="X28" s="53"/>
      <c r="Y28" s="8"/>
      <c r="Z28" s="8"/>
    </row>
    <row r="29" spans="1:27" ht="14.25" customHeight="1">
      <c r="A29" s="17" t="s">
        <v>6</v>
      </c>
      <c r="C29" s="40"/>
      <c r="D29" s="40"/>
      <c r="E29" s="34"/>
      <c r="F29" s="22" t="s">
        <v>7</v>
      </c>
      <c r="G29" s="9"/>
      <c r="H29" s="9"/>
      <c r="I29" s="20"/>
      <c r="J29" s="8"/>
      <c r="K29" s="47" t="s">
        <v>39</v>
      </c>
      <c r="L29" s="109" t="s">
        <v>54</v>
      </c>
      <c r="M29" s="8"/>
      <c r="N29" s="47" t="s">
        <v>9</v>
      </c>
      <c r="O29" s="53" t="s">
        <v>35</v>
      </c>
      <c r="P29" s="45"/>
      <c r="Q29" s="53"/>
      <c r="R29" s="53"/>
      <c r="S29" s="53"/>
      <c r="T29" s="8"/>
      <c r="U29" s="53"/>
      <c r="V29" s="45"/>
      <c r="W29" s="53"/>
      <c r="X29" s="53"/>
      <c r="Y29" s="8"/>
      <c r="Z29" s="8"/>
    </row>
    <row r="30" spans="1:27" ht="12.75">
      <c r="A30" s="222"/>
      <c r="B30" s="223"/>
      <c r="C30" s="223"/>
      <c r="D30" s="223"/>
      <c r="E30" s="224"/>
      <c r="F30" s="150"/>
      <c r="G30" s="235"/>
      <c r="H30" s="236"/>
      <c r="I30" s="237"/>
      <c r="J30" s="8"/>
      <c r="K30" s="47" t="s">
        <v>39</v>
      </c>
      <c r="L30" s="109" t="s">
        <v>55</v>
      </c>
      <c r="M30" s="8"/>
      <c r="N30" s="47" t="s">
        <v>9</v>
      </c>
      <c r="O30" s="166" t="s">
        <v>42</v>
      </c>
      <c r="P30" s="59"/>
      <c r="Q30" s="58"/>
      <c r="R30" s="2"/>
      <c r="S30" s="64"/>
      <c r="T30" s="64"/>
      <c r="U30" s="64"/>
      <c r="V30" s="59"/>
      <c r="W30" s="58"/>
      <c r="X30" s="8"/>
    </row>
    <row r="31" spans="1:27" ht="15" customHeight="1">
      <c r="A31" s="12" t="s">
        <v>63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2"/>
      <c r="S31" s="12"/>
      <c r="T31" s="11"/>
      <c r="U31" s="11"/>
      <c r="V31" s="11"/>
      <c r="W31" s="11"/>
      <c r="X31" s="11"/>
    </row>
    <row r="32" spans="1:27" ht="15" customHeight="1"/>
    <row r="33" spans="1:25" ht="15" customHeight="1">
      <c r="A33" s="221" t="s">
        <v>64</v>
      </c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</row>
    <row r="34" spans="1:25" ht="15" customHeight="1">
      <c r="A34" s="18"/>
      <c r="B34" s="37"/>
      <c r="C34" s="37"/>
      <c r="D34" s="3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47"/>
      <c r="P34" s="47"/>
      <c r="Q34" s="47"/>
      <c r="R34" s="47"/>
      <c r="S34" s="47"/>
      <c r="T34" s="47"/>
      <c r="U34" s="47"/>
      <c r="V34" s="47"/>
      <c r="W34" s="47"/>
    </row>
    <row r="35" spans="1:25" s="8" customFormat="1" ht="15" customHeight="1">
      <c r="E35" s="139" t="s">
        <v>88</v>
      </c>
      <c r="F35" s="139"/>
      <c r="G35" s="142"/>
      <c r="H35" s="142"/>
      <c r="I35" s="142"/>
      <c r="J35" s="139"/>
      <c r="K35" s="139"/>
      <c r="L35" s="139"/>
      <c r="M35" s="50">
        <v>64512</v>
      </c>
      <c r="N35" s="139"/>
      <c r="O35" s="143">
        <v>0.54790000000000005</v>
      </c>
      <c r="P35" s="139"/>
      <c r="Q35" s="139"/>
      <c r="R35" s="139"/>
      <c r="S35" s="86">
        <f>ROUND(M35*O35,2)</f>
        <v>35346.120000000003</v>
      </c>
      <c r="T35" s="86"/>
      <c r="U35" s="86"/>
      <c r="V35" s="86"/>
      <c r="W35" s="86"/>
      <c r="Y35" s="185"/>
    </row>
    <row r="36" spans="1:25" s="8" customFormat="1" ht="15" customHeight="1">
      <c r="E36" s="138" t="s">
        <v>44</v>
      </c>
      <c r="F36" s="139"/>
      <c r="G36" s="142"/>
      <c r="H36" s="142"/>
      <c r="I36" s="142"/>
      <c r="J36" s="139"/>
      <c r="K36" s="139"/>
      <c r="L36" s="139"/>
      <c r="M36" s="50"/>
      <c r="N36" s="139"/>
      <c r="O36" s="143"/>
      <c r="P36" s="139"/>
      <c r="Q36" s="139"/>
      <c r="R36" s="139"/>
      <c r="S36" s="144"/>
      <c r="T36" s="86"/>
      <c r="U36" s="86"/>
      <c r="V36" s="86"/>
      <c r="W36" s="86"/>
      <c r="Y36" s="185"/>
    </row>
    <row r="37" spans="1:25" s="8" customFormat="1" ht="15" customHeight="1">
      <c r="E37" s="138"/>
      <c r="F37" s="139"/>
      <c r="G37" s="142"/>
      <c r="H37" s="142"/>
      <c r="I37" s="142"/>
      <c r="J37" s="139"/>
      <c r="K37" s="139"/>
      <c r="L37" s="139"/>
      <c r="M37" s="50"/>
      <c r="N37" s="139"/>
      <c r="O37" s="143"/>
      <c r="P37" s="139"/>
      <c r="Q37" s="139"/>
      <c r="R37" s="139"/>
      <c r="S37" s="144"/>
      <c r="T37" s="86"/>
      <c r="U37" s="86"/>
      <c r="V37" s="86"/>
      <c r="W37" s="86"/>
    </row>
    <row r="38" spans="1:25" ht="15" customHeight="1">
      <c r="B38" s="35"/>
      <c r="D38" s="51"/>
      <c r="E38" s="88" t="s">
        <v>23</v>
      </c>
      <c r="F38" s="66"/>
      <c r="G38" s="66"/>
      <c r="H38" s="66"/>
      <c r="I38" s="66"/>
      <c r="J38" s="233"/>
      <c r="K38" s="233"/>
      <c r="L38" s="233"/>
      <c r="M38" s="233"/>
      <c r="N38" s="233"/>
      <c r="O38" s="116"/>
      <c r="P38" s="89"/>
      <c r="Q38" s="135"/>
      <c r="R38" s="135"/>
      <c r="S38" s="135"/>
      <c r="T38" s="135"/>
      <c r="U38" s="135"/>
      <c r="V38" s="135"/>
      <c r="W38" s="135"/>
      <c r="X38" s="11"/>
    </row>
    <row r="39" spans="1:25" ht="15" customHeight="1">
      <c r="A39" s="100" t="s">
        <v>37</v>
      </c>
      <c r="B39" s="35"/>
      <c r="D39" s="51"/>
      <c r="E39" s="90"/>
      <c r="F39" s="51"/>
      <c r="G39" s="51"/>
      <c r="H39" s="51"/>
      <c r="I39" s="51"/>
      <c r="J39" s="91"/>
      <c r="K39" s="91"/>
      <c r="L39" s="91"/>
      <c r="M39" s="91"/>
      <c r="N39" s="91"/>
      <c r="O39" s="51"/>
      <c r="P39" s="92"/>
      <c r="Q39" s="92"/>
      <c r="R39" s="86"/>
      <c r="S39" s="48"/>
      <c r="T39" s="48"/>
      <c r="U39" s="93"/>
      <c r="V39" s="48"/>
      <c r="W39" s="48"/>
      <c r="X39" s="40"/>
    </row>
    <row r="40" spans="1:25" ht="15" customHeight="1">
      <c r="A40" s="35" t="s">
        <v>10</v>
      </c>
      <c r="B40" s="35"/>
      <c r="D40" s="51"/>
      <c r="E40" s="90"/>
      <c r="F40" s="51"/>
      <c r="G40" s="51"/>
      <c r="H40" s="51"/>
      <c r="I40" s="51"/>
      <c r="J40" s="91"/>
      <c r="K40" s="91"/>
      <c r="L40" s="91"/>
      <c r="M40" s="91"/>
      <c r="N40" s="91"/>
      <c r="O40" s="51"/>
      <c r="P40" s="92"/>
      <c r="Q40" s="92"/>
      <c r="R40" s="86"/>
      <c r="S40" s="48"/>
      <c r="T40" s="48"/>
      <c r="U40" s="93"/>
      <c r="V40" s="48"/>
      <c r="W40" s="48"/>
    </row>
    <row r="41" spans="1:25" ht="15" customHeight="1">
      <c r="A41" s="35"/>
      <c r="B41" s="35"/>
      <c r="D41" s="40"/>
      <c r="E41" s="24"/>
      <c r="F41" s="40"/>
      <c r="G41" s="40"/>
      <c r="H41" s="40"/>
      <c r="I41" s="40"/>
      <c r="J41" s="25"/>
      <c r="K41" s="25"/>
      <c r="L41" s="25"/>
      <c r="M41" s="25"/>
      <c r="N41" s="25"/>
      <c r="O41" s="40"/>
      <c r="P41" s="26"/>
      <c r="Q41" s="26"/>
      <c r="R41" s="43"/>
      <c r="S41" s="36"/>
      <c r="T41" s="36"/>
      <c r="U41" s="36"/>
      <c r="V41" s="36"/>
      <c r="W41" s="36"/>
    </row>
    <row r="42" spans="1:25" s="109" customFormat="1" ht="15" customHeight="1">
      <c r="A42" s="100"/>
      <c r="B42" s="100"/>
      <c r="D42" s="110"/>
      <c r="E42" s="24"/>
      <c r="F42" s="110"/>
      <c r="G42" s="110"/>
      <c r="H42" s="110"/>
      <c r="I42" s="110"/>
      <c r="J42" s="25"/>
      <c r="K42" s="25"/>
      <c r="L42" s="25"/>
      <c r="M42" s="25"/>
      <c r="N42" s="25"/>
      <c r="O42" s="110"/>
      <c r="P42" s="26"/>
      <c r="Q42" s="26"/>
      <c r="R42" s="43"/>
      <c r="S42" s="36"/>
      <c r="T42" s="36"/>
      <c r="U42" s="36"/>
      <c r="V42" s="36"/>
      <c r="W42" s="36"/>
    </row>
    <row r="43" spans="1:25" s="109" customFormat="1" ht="15" customHeight="1">
      <c r="A43" s="100"/>
      <c r="B43" s="100"/>
      <c r="D43" s="110"/>
      <c r="E43" s="24"/>
      <c r="F43" s="110"/>
      <c r="G43" s="110"/>
      <c r="H43" s="110"/>
      <c r="I43" s="110"/>
      <c r="J43" s="25"/>
      <c r="K43" s="25"/>
      <c r="L43" s="25"/>
      <c r="M43" s="25"/>
      <c r="N43" s="25"/>
      <c r="O43" s="110"/>
      <c r="P43" s="26"/>
      <c r="Q43" s="26"/>
      <c r="R43" s="43"/>
      <c r="S43" s="36"/>
      <c r="T43" s="36"/>
      <c r="U43" s="36"/>
      <c r="V43" s="36"/>
      <c r="W43" s="36"/>
    </row>
    <row r="44" spans="1:25" s="109" customFormat="1" ht="15" customHeight="1">
      <c r="A44" s="100"/>
      <c r="B44" s="100"/>
      <c r="D44" s="110"/>
      <c r="E44" s="24"/>
      <c r="F44" s="110"/>
      <c r="G44" s="110"/>
      <c r="H44" s="110"/>
      <c r="I44" s="110"/>
      <c r="J44" s="25"/>
      <c r="K44" s="25"/>
      <c r="L44" s="25"/>
      <c r="M44" s="25"/>
      <c r="N44" s="25"/>
      <c r="O44" s="110"/>
      <c r="P44" s="26"/>
      <c r="Q44" s="26"/>
      <c r="R44" s="43"/>
      <c r="S44" s="36"/>
      <c r="T44" s="36"/>
      <c r="U44" s="36"/>
      <c r="V44" s="36"/>
      <c r="W44" s="36"/>
    </row>
    <row r="45" spans="1:25" s="109" customFormat="1" ht="15" customHeight="1">
      <c r="A45" s="100"/>
      <c r="B45" s="100"/>
      <c r="D45" s="110"/>
      <c r="E45" s="24"/>
      <c r="F45" s="110"/>
      <c r="G45" s="110"/>
      <c r="H45" s="110"/>
      <c r="I45" s="110"/>
      <c r="J45" s="25"/>
      <c r="K45" s="25"/>
      <c r="L45" s="25"/>
      <c r="M45" s="25"/>
      <c r="N45" s="25"/>
      <c r="O45" s="110"/>
      <c r="P45" s="26"/>
      <c r="Q45" s="26"/>
      <c r="R45" s="43"/>
      <c r="S45" s="36"/>
      <c r="T45" s="36"/>
      <c r="U45" s="36"/>
      <c r="V45" s="36"/>
      <c r="W45" s="36"/>
    </row>
    <row r="46" spans="1:25" s="109" customFormat="1" ht="15" customHeight="1">
      <c r="A46" s="100"/>
      <c r="B46" s="100"/>
      <c r="D46" s="110"/>
      <c r="E46" s="24"/>
      <c r="F46" s="110"/>
      <c r="G46" s="110"/>
      <c r="H46" s="110"/>
      <c r="I46" s="110"/>
      <c r="J46" s="25"/>
      <c r="K46" s="25"/>
      <c r="L46" s="25"/>
      <c r="M46" s="25"/>
      <c r="N46" s="25"/>
      <c r="O46" s="110"/>
      <c r="P46" s="26"/>
      <c r="Q46" s="26"/>
      <c r="R46" s="43"/>
      <c r="S46" s="36"/>
      <c r="T46" s="36"/>
      <c r="U46" s="36"/>
      <c r="V46" s="36"/>
      <c r="W46" s="36"/>
    </row>
    <row r="47" spans="1:25" s="109" customFormat="1" ht="15" customHeight="1">
      <c r="A47" s="100"/>
      <c r="B47" s="100"/>
      <c r="D47" s="110"/>
      <c r="E47" s="24"/>
      <c r="F47" s="110"/>
      <c r="G47" s="110"/>
      <c r="H47" s="110"/>
      <c r="I47" s="110"/>
      <c r="J47" s="25"/>
      <c r="K47" s="25"/>
      <c r="L47" s="25"/>
      <c r="M47" s="25"/>
      <c r="N47" s="25"/>
      <c r="O47" s="110"/>
      <c r="P47" s="26"/>
      <c r="Q47" s="26"/>
      <c r="R47" s="43"/>
      <c r="S47" s="36"/>
      <c r="T47" s="36"/>
      <c r="U47" s="36"/>
      <c r="V47" s="36"/>
      <c r="W47" s="36"/>
    </row>
    <row r="48" spans="1:25" s="109" customFormat="1" ht="15" customHeight="1">
      <c r="A48" s="100"/>
      <c r="B48" s="100"/>
      <c r="D48" s="110"/>
      <c r="E48" s="24"/>
      <c r="F48" s="110"/>
      <c r="G48" s="110"/>
      <c r="H48" s="110"/>
      <c r="I48" s="110"/>
      <c r="J48" s="25"/>
      <c r="K48" s="25"/>
      <c r="L48" s="25"/>
      <c r="M48" s="25"/>
      <c r="N48" s="25"/>
      <c r="O48" s="110"/>
      <c r="P48" s="26"/>
      <c r="Q48" s="26"/>
      <c r="R48" s="43"/>
      <c r="S48" s="36"/>
      <c r="T48" s="36"/>
      <c r="U48" s="36"/>
      <c r="V48" s="36"/>
      <c r="W48" s="36"/>
    </row>
    <row r="49" spans="1:26" s="109" customFormat="1" ht="15" customHeight="1">
      <c r="A49" s="100"/>
      <c r="B49" s="100"/>
      <c r="D49" s="110"/>
      <c r="E49" s="24"/>
      <c r="F49" s="110"/>
      <c r="G49" s="110"/>
      <c r="H49" s="110"/>
      <c r="I49" s="110"/>
      <c r="J49" s="25"/>
      <c r="K49" s="25"/>
      <c r="L49" s="25"/>
      <c r="M49" s="25"/>
      <c r="N49" s="25"/>
      <c r="O49" s="110"/>
      <c r="P49" s="26"/>
      <c r="Q49" s="26"/>
      <c r="R49" s="43"/>
      <c r="S49" s="36"/>
      <c r="T49" s="36"/>
      <c r="U49" s="36"/>
      <c r="V49" s="36"/>
      <c r="W49" s="36"/>
    </row>
    <row r="50" spans="1:26" s="109" customFormat="1" ht="15" customHeight="1">
      <c r="A50" s="100"/>
      <c r="B50" s="100"/>
      <c r="D50" s="110"/>
      <c r="E50" s="24"/>
      <c r="F50" s="110"/>
      <c r="G50" s="110"/>
      <c r="H50" s="110"/>
      <c r="I50" s="110"/>
      <c r="J50" s="25"/>
      <c r="K50" s="25"/>
      <c r="L50" s="25"/>
      <c r="M50" s="25"/>
      <c r="N50" s="25"/>
      <c r="O50" s="110"/>
      <c r="P50" s="26"/>
      <c r="Q50" s="26"/>
      <c r="R50" s="43"/>
      <c r="S50" s="36"/>
      <c r="T50" s="36"/>
      <c r="U50" s="36"/>
      <c r="V50" s="36"/>
      <c r="W50" s="36"/>
    </row>
    <row r="51" spans="1:26" s="109" customFormat="1" ht="15" customHeight="1">
      <c r="A51" s="100"/>
      <c r="B51" s="100"/>
      <c r="D51" s="110"/>
      <c r="E51" s="24"/>
      <c r="F51" s="110"/>
      <c r="G51" s="110"/>
      <c r="H51" s="110"/>
      <c r="I51" s="110"/>
      <c r="J51" s="25"/>
      <c r="K51" s="25"/>
      <c r="L51" s="25"/>
      <c r="M51" s="25"/>
      <c r="N51" s="25"/>
      <c r="O51" s="110"/>
      <c r="P51" s="26"/>
      <c r="Q51" s="26"/>
      <c r="R51" s="43"/>
      <c r="S51" s="36"/>
      <c r="T51" s="36"/>
      <c r="U51" s="36"/>
      <c r="V51" s="36"/>
      <c r="W51" s="36"/>
    </row>
    <row r="52" spans="1:26" ht="15" customHeight="1">
      <c r="A52" s="35"/>
      <c r="B52" s="95"/>
      <c r="D52" s="40"/>
      <c r="E52" s="24"/>
      <c r="F52" s="40"/>
      <c r="G52" s="40"/>
      <c r="H52" s="40"/>
      <c r="I52" s="40"/>
      <c r="J52" s="25"/>
      <c r="K52" s="25"/>
      <c r="L52" s="25"/>
      <c r="M52" s="25"/>
      <c r="N52" s="25"/>
      <c r="O52" s="40"/>
      <c r="P52" s="26"/>
      <c r="Q52" s="26"/>
      <c r="R52" s="43"/>
      <c r="S52" s="36"/>
      <c r="T52" s="36"/>
      <c r="U52" s="36"/>
      <c r="V52" s="36"/>
      <c r="W52" s="36"/>
    </row>
    <row r="53" spans="1:26" ht="15" customHeight="1">
      <c r="A53" s="35"/>
      <c r="B53" s="52"/>
      <c r="F53" s="40"/>
      <c r="G53" s="40"/>
      <c r="H53" s="40"/>
      <c r="I53" s="40"/>
      <c r="J53" s="40"/>
      <c r="K53" s="40"/>
      <c r="N53" s="25"/>
      <c r="O53" s="40"/>
      <c r="P53" s="26"/>
      <c r="Q53" s="26"/>
      <c r="R53" s="43"/>
      <c r="S53" s="36"/>
      <c r="T53" s="36"/>
      <c r="U53" s="36"/>
      <c r="V53" s="36"/>
      <c r="W53" s="36"/>
    </row>
    <row r="54" spans="1:26" ht="15" customHeight="1">
      <c r="A54" s="17"/>
      <c r="F54" s="27"/>
      <c r="N54" s="107" t="s">
        <v>65</v>
      </c>
      <c r="O54" s="9"/>
      <c r="Q54" s="33"/>
      <c r="R54" s="33"/>
      <c r="S54" s="33"/>
      <c r="T54" s="33"/>
      <c r="U54" s="33"/>
      <c r="V54" s="33"/>
      <c r="W54" s="40"/>
      <c r="Y54" s="192"/>
      <c r="Z54" s="192"/>
    </row>
    <row r="55" spans="1:26" ht="15" customHeight="1">
      <c r="B55" s="96"/>
      <c r="C55" s="40"/>
      <c r="D55" s="40"/>
      <c r="N55" s="40"/>
      <c r="O55" s="40"/>
      <c r="P55" s="11"/>
      <c r="Q55" s="40"/>
      <c r="R55" s="40"/>
      <c r="W55" s="11"/>
      <c r="X55" s="11"/>
    </row>
    <row r="56" spans="1:26" s="101" customFormat="1" ht="15" customHeight="1">
      <c r="B56" s="105"/>
      <c r="C56" s="102"/>
      <c r="D56" s="102"/>
      <c r="N56" s="102"/>
      <c r="O56" s="102"/>
      <c r="P56" s="102"/>
      <c r="Q56" s="102"/>
      <c r="R56" s="102"/>
      <c r="W56" s="102"/>
      <c r="X56" s="102"/>
    </row>
    <row r="57" spans="1:26" ht="15" customHeight="1">
      <c r="A57" s="98"/>
      <c r="B57" s="100" t="s">
        <v>28</v>
      </c>
      <c r="C57" s="102"/>
      <c r="D57"/>
      <c r="E57" s="103"/>
      <c r="F57" s="99"/>
      <c r="G57"/>
      <c r="H57"/>
      <c r="I57"/>
      <c r="J57"/>
      <c r="K57"/>
      <c r="L57"/>
      <c r="M57"/>
      <c r="N57" s="102"/>
      <c r="O57" s="102"/>
      <c r="P57" s="102"/>
      <c r="Q57" s="102"/>
      <c r="R57" s="102"/>
      <c r="S57" s="104"/>
      <c r="T57" s="104"/>
      <c r="U57" s="104"/>
      <c r="V57" s="104"/>
      <c r="W57" s="102"/>
      <c r="X57" s="102"/>
    </row>
    <row r="58" spans="1:26" ht="15" customHeight="1">
      <c r="A58"/>
      <c r="B58" s="103"/>
      <c r="C58"/>
      <c r="D58" s="148" t="s">
        <v>46</v>
      </c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30"/>
      <c r="P58"/>
      <c r="Q58"/>
      <c r="R58"/>
      <c r="S58"/>
      <c r="T58"/>
      <c r="U58"/>
      <c r="V58"/>
      <c r="W58"/>
      <c r="X58" s="102"/>
    </row>
    <row r="59" spans="1:26" ht="15" customHeight="1">
      <c r="A59" s="97"/>
      <c r="B59" s="103"/>
      <c r="C59"/>
      <c r="D59" s="149" t="s">
        <v>47</v>
      </c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31"/>
      <c r="P59" s="101"/>
      <c r="Q59"/>
      <c r="R59" s="101"/>
      <c r="S59" s="101"/>
      <c r="T59" s="101"/>
      <c r="U59" s="101"/>
      <c r="V59" s="101"/>
      <c r="W59" s="101"/>
      <c r="X59" s="102"/>
    </row>
    <row r="60" spans="1:26" s="109" customFormat="1" ht="15" customHeight="1">
      <c r="A60" s="107"/>
      <c r="B60" s="103"/>
      <c r="C60"/>
      <c r="D60" s="149" t="s">
        <v>41</v>
      </c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32"/>
      <c r="Q60"/>
      <c r="X60" s="110"/>
    </row>
    <row r="61" spans="1:26" s="109" customFormat="1" ht="15" customHeight="1">
      <c r="A61" s="107"/>
      <c r="B61" s="103"/>
      <c r="C61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32"/>
      <c r="Q61"/>
      <c r="X61" s="110"/>
    </row>
    <row r="62" spans="1:26" s="109" customFormat="1" ht="15" customHeight="1">
      <c r="A62" s="107"/>
      <c r="B62" s="103"/>
      <c r="C62"/>
      <c r="E62"/>
      <c r="O62" s="105"/>
      <c r="Q62"/>
      <c r="X62" s="110"/>
    </row>
    <row r="63" spans="1:26" ht="15" customHeight="1">
      <c r="A63" s="217" t="s">
        <v>8</v>
      </c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</row>
    <row r="64" spans="1:26" ht="34.5" customHeight="1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</row>
    <row r="65" spans="1:27" ht="16.5" customHeight="1">
      <c r="A65" s="9" t="s">
        <v>0</v>
      </c>
      <c r="B65" s="40"/>
      <c r="C65" s="40"/>
      <c r="D65" s="40"/>
      <c r="E65" s="40"/>
      <c r="F65" s="40"/>
      <c r="G65" s="40"/>
      <c r="H65" s="40"/>
      <c r="I65" s="34"/>
      <c r="J65" s="9" t="s">
        <v>1</v>
      </c>
      <c r="K65" s="9"/>
      <c r="L65" s="9"/>
      <c r="M65" s="28"/>
      <c r="N65" s="28"/>
      <c r="O65" s="28"/>
      <c r="P65" s="28"/>
      <c r="Q65" s="28"/>
      <c r="R65" s="9"/>
      <c r="S65" s="9"/>
      <c r="W65" s="40"/>
      <c r="X65" s="40"/>
    </row>
    <row r="66" spans="1:27" ht="16.5" customHeight="1">
      <c r="B66" s="107" t="str">
        <f>B3</f>
        <v>OT MOTOR VINA CO.,LTD</v>
      </c>
      <c r="I66" s="34"/>
      <c r="J66" s="16"/>
      <c r="K66" s="84"/>
      <c r="L66" s="79"/>
      <c r="M66" s="79"/>
      <c r="N66" s="33"/>
      <c r="O66" s="85">
        <f>+O3</f>
        <v>0</v>
      </c>
      <c r="P66" s="33"/>
      <c r="Q66" s="33"/>
      <c r="R66" s="33"/>
      <c r="S66" s="33"/>
      <c r="T66" s="33"/>
      <c r="U66" s="33"/>
      <c r="V66" s="33"/>
      <c r="W66" s="191"/>
      <c r="X66" s="33"/>
    </row>
    <row r="67" spans="1:27" ht="14.25" customHeight="1">
      <c r="B67" s="40" t="str">
        <f>B4</f>
        <v xml:space="preserve">Land Lot No B-3.1, Nhon Trach 6B Subdivision of IZ, </v>
      </c>
      <c r="I67" s="34"/>
      <c r="J67" s="15" t="s">
        <v>77</v>
      </c>
      <c r="K67" s="11"/>
      <c r="L67" s="11"/>
      <c r="M67" s="160"/>
      <c r="N67" s="11"/>
      <c r="O67" s="161"/>
      <c r="P67" s="161"/>
      <c r="Q67" s="160"/>
      <c r="R67" s="162"/>
      <c r="S67" s="163"/>
      <c r="T67" s="11"/>
      <c r="U67" s="164"/>
      <c r="V67" s="11"/>
      <c r="W67" s="165"/>
      <c r="X67" s="11"/>
    </row>
    <row r="68" spans="1:27" ht="14.25" customHeight="1">
      <c r="B68" s="40" t="str">
        <f>B5</f>
        <v>Nhon Trach 6 IZ, Long Tho Commune, Nhon Trach District</v>
      </c>
      <c r="I68" s="34"/>
      <c r="J68" s="40"/>
      <c r="K68" s="98" t="str">
        <f>+K10</f>
        <v>ZF Passive Safety US Inc.</v>
      </c>
      <c r="M68" s="41"/>
      <c r="N68" s="109"/>
      <c r="O68" s="42"/>
      <c r="P68" s="42"/>
      <c r="Q68" s="41"/>
      <c r="R68" s="109"/>
      <c r="S68" s="145"/>
      <c r="T68" s="42"/>
      <c r="U68" s="3"/>
      <c r="V68" s="110"/>
      <c r="W68" s="83"/>
      <c r="X68" s="40"/>
    </row>
    <row r="69" spans="1:27" ht="14.25" customHeight="1">
      <c r="B69" s="40" t="str">
        <f>B6</f>
        <v>Dong Nai Province, Vietnam</v>
      </c>
      <c r="I69" s="34"/>
      <c r="J69" s="40"/>
      <c r="K69" s="39" t="str">
        <f>+K11</f>
        <v>Boulevard Mike Allen 1370 SN</v>
      </c>
      <c r="M69" s="41"/>
      <c r="N69" s="109"/>
      <c r="O69" s="42"/>
      <c r="P69" s="42"/>
      <c r="Q69" s="41"/>
      <c r="R69" s="109"/>
      <c r="S69" s="145"/>
      <c r="T69" s="109"/>
      <c r="U69" s="3"/>
      <c r="V69" s="110"/>
      <c r="W69" s="83"/>
      <c r="X69" s="40"/>
    </row>
    <row r="70" spans="1:27" s="109" customFormat="1" ht="14.25" customHeight="1">
      <c r="B70" s="110" t="str">
        <f>+B7</f>
        <v>TEL: +84 2513 569 066</v>
      </c>
      <c r="I70" s="108"/>
      <c r="J70" s="110"/>
      <c r="K70" s="109" t="str">
        <f>+K12</f>
        <v>Parque Industrial Reynosa Sección Norte</v>
      </c>
      <c r="M70" s="41"/>
      <c r="O70" s="42"/>
      <c r="P70" s="42"/>
      <c r="Q70" s="41"/>
      <c r="S70" s="145"/>
      <c r="U70" s="3"/>
      <c r="V70" s="110"/>
      <c r="W70" s="83"/>
      <c r="X70" s="110"/>
    </row>
    <row r="71" spans="1:27" ht="14.25" customHeight="1">
      <c r="B71" s="109" t="str">
        <f>+B8</f>
        <v>TAX ID: 3603512483</v>
      </c>
      <c r="I71" s="34"/>
      <c r="J71" s="8"/>
      <c r="K71" s="8" t="str">
        <f>+K13</f>
        <v>Reynosa, Tamaulipas CP: 88788 Mexico</v>
      </c>
      <c r="L71" s="8"/>
      <c r="M71" s="41"/>
      <c r="N71" s="109"/>
      <c r="O71" s="42"/>
      <c r="P71" s="42"/>
      <c r="Q71" s="41"/>
      <c r="R71" s="42"/>
      <c r="S71" s="145"/>
      <c r="T71" s="42"/>
      <c r="U71" s="3"/>
      <c r="V71" s="110"/>
      <c r="W71" s="83"/>
      <c r="X71" s="51"/>
    </row>
    <row r="72" spans="1:27" ht="15" customHeight="1">
      <c r="A72" s="12" t="s">
        <v>2</v>
      </c>
      <c r="B72" s="11"/>
      <c r="C72" s="11"/>
      <c r="D72" s="11"/>
      <c r="E72" s="11"/>
      <c r="F72" s="11"/>
      <c r="G72" s="11"/>
      <c r="H72" s="11"/>
      <c r="I72" s="10"/>
      <c r="J72" s="8"/>
      <c r="M72" s="8"/>
      <c r="N72" s="62"/>
      <c r="O72" s="42"/>
      <c r="P72" s="8"/>
      <c r="Q72" s="8"/>
      <c r="R72" s="8"/>
      <c r="S72" s="145"/>
      <c r="T72" s="8"/>
      <c r="U72" s="3"/>
      <c r="V72" s="8"/>
      <c r="W72" s="83"/>
      <c r="X72" s="8"/>
    </row>
    <row r="73" spans="1:27" ht="12" customHeight="1">
      <c r="B73" s="159" t="str">
        <f t="shared" ref="B73:B79" si="0">+B10</f>
        <v>ZF Passive Safety US Inc.</v>
      </c>
      <c r="C73" s="8"/>
      <c r="D73" s="8"/>
      <c r="E73" s="8"/>
      <c r="F73" s="8"/>
      <c r="G73" s="8"/>
      <c r="H73" s="8"/>
      <c r="I73" s="117"/>
      <c r="J73" s="73"/>
      <c r="K73" s="157"/>
      <c r="L73" s="8"/>
      <c r="M73" s="8"/>
      <c r="N73" s="8"/>
      <c r="O73" s="53"/>
      <c r="P73" s="8"/>
      <c r="Q73" s="8"/>
      <c r="R73" s="8"/>
      <c r="S73" s="8"/>
      <c r="T73" s="8"/>
      <c r="U73" s="8"/>
      <c r="V73" s="8"/>
      <c r="W73" s="77"/>
      <c r="X73" s="51"/>
    </row>
    <row r="74" spans="1:27" ht="14.25" customHeight="1">
      <c r="B74" s="51" t="str">
        <f t="shared" si="0"/>
        <v>Seatbelt Division- OUC 454</v>
      </c>
      <c r="C74" s="8"/>
      <c r="D74" s="8"/>
      <c r="E74" s="8"/>
      <c r="F74" s="8"/>
      <c r="G74" s="8"/>
      <c r="H74" s="8"/>
      <c r="I74" s="117"/>
      <c r="J74" s="73"/>
      <c r="K74" s="62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spans="1:27" ht="15" customHeight="1">
      <c r="B75" s="51" t="str">
        <f t="shared" si="0"/>
        <v>c/o Laredo Freight Dispatch</v>
      </c>
      <c r="C75" s="8"/>
      <c r="D75" s="8"/>
      <c r="E75" s="8"/>
      <c r="F75" s="8"/>
      <c r="G75" s="8"/>
      <c r="H75" s="8"/>
      <c r="I75" s="117"/>
      <c r="J75" s="15" t="s">
        <v>78</v>
      </c>
      <c r="K75" s="12"/>
      <c r="L75" s="12"/>
      <c r="M75" s="12"/>
      <c r="N75" s="12"/>
      <c r="O75" s="12"/>
      <c r="P75" s="12"/>
      <c r="Q75" s="12"/>
      <c r="R75" s="12"/>
      <c r="S75" s="12"/>
      <c r="T75" s="11"/>
      <c r="U75" s="11"/>
      <c r="V75" s="11"/>
      <c r="W75" s="11"/>
      <c r="X75" s="11"/>
      <c r="Y75" s="63"/>
      <c r="Z75" s="8"/>
      <c r="AA75" s="8"/>
    </row>
    <row r="76" spans="1:27" ht="13.5" customHeight="1">
      <c r="B76" s="51" t="str">
        <f t="shared" si="0"/>
        <v xml:space="preserve">9600 International Blvd.  </v>
      </c>
      <c r="C76" s="8"/>
      <c r="D76" s="8"/>
      <c r="E76" s="8"/>
      <c r="F76" s="8"/>
      <c r="G76" s="8"/>
      <c r="H76" s="8"/>
      <c r="I76" s="117"/>
      <c r="J76" s="19"/>
      <c r="K76" s="37" t="str">
        <f t="shared" ref="K76:L78" si="1">K17</f>
        <v>※</v>
      </c>
      <c r="L76" s="110" t="str">
        <f t="shared" si="1"/>
        <v>P/No.</v>
      </c>
      <c r="M76" s="110"/>
      <c r="N76" s="37" t="str">
        <f t="shared" ref="N76:P78" si="2">N17</f>
        <v>:</v>
      </c>
      <c r="O76" s="100" t="str">
        <f t="shared" si="2"/>
        <v>34100164C</v>
      </c>
      <c r="P76" s="100">
        <f t="shared" si="2"/>
        <v>0</v>
      </c>
      <c r="Q76" s="100"/>
      <c r="R76" s="100"/>
      <c r="S76" s="100"/>
      <c r="T76" s="110"/>
      <c r="U76" s="100"/>
      <c r="V76" s="100"/>
      <c r="W76" s="100"/>
      <c r="X76" s="100">
        <f>X17</f>
        <v>0</v>
      </c>
      <c r="Y76" s="55"/>
      <c r="Z76" s="8"/>
      <c r="AA76" s="8"/>
    </row>
    <row r="77" spans="1:27" ht="13.5" customHeight="1">
      <c r="B77" s="51" t="str">
        <f t="shared" si="0"/>
        <v>Pharr Texas 78577</v>
      </c>
      <c r="C77" s="8"/>
      <c r="D77" s="8"/>
      <c r="E77" s="8"/>
      <c r="F77" s="8"/>
      <c r="G77" s="8"/>
      <c r="H77" s="8"/>
      <c r="I77" s="117"/>
      <c r="J77" s="19"/>
      <c r="K77" s="37" t="str">
        <f t="shared" si="1"/>
        <v>※</v>
      </c>
      <c r="L77" s="110" t="str">
        <f t="shared" si="1"/>
        <v>P/Name</v>
      </c>
      <c r="M77" s="110"/>
      <c r="N77" s="37" t="str">
        <f t="shared" si="2"/>
        <v>:</v>
      </c>
      <c r="O77" s="100" t="str">
        <f t="shared" si="2"/>
        <v>SPR4 SPOOL</v>
      </c>
      <c r="P77" s="100">
        <f t="shared" si="2"/>
        <v>0</v>
      </c>
      <c r="Q77" s="100"/>
      <c r="R77" s="100"/>
      <c r="S77" s="100"/>
      <c r="T77" s="110"/>
      <c r="U77" s="100"/>
      <c r="V77" s="100"/>
      <c r="W77" s="100"/>
      <c r="X77" s="100">
        <f>X18</f>
        <v>0</v>
      </c>
      <c r="Y77" s="80"/>
      <c r="Z77" s="8"/>
      <c r="AA77" s="8"/>
    </row>
    <row r="78" spans="1:27" ht="13.5" customHeight="1">
      <c r="B78" s="51" t="str">
        <f t="shared" si="0"/>
        <v>U.S.A.</v>
      </c>
      <c r="C78" s="8"/>
      <c r="D78" s="8"/>
      <c r="E78" s="8"/>
      <c r="F78" s="8"/>
      <c r="G78" s="8"/>
      <c r="H78" s="8"/>
      <c r="I78" s="117"/>
      <c r="J78" s="167"/>
      <c r="K78" s="37" t="str">
        <f t="shared" si="1"/>
        <v>※</v>
      </c>
      <c r="L78" s="110" t="str">
        <f t="shared" si="1"/>
        <v>SKID No.</v>
      </c>
      <c r="M78" s="110"/>
      <c r="N78" s="37" t="str">
        <f t="shared" si="2"/>
        <v>:</v>
      </c>
      <c r="O78" s="60" t="str">
        <f t="shared" si="2"/>
        <v>232-235</v>
      </c>
      <c r="P78" s="60">
        <f t="shared" si="2"/>
        <v>0</v>
      </c>
      <c r="Q78" s="60"/>
      <c r="R78" s="60"/>
      <c r="S78" s="60"/>
      <c r="T78" s="110"/>
      <c r="U78" s="60"/>
      <c r="V78" s="60"/>
      <c r="W78" s="60"/>
      <c r="X78" s="60">
        <f>X19</f>
        <v>0</v>
      </c>
      <c r="Y78" s="8"/>
      <c r="Z78" s="8"/>
      <c r="AA78" s="8"/>
    </row>
    <row r="79" spans="1:27" ht="13.5" customHeight="1">
      <c r="B79" s="51" t="str">
        <f t="shared" si="0"/>
        <v>TEL:956-632-8100, FAX:956-632-8127</v>
      </c>
      <c r="C79" s="8"/>
      <c r="D79" s="8"/>
      <c r="E79" s="8"/>
      <c r="F79" s="8"/>
      <c r="G79" s="8"/>
      <c r="H79" s="8"/>
      <c r="I79" s="117"/>
      <c r="J79" s="167"/>
      <c r="K79" s="37"/>
      <c r="L79" s="110"/>
      <c r="M79" s="110"/>
      <c r="N79" s="110"/>
      <c r="O79" s="61">
        <f t="shared" ref="O79:P83" si="3">O20</f>
        <v>4</v>
      </c>
      <c r="P79" s="61">
        <f t="shared" si="3"/>
        <v>0</v>
      </c>
      <c r="Q79" s="61"/>
      <c r="R79" s="61"/>
      <c r="S79" s="61"/>
      <c r="T79" s="110"/>
      <c r="U79" s="61"/>
      <c r="V79" s="61"/>
      <c r="W79" s="61"/>
      <c r="X79" s="61"/>
      <c r="Y79" s="8"/>
      <c r="Z79" s="8"/>
      <c r="AA79" s="8"/>
    </row>
    <row r="80" spans="1:27" s="109" customFormat="1" ht="13.5" customHeight="1">
      <c r="B80" s="110"/>
      <c r="I80" s="108"/>
      <c r="J80" s="19"/>
      <c r="K80" s="37" t="s">
        <v>24</v>
      </c>
      <c r="L80" s="110" t="str">
        <f>L21</f>
        <v>LOT No.</v>
      </c>
      <c r="M80" s="110"/>
      <c r="N80" s="37" t="str">
        <f>N21</f>
        <v>:</v>
      </c>
      <c r="O80" s="168">
        <f t="shared" si="3"/>
        <v>66</v>
      </c>
      <c r="P80" s="168">
        <f t="shared" si="3"/>
        <v>0</v>
      </c>
      <c r="Q80" s="168"/>
      <c r="R80" s="80"/>
      <c r="S80" s="168"/>
      <c r="T80" s="110"/>
      <c r="U80" s="168"/>
      <c r="V80" s="80"/>
      <c r="W80" s="168"/>
      <c r="X80" s="56"/>
      <c r="Y80" s="94"/>
      <c r="Z80" s="8"/>
      <c r="AA80" s="94"/>
    </row>
    <row r="81" spans="1:27" ht="13.5" customHeight="1">
      <c r="B81" s="110"/>
      <c r="C81" s="109"/>
      <c r="D81" s="109"/>
      <c r="E81" s="109"/>
      <c r="F81" s="109"/>
      <c r="G81" s="109"/>
      <c r="H81" s="109"/>
      <c r="I81" s="108"/>
      <c r="J81" s="167"/>
      <c r="K81" s="37" t="s">
        <v>24</v>
      </c>
      <c r="L81" s="110" t="str">
        <f>L22</f>
        <v>C/No.</v>
      </c>
      <c r="M81" s="110"/>
      <c r="N81" s="37" t="str">
        <f>N22</f>
        <v>:</v>
      </c>
      <c r="O81" s="60" t="str">
        <f t="shared" si="3"/>
        <v>7393-7520</v>
      </c>
      <c r="P81" s="60">
        <f t="shared" si="3"/>
        <v>0</v>
      </c>
      <c r="Q81" s="60"/>
      <c r="R81" s="110"/>
      <c r="S81" s="110"/>
      <c r="T81" s="110"/>
      <c r="U81" s="110"/>
      <c r="V81" s="110"/>
      <c r="W81" s="172"/>
      <c r="X81" s="110"/>
      <c r="Y81" s="94"/>
      <c r="Z81" s="8"/>
      <c r="AA81" s="94"/>
    </row>
    <row r="82" spans="1:27" ht="14.25" customHeight="1">
      <c r="A82" s="12" t="s">
        <v>3</v>
      </c>
      <c r="B82" s="11"/>
      <c r="C82" s="11"/>
      <c r="D82" s="11"/>
      <c r="E82" s="11"/>
      <c r="F82" s="11"/>
      <c r="G82" s="11"/>
      <c r="H82" s="11"/>
      <c r="I82" s="10"/>
      <c r="J82" s="167"/>
      <c r="K82" s="37" t="s">
        <v>24</v>
      </c>
      <c r="L82" s="110" t="str">
        <f>L23</f>
        <v>Q'TY/CTN</v>
      </c>
      <c r="M82" s="110"/>
      <c r="N82" s="37" t="str">
        <f>N23</f>
        <v>:</v>
      </c>
      <c r="O82" s="169">
        <f t="shared" si="3"/>
        <v>126</v>
      </c>
      <c r="P82" s="169">
        <f t="shared" si="3"/>
        <v>0</v>
      </c>
      <c r="Q82" s="169"/>
      <c r="R82" s="110"/>
      <c r="S82" s="180"/>
      <c r="T82" s="181"/>
      <c r="U82" s="180"/>
      <c r="V82" s="181"/>
      <c r="W82" s="173"/>
    </row>
    <row r="83" spans="1:27" ht="16.5" customHeight="1">
      <c r="B83" s="159" t="str">
        <f t="shared" ref="B83:B88" si="4">+B20</f>
        <v>MIRSA REYNOSA Plt 1</v>
      </c>
      <c r="C83" s="8"/>
      <c r="D83" s="8"/>
      <c r="E83" s="8"/>
      <c r="F83" s="8"/>
      <c r="G83" s="8"/>
      <c r="H83" s="8"/>
      <c r="I83" s="117"/>
      <c r="J83" s="167"/>
      <c r="K83" s="170" t="s">
        <v>27</v>
      </c>
      <c r="L83" s="110" t="str">
        <f>L24</f>
        <v>CTN Q'TY</v>
      </c>
      <c r="M83" s="110"/>
      <c r="N83" s="37" t="s">
        <v>26</v>
      </c>
      <c r="O83" s="80">
        <f t="shared" si="3"/>
        <v>128</v>
      </c>
      <c r="P83" s="80">
        <f t="shared" si="3"/>
        <v>0</v>
      </c>
      <c r="Q83" s="80"/>
      <c r="R83" s="100"/>
      <c r="S83" s="171"/>
      <c r="T83" s="100"/>
      <c r="U83" s="171"/>
      <c r="V83" s="100"/>
      <c r="W83" s="140"/>
    </row>
    <row r="84" spans="1:27" s="109" customFormat="1" ht="16.5" customHeight="1">
      <c r="B84" s="8" t="str">
        <f t="shared" si="4"/>
        <v>Avenida Prologis Edificio 4</v>
      </c>
      <c r="C84" s="8"/>
      <c r="D84" s="8"/>
      <c r="E84" s="8"/>
      <c r="F84" s="8"/>
      <c r="G84" s="8"/>
      <c r="H84" s="8"/>
      <c r="I84" s="117"/>
      <c r="J84" s="167"/>
      <c r="K84" s="170"/>
      <c r="L84" s="110"/>
      <c r="M84" s="110"/>
      <c r="N84" s="37"/>
      <c r="O84" s="193"/>
      <c r="P84" s="193"/>
      <c r="Q84" s="193"/>
      <c r="R84" s="194"/>
      <c r="S84" s="195"/>
      <c r="T84" s="194"/>
      <c r="U84" s="195"/>
      <c r="V84" s="194"/>
      <c r="W84" s="87"/>
    </row>
    <row r="85" spans="1:27" s="109" customFormat="1" ht="16.5" customHeight="1">
      <c r="B85" s="8" t="str">
        <f t="shared" si="4"/>
        <v>Parque Industrial Prologis</v>
      </c>
      <c r="C85" s="8"/>
      <c r="D85" s="8"/>
      <c r="E85" s="8"/>
      <c r="F85" s="8"/>
      <c r="G85" s="8"/>
      <c r="H85" s="8"/>
      <c r="I85" s="117"/>
      <c r="J85" s="167"/>
      <c r="K85" s="170"/>
      <c r="L85" s="110"/>
      <c r="M85" s="110"/>
      <c r="N85" s="37"/>
      <c r="O85" s="193"/>
      <c r="P85" s="193"/>
      <c r="Q85" s="193"/>
      <c r="R85" s="194"/>
      <c r="S85" s="195"/>
      <c r="T85" s="194"/>
      <c r="U85" s="195"/>
      <c r="V85" s="194"/>
      <c r="W85" s="87"/>
    </row>
    <row r="86" spans="1:27" s="109" customFormat="1" ht="16.5" customHeight="1">
      <c r="B86" s="8" t="str">
        <f t="shared" si="4"/>
        <v>Reynosa, Tamaulipas</v>
      </c>
      <c r="C86" s="8"/>
      <c r="D86" s="8"/>
      <c r="E86" s="8"/>
      <c r="F86" s="8"/>
      <c r="G86" s="8"/>
      <c r="H86" s="8"/>
      <c r="I86" s="117"/>
      <c r="J86" s="167"/>
      <c r="K86" s="170"/>
      <c r="L86" s="110"/>
      <c r="M86" s="110"/>
      <c r="N86" s="37"/>
      <c r="O86" s="193"/>
      <c r="P86" s="193"/>
      <c r="Q86" s="193"/>
      <c r="R86" s="194"/>
      <c r="S86" s="195"/>
      <c r="T86" s="194"/>
      <c r="U86" s="195"/>
      <c r="V86" s="194"/>
      <c r="W86" s="87"/>
    </row>
    <row r="87" spans="1:27" s="109" customFormat="1" ht="16.5" customHeight="1">
      <c r="B87" s="8" t="str">
        <f t="shared" si="4"/>
        <v>C.P. 88787</v>
      </c>
      <c r="C87" s="8"/>
      <c r="D87" s="8"/>
      <c r="E87" s="8"/>
      <c r="F87" s="8"/>
      <c r="G87" s="8"/>
      <c r="H87" s="8"/>
      <c r="I87" s="117"/>
      <c r="J87" s="167"/>
      <c r="K87" s="170"/>
      <c r="L87" s="110"/>
      <c r="M87" s="110"/>
      <c r="N87" s="37"/>
      <c r="O87" s="193"/>
      <c r="P87" s="193"/>
      <c r="Q87" s="193"/>
      <c r="R87" s="194"/>
      <c r="S87" s="195"/>
      <c r="T87" s="194"/>
      <c r="U87" s="195"/>
      <c r="V87" s="194"/>
      <c r="W87" s="87"/>
    </row>
    <row r="88" spans="1:27" s="109" customFormat="1" ht="16.5" customHeight="1">
      <c r="B88" s="8" t="str">
        <f t="shared" si="4"/>
        <v>TEL:899-958-1443 Ext.102</v>
      </c>
      <c r="C88" s="8"/>
      <c r="D88" s="8"/>
      <c r="E88" s="8"/>
      <c r="F88" s="8"/>
      <c r="G88" s="8"/>
      <c r="H88" s="8"/>
      <c r="I88" s="117"/>
      <c r="J88" s="167"/>
      <c r="K88" s="170"/>
      <c r="L88" s="110"/>
      <c r="M88" s="110"/>
      <c r="N88" s="37"/>
      <c r="O88" s="193"/>
      <c r="P88" s="193"/>
      <c r="Q88" s="193"/>
      <c r="R88" s="194"/>
      <c r="S88" s="195"/>
      <c r="T88" s="194"/>
      <c r="U88" s="195"/>
      <c r="V88" s="194"/>
      <c r="W88" s="87"/>
    </row>
    <row r="89" spans="1:27" s="109" customFormat="1" ht="16.5" customHeight="1">
      <c r="A89" s="39"/>
      <c r="B89" s="216"/>
      <c r="C89" s="216"/>
      <c r="D89" s="216"/>
      <c r="E89" s="216"/>
      <c r="F89" s="216"/>
      <c r="G89" s="216"/>
      <c r="H89" s="216"/>
      <c r="I89" s="225"/>
      <c r="J89" s="167"/>
      <c r="K89" s="110" t="s">
        <v>39</v>
      </c>
      <c r="L89" s="110" t="s">
        <v>66</v>
      </c>
      <c r="M89" s="110"/>
      <c r="N89" s="110" t="s">
        <v>9</v>
      </c>
      <c r="O89" s="80"/>
      <c r="P89" s="168"/>
      <c r="Q89" s="168"/>
      <c r="R89" s="168"/>
      <c r="S89" s="168"/>
      <c r="T89" s="168"/>
      <c r="U89" s="168"/>
      <c r="V89" s="168"/>
      <c r="W89" s="39"/>
      <c r="Y89" s="185"/>
    </row>
    <row r="90" spans="1:27" s="109" customFormat="1" ht="16.5" customHeight="1">
      <c r="A90" s="39"/>
      <c r="B90" s="216"/>
      <c r="C90" s="216"/>
      <c r="D90" s="216"/>
      <c r="E90" s="216"/>
      <c r="F90" s="216"/>
      <c r="G90" s="216"/>
      <c r="H90" s="64"/>
      <c r="I90" s="225"/>
      <c r="J90" s="167"/>
      <c r="K90" s="37" t="s">
        <v>39</v>
      </c>
      <c r="L90" s="110" t="s">
        <v>67</v>
      </c>
      <c r="M90" s="110"/>
      <c r="N90" s="110" t="s">
        <v>9</v>
      </c>
      <c r="O90" s="82"/>
      <c r="P90" s="168"/>
      <c r="Q90" s="168"/>
      <c r="R90" s="168"/>
      <c r="S90" s="168"/>
      <c r="T90" s="168"/>
      <c r="U90" s="168"/>
      <c r="V90" s="168"/>
      <c r="W90" s="168"/>
      <c r="Y90" s="179"/>
    </row>
    <row r="91" spans="1:27" s="109" customFormat="1" ht="16.5" customHeight="1">
      <c r="A91" s="39"/>
      <c r="B91" s="216"/>
      <c r="C91" s="216"/>
      <c r="D91" s="216"/>
      <c r="E91" s="216"/>
      <c r="F91" s="216"/>
      <c r="G91" s="216"/>
      <c r="H91" s="216"/>
      <c r="I91" s="225"/>
      <c r="J91" s="167"/>
      <c r="K91" s="37" t="s">
        <v>39</v>
      </c>
      <c r="L91" s="110" t="s">
        <v>68</v>
      </c>
      <c r="M91" s="110"/>
      <c r="N91" s="37" t="s">
        <v>9</v>
      </c>
      <c r="O91" s="61"/>
      <c r="P91" s="168"/>
      <c r="Q91" s="168"/>
      <c r="R91" s="168"/>
      <c r="S91" s="168" t="s">
        <v>69</v>
      </c>
      <c r="T91" s="168"/>
      <c r="U91" s="168" t="s">
        <v>70</v>
      </c>
      <c r="V91" s="168"/>
      <c r="W91" s="168" t="s">
        <v>71</v>
      </c>
      <c r="Y91" s="179"/>
    </row>
    <row r="92" spans="1:27" s="109" customFormat="1" ht="16.5" customHeight="1">
      <c r="B92" s="58"/>
      <c r="C92" s="58"/>
      <c r="D92" s="58"/>
      <c r="E92" s="58"/>
      <c r="F92" s="58"/>
      <c r="G92" s="58"/>
      <c r="H92" s="58"/>
      <c r="I92" s="174"/>
      <c r="J92" s="167"/>
      <c r="K92" s="37"/>
      <c r="L92" s="110"/>
      <c r="M92" s="110" t="s">
        <v>87</v>
      </c>
      <c r="N92" s="37"/>
      <c r="O92" s="176">
        <v>1.2929999999999999</v>
      </c>
      <c r="P92" s="168"/>
      <c r="Q92" s="168" t="s">
        <v>38</v>
      </c>
      <c r="R92" s="168"/>
      <c r="S92" s="178"/>
      <c r="T92" s="175"/>
      <c r="U92" s="177">
        <v>482</v>
      </c>
      <c r="V92" s="175"/>
      <c r="W92" s="177"/>
      <c r="Y92" s="179"/>
    </row>
    <row r="93" spans="1:27" s="109" customFormat="1" ht="17.25" customHeight="1">
      <c r="A93" s="12" t="s">
        <v>4</v>
      </c>
      <c r="B93" s="11"/>
      <c r="C93" s="11"/>
      <c r="D93" s="11"/>
      <c r="E93" s="10"/>
      <c r="F93" s="15" t="s">
        <v>5</v>
      </c>
      <c r="G93" s="12"/>
      <c r="H93" s="12"/>
      <c r="I93" s="71"/>
      <c r="J93" s="39"/>
      <c r="K93" s="39"/>
      <c r="L93" s="39"/>
      <c r="M93" s="185"/>
      <c r="N93" s="185"/>
      <c r="O93" s="183"/>
      <c r="P93" s="185"/>
      <c r="Q93" s="168"/>
      <c r="R93" s="185"/>
      <c r="S93" s="178"/>
      <c r="T93" s="185"/>
      <c r="U93" s="177"/>
      <c r="V93" s="185"/>
      <c r="W93" s="177"/>
      <c r="X93" s="168"/>
    </row>
    <row r="94" spans="1:27" s="109" customFormat="1" ht="17.25" customHeight="1">
      <c r="A94" s="33"/>
      <c r="B94" s="21" t="str">
        <f>B28</f>
        <v>VIETNAM</v>
      </c>
      <c r="C94" s="33"/>
      <c r="D94" s="33"/>
      <c r="E94" s="14"/>
      <c r="F94" s="33"/>
      <c r="G94" s="214" t="str">
        <f>+G28</f>
        <v>Mexico</v>
      </c>
      <c r="H94" s="214"/>
      <c r="I94" s="215"/>
      <c r="J94" s="39"/>
      <c r="K94" s="39"/>
      <c r="L94" s="39"/>
      <c r="N94" s="39"/>
      <c r="O94" s="183"/>
      <c r="P94" s="39"/>
      <c r="Q94" s="168"/>
      <c r="R94" s="39"/>
      <c r="S94" s="178"/>
      <c r="T94" s="39"/>
      <c r="U94" s="177"/>
      <c r="V94" s="39"/>
      <c r="W94" s="177"/>
      <c r="X94" s="168"/>
    </row>
    <row r="95" spans="1:27" s="109" customFormat="1" ht="17.25" customHeight="1">
      <c r="A95" s="17" t="s">
        <v>6</v>
      </c>
      <c r="B95" s="39"/>
      <c r="C95" s="40"/>
      <c r="D95" s="40"/>
      <c r="E95" s="34"/>
      <c r="F95" s="22" t="s">
        <v>7</v>
      </c>
      <c r="G95" s="9"/>
      <c r="H95" s="9"/>
      <c r="I95" s="72"/>
      <c r="J95" s="39"/>
      <c r="K95" s="39"/>
      <c r="L95" s="39"/>
      <c r="N95" s="39"/>
      <c r="O95" s="176"/>
      <c r="P95" s="39"/>
      <c r="Q95" s="168"/>
      <c r="R95" s="39"/>
      <c r="S95" s="178"/>
      <c r="T95" s="39"/>
      <c r="U95" s="177"/>
      <c r="V95" s="39"/>
      <c r="W95" s="177"/>
      <c r="X95" s="168"/>
    </row>
    <row r="96" spans="1:27" ht="17.25" customHeight="1">
      <c r="A96" s="211"/>
      <c r="B96" s="211"/>
      <c r="C96" s="211"/>
      <c r="D96" s="211"/>
      <c r="E96" s="212"/>
      <c r="F96" s="23"/>
      <c r="G96" s="213"/>
      <c r="H96" s="213"/>
      <c r="I96" s="74"/>
      <c r="O96" s="176"/>
      <c r="Q96" s="168"/>
      <c r="S96" s="178"/>
      <c r="U96" s="177"/>
      <c r="W96" s="177"/>
      <c r="X96" s="60"/>
    </row>
    <row r="97" spans="1:31" ht="17.25" customHeight="1">
      <c r="A97" s="29" t="s">
        <v>74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2"/>
      <c r="S97" s="12"/>
      <c r="T97" s="11"/>
      <c r="U97" s="11"/>
      <c r="V97" s="11"/>
      <c r="W97" s="11"/>
      <c r="X97" s="110"/>
    </row>
    <row r="98" spans="1:31" ht="17.2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169"/>
    </row>
    <row r="99" spans="1:31" ht="14.25" customHeight="1">
      <c r="A99" s="210" t="s">
        <v>72</v>
      </c>
      <c r="B99" s="210"/>
      <c r="C99" s="210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</row>
    <row r="100" spans="1:31" ht="14.25" customHeight="1">
      <c r="A100" s="62"/>
      <c r="B100" s="62"/>
      <c r="C100" s="62"/>
      <c r="D100" s="62"/>
      <c r="E100" s="53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</row>
    <row r="101" spans="1:31" ht="14.25" customHeight="1">
      <c r="A101" s="51"/>
      <c r="B101" s="51"/>
      <c r="C101" s="51"/>
      <c r="D101" s="51"/>
      <c r="E101" s="53" t="str">
        <f>E35</f>
        <v>1. SPR4 SPOOL</v>
      </c>
      <c r="F101" s="109"/>
      <c r="G101" s="51"/>
      <c r="H101" s="51"/>
      <c r="I101" s="51"/>
      <c r="J101" s="51"/>
      <c r="K101" s="4"/>
      <c r="L101" s="4"/>
      <c r="M101" s="4">
        <f>M35</f>
        <v>64512</v>
      </c>
      <c r="N101" s="4"/>
      <c r="O101" s="114">
        <f>M101*0.098</f>
        <v>6322.1760000000004</v>
      </c>
      <c r="P101" s="51"/>
      <c r="Q101" s="115"/>
      <c r="R101" s="115">
        <f>V69*V76</f>
        <v>0</v>
      </c>
      <c r="S101" s="5"/>
      <c r="T101" s="51"/>
      <c r="U101" s="51"/>
      <c r="V101" s="51"/>
      <c r="W101" s="51"/>
      <c r="Y101" s="185"/>
    </row>
    <row r="102" spans="1:31" ht="12.75">
      <c r="A102" s="51"/>
      <c r="B102" s="51"/>
      <c r="C102" s="51"/>
      <c r="D102" s="51"/>
      <c r="E102" s="53" t="str">
        <f>E36</f>
        <v>(34181316A)</v>
      </c>
      <c r="F102" s="51"/>
      <c r="G102" s="51"/>
      <c r="H102" s="51"/>
      <c r="I102" s="51"/>
      <c r="J102" s="51"/>
      <c r="K102" s="4"/>
      <c r="L102" s="70"/>
      <c r="M102" s="4"/>
      <c r="N102" s="53"/>
      <c r="O102" s="114"/>
      <c r="P102" s="51"/>
      <c r="Q102" s="115"/>
      <c r="R102" s="115"/>
      <c r="S102" s="5"/>
      <c r="T102" s="51"/>
      <c r="U102" s="51"/>
      <c r="V102" s="51"/>
      <c r="W102" s="51"/>
      <c r="Y102" s="185"/>
    </row>
    <row r="103" spans="1:31" ht="15" customHeight="1">
      <c r="A103" s="51"/>
      <c r="B103" s="51"/>
      <c r="C103" s="51"/>
      <c r="D103" s="51"/>
      <c r="E103" s="53"/>
      <c r="F103" s="51"/>
      <c r="G103" s="51"/>
      <c r="H103" s="51"/>
      <c r="I103" s="51"/>
      <c r="J103" s="51"/>
      <c r="K103" s="4"/>
      <c r="L103" s="70"/>
      <c r="M103" s="53"/>
      <c r="N103" s="53"/>
      <c r="O103" s="68"/>
      <c r="P103" s="51"/>
      <c r="Q103" s="69"/>
      <c r="R103" s="67"/>
      <c r="S103" s="67"/>
      <c r="T103" s="67"/>
      <c r="U103" s="206"/>
      <c r="V103" s="206"/>
      <c r="W103" s="206"/>
      <c r="X103" s="78"/>
    </row>
    <row r="104" spans="1:31" ht="15" customHeight="1">
      <c r="A104" s="51"/>
      <c r="B104" s="35"/>
      <c r="C104" s="40"/>
      <c r="D104" s="40"/>
      <c r="E104" s="30" t="s">
        <v>23</v>
      </c>
      <c r="F104" s="11"/>
      <c r="G104" s="11"/>
      <c r="H104" s="11"/>
      <c r="I104" s="11"/>
      <c r="J104" s="208"/>
      <c r="K104" s="208"/>
      <c r="L104" s="208"/>
      <c r="M104" s="208"/>
      <c r="N104" s="209"/>
      <c r="O104" s="209"/>
      <c r="P104" s="209"/>
      <c r="Q104" s="133"/>
      <c r="R104" s="133"/>
      <c r="S104" s="134"/>
      <c r="T104" s="207"/>
      <c r="U104" s="207"/>
      <c r="V104" s="207"/>
      <c r="W104" s="207"/>
      <c r="X104" s="51"/>
    </row>
    <row r="105" spans="1:31" ht="15" customHeight="1">
      <c r="A105" s="51"/>
      <c r="E105" s="31"/>
      <c r="F105" s="31"/>
      <c r="G105" s="31"/>
      <c r="H105" s="31"/>
      <c r="I105" s="31"/>
      <c r="J105" s="38"/>
      <c r="K105" s="38"/>
      <c r="L105" s="38"/>
      <c r="M105" s="38"/>
      <c r="N105" s="44"/>
      <c r="O105" s="32"/>
      <c r="P105" s="40"/>
      <c r="Q105" s="40"/>
      <c r="T105" s="40"/>
      <c r="U105" s="40"/>
      <c r="V105" s="40"/>
      <c r="W105" s="40"/>
      <c r="X105" s="51"/>
    </row>
    <row r="106" spans="1:31" ht="15.75" customHeight="1">
      <c r="A106" s="51"/>
      <c r="E106" s="31"/>
      <c r="F106" s="31"/>
      <c r="G106" s="31"/>
      <c r="H106" s="31"/>
      <c r="I106" s="31"/>
      <c r="J106" s="38"/>
      <c r="K106" s="38"/>
      <c r="L106" s="38"/>
      <c r="M106" s="38"/>
      <c r="N106" s="44"/>
      <c r="O106" s="32"/>
      <c r="P106" s="40"/>
      <c r="Q106" s="40"/>
      <c r="T106" s="40"/>
      <c r="U106" s="40"/>
      <c r="V106" s="40"/>
      <c r="W106" s="40"/>
      <c r="X106" s="51"/>
    </row>
    <row r="107" spans="1:31" s="109" customFormat="1" ht="15" customHeight="1">
      <c r="A107" s="51"/>
      <c r="E107" s="31"/>
      <c r="F107" s="31"/>
      <c r="G107" s="31"/>
      <c r="H107" s="31"/>
      <c r="I107" s="31"/>
      <c r="J107" s="38"/>
      <c r="K107" s="38"/>
      <c r="L107" s="38"/>
      <c r="M107" s="38"/>
      <c r="N107" s="44"/>
      <c r="O107" s="32"/>
      <c r="P107" s="110"/>
      <c r="Q107" s="110"/>
      <c r="T107" s="110"/>
      <c r="U107" s="110"/>
      <c r="V107" s="110"/>
      <c r="W107" s="110"/>
      <c r="X107" s="51"/>
    </row>
    <row r="108" spans="1:31" s="109" customFormat="1" ht="15" customHeight="1">
      <c r="A108" s="51"/>
      <c r="E108" s="31"/>
      <c r="F108" s="31"/>
      <c r="G108" s="31"/>
      <c r="H108" s="31"/>
      <c r="I108" s="31"/>
      <c r="J108" s="38"/>
      <c r="K108" s="38"/>
      <c r="L108" s="38"/>
      <c r="M108" s="38"/>
      <c r="N108" s="44"/>
      <c r="O108" s="32"/>
      <c r="P108" s="110"/>
      <c r="Q108" s="110"/>
      <c r="T108" s="110"/>
      <c r="U108" s="110"/>
      <c r="V108" s="110"/>
      <c r="W108" s="110"/>
      <c r="X108" s="51"/>
    </row>
    <row r="109" spans="1:31" s="109" customFormat="1" ht="15" customHeight="1">
      <c r="A109" s="51"/>
      <c r="E109" s="31"/>
      <c r="F109" s="31"/>
      <c r="G109" s="31"/>
      <c r="H109" s="31"/>
      <c r="I109" s="31"/>
      <c r="J109" s="38"/>
      <c r="K109" s="38"/>
      <c r="L109" s="38"/>
      <c r="M109" s="38"/>
      <c r="N109" s="44"/>
      <c r="O109" s="32"/>
      <c r="P109" s="110"/>
      <c r="Q109" s="110"/>
      <c r="T109" s="110"/>
      <c r="U109" s="110"/>
      <c r="V109" s="110"/>
      <c r="W109" s="110"/>
      <c r="X109" s="51"/>
    </row>
    <row r="110" spans="1:31" s="109" customFormat="1" ht="15" customHeight="1">
      <c r="A110" s="51"/>
      <c r="E110" s="31"/>
      <c r="F110" s="31"/>
      <c r="G110" s="31"/>
      <c r="H110" s="31"/>
      <c r="I110" s="31"/>
      <c r="J110" s="38"/>
      <c r="K110" s="38"/>
      <c r="L110" s="38"/>
      <c r="M110" s="38"/>
      <c r="N110" s="44"/>
      <c r="O110" s="32"/>
      <c r="P110" s="110"/>
      <c r="Q110" s="110"/>
      <c r="T110" s="110"/>
      <c r="U110" s="110"/>
      <c r="V110" s="110"/>
      <c r="W110" s="110"/>
      <c r="X110" s="110"/>
      <c r="AE110" s="152"/>
    </row>
    <row r="111" spans="1:31" s="109" customFormat="1" ht="15" customHeight="1">
      <c r="A111" s="51"/>
      <c r="E111" s="31"/>
      <c r="F111" s="31"/>
      <c r="G111" s="31"/>
      <c r="H111" s="31"/>
      <c r="I111" s="31"/>
      <c r="J111" s="38"/>
      <c r="K111" s="38"/>
      <c r="L111" s="38"/>
      <c r="M111" s="38"/>
      <c r="N111" s="44"/>
      <c r="O111" s="32"/>
      <c r="P111" s="110"/>
      <c r="Q111" s="110"/>
      <c r="T111" s="110"/>
      <c r="U111" s="110"/>
      <c r="V111" s="110"/>
      <c r="W111" s="110"/>
      <c r="X111" s="40"/>
    </row>
    <row r="112" spans="1:31" s="109" customFormat="1" ht="15" customHeight="1">
      <c r="A112" s="51"/>
      <c r="E112" s="31"/>
      <c r="F112" s="31"/>
      <c r="G112" s="31"/>
      <c r="H112" s="31"/>
      <c r="I112" s="31"/>
      <c r="J112" s="38"/>
      <c r="K112" s="38"/>
      <c r="L112" s="38"/>
      <c r="M112" s="38"/>
      <c r="N112" s="44"/>
      <c r="O112" s="32"/>
      <c r="P112" s="110"/>
      <c r="Q112" s="110"/>
      <c r="T112" s="110"/>
      <c r="U112" s="110"/>
      <c r="V112" s="110"/>
      <c r="W112" s="110"/>
      <c r="X112" s="40"/>
    </row>
    <row r="113" spans="1:25" s="109" customFormat="1" ht="15" customHeight="1">
      <c r="A113" s="51"/>
      <c r="E113" s="31"/>
      <c r="F113" s="31"/>
      <c r="G113" s="31"/>
      <c r="H113" s="31"/>
      <c r="I113" s="31"/>
      <c r="J113" s="38"/>
      <c r="K113" s="38"/>
      <c r="L113" s="38"/>
      <c r="M113" s="38"/>
      <c r="N113" s="44"/>
      <c r="O113" s="32"/>
      <c r="P113" s="110"/>
      <c r="Q113" s="110"/>
      <c r="T113" s="110"/>
      <c r="U113" s="110"/>
      <c r="V113" s="110"/>
      <c r="W113" s="110"/>
      <c r="X113" s="110"/>
    </row>
    <row r="114" spans="1:25" s="109" customFormat="1" ht="15" customHeight="1">
      <c r="A114" s="51"/>
      <c r="E114" s="31"/>
      <c r="F114" s="31"/>
      <c r="G114" s="31"/>
      <c r="H114" s="31"/>
      <c r="I114" s="31"/>
      <c r="J114" s="38"/>
      <c r="K114" s="38"/>
      <c r="L114" s="38"/>
      <c r="M114" s="38"/>
      <c r="N114" s="44"/>
      <c r="O114" s="32"/>
      <c r="P114" s="110"/>
      <c r="Q114" s="110"/>
      <c r="T114" s="110"/>
      <c r="U114" s="110"/>
      <c r="V114" s="110"/>
      <c r="W114" s="110"/>
      <c r="X114" s="110"/>
    </row>
    <row r="115" spans="1:25" s="109" customFormat="1" ht="15" customHeight="1">
      <c r="A115" s="51"/>
      <c r="E115" s="31"/>
      <c r="F115" s="31"/>
      <c r="G115" s="31"/>
      <c r="H115" s="31"/>
      <c r="I115" s="31"/>
      <c r="J115" s="38"/>
      <c r="K115" s="38"/>
      <c r="L115" s="38"/>
      <c r="M115" s="38"/>
      <c r="N115" s="44"/>
      <c r="O115" s="32"/>
      <c r="P115" s="110"/>
      <c r="Q115" s="110"/>
      <c r="T115" s="110"/>
      <c r="U115" s="110"/>
      <c r="V115" s="110"/>
      <c r="W115" s="110"/>
      <c r="X115" s="110"/>
    </row>
    <row r="116" spans="1:25" s="109" customFormat="1" ht="15" customHeight="1">
      <c r="A116" s="40"/>
      <c r="E116" s="31"/>
      <c r="F116" s="31"/>
      <c r="G116" s="31"/>
      <c r="H116" s="31"/>
      <c r="I116" s="31"/>
      <c r="J116" s="38"/>
      <c r="K116" s="38"/>
      <c r="L116" s="38"/>
      <c r="M116" s="38"/>
      <c r="N116" s="44"/>
      <c r="O116" s="32"/>
      <c r="P116" s="110"/>
      <c r="Q116" s="110"/>
      <c r="T116" s="110"/>
      <c r="U116" s="110"/>
      <c r="V116" s="110"/>
      <c r="W116" s="110"/>
      <c r="X116" s="110"/>
    </row>
    <row r="117" spans="1:25" s="185" customFormat="1" ht="15" customHeight="1">
      <c r="A117" s="39" t="str">
        <f>A39</f>
        <v>MADE IN VIETNAM</v>
      </c>
      <c r="B117" s="109"/>
      <c r="C117" s="109"/>
      <c r="D117" s="109"/>
      <c r="E117" s="31"/>
      <c r="F117" s="31"/>
      <c r="G117" s="31"/>
      <c r="H117" s="31"/>
      <c r="I117" s="31"/>
      <c r="J117" s="38"/>
      <c r="K117" s="38"/>
      <c r="L117" s="38"/>
      <c r="M117" s="38"/>
      <c r="N117" s="44"/>
      <c r="O117" s="32"/>
      <c r="P117" s="110"/>
      <c r="Q117" s="110"/>
      <c r="R117" s="109"/>
      <c r="S117" s="109"/>
      <c r="T117" s="110"/>
      <c r="U117" s="110"/>
      <c r="V117" s="110"/>
      <c r="W117" s="110"/>
      <c r="X117" s="110"/>
    </row>
    <row r="118" spans="1:25" s="185" customFormat="1" ht="15" customHeight="1">
      <c r="A118" s="39" t="str">
        <f>A40</f>
        <v>//////////////////////////////////</v>
      </c>
      <c r="B118" s="39"/>
      <c r="C118" s="39"/>
      <c r="D118" s="39"/>
      <c r="E118" s="31"/>
      <c r="F118" s="31"/>
      <c r="G118" s="31"/>
      <c r="H118" s="31"/>
      <c r="I118" s="31"/>
      <c r="J118" s="38"/>
      <c r="K118" s="38"/>
      <c r="L118" s="38"/>
      <c r="M118" s="38"/>
      <c r="N118" s="44"/>
      <c r="O118" s="32"/>
      <c r="P118" s="40"/>
      <c r="Q118" s="40"/>
      <c r="R118" s="39"/>
      <c r="S118" s="39"/>
      <c r="T118" s="40"/>
      <c r="U118" s="40"/>
      <c r="V118" s="40"/>
      <c r="W118" s="40"/>
      <c r="X118" s="110"/>
    </row>
    <row r="119" spans="1:25" s="109" customFormat="1" ht="15" customHeight="1">
      <c r="B119" s="39"/>
      <c r="C119" s="39"/>
      <c r="D119" s="39"/>
      <c r="E119" s="31"/>
      <c r="F119" s="31"/>
      <c r="G119" s="31"/>
      <c r="H119" s="31"/>
      <c r="I119" s="31"/>
      <c r="J119" s="38"/>
      <c r="K119" s="38"/>
      <c r="L119" s="38"/>
      <c r="M119" s="38"/>
      <c r="N119" s="44"/>
      <c r="O119" s="32"/>
      <c r="P119" s="40"/>
      <c r="Q119" s="40"/>
      <c r="R119" s="39"/>
      <c r="S119" s="39"/>
      <c r="T119" s="40"/>
      <c r="U119" s="40"/>
      <c r="V119" s="40"/>
      <c r="W119" s="40"/>
      <c r="X119" s="110"/>
    </row>
    <row r="120" spans="1:25" s="109" customFormat="1" ht="15" customHeight="1">
      <c r="B120" s="39"/>
      <c r="C120" s="39"/>
      <c r="D120" s="39"/>
      <c r="E120" s="27"/>
      <c r="F120" s="39"/>
      <c r="G120" s="39"/>
      <c r="H120" s="39"/>
      <c r="I120" s="39"/>
      <c r="J120" s="39"/>
      <c r="K120" s="39"/>
      <c r="L120" s="39"/>
      <c r="M120" s="39"/>
      <c r="N120" s="107" t="s">
        <v>73</v>
      </c>
      <c r="O120" s="40"/>
      <c r="P120" s="33"/>
      <c r="Q120" s="33"/>
      <c r="R120" s="33"/>
      <c r="S120" s="33"/>
      <c r="T120" s="33"/>
      <c r="U120" s="33"/>
      <c r="V120" s="33"/>
      <c r="W120" s="33"/>
      <c r="X120" s="33"/>
      <c r="Y120" s="185"/>
    </row>
    <row r="121" spans="1:25" ht="15" customHeight="1">
      <c r="A121" s="109"/>
      <c r="B121" s="40"/>
      <c r="C121" s="40"/>
      <c r="D121" s="40"/>
      <c r="P121" s="40"/>
      <c r="X121" s="110"/>
    </row>
    <row r="122" spans="1:25" ht="15" customHeight="1">
      <c r="A122" s="109"/>
      <c r="B122" s="40"/>
      <c r="C122" s="40"/>
      <c r="D122" s="40"/>
      <c r="P122" s="40"/>
      <c r="X122" s="110"/>
    </row>
    <row r="123" spans="1:25" ht="15" customHeight="1">
      <c r="A123" s="109"/>
      <c r="X123" s="110"/>
    </row>
    <row r="124" spans="1:25" ht="15" customHeight="1">
      <c r="A124" s="109"/>
      <c r="X124" s="40"/>
    </row>
    <row r="125" spans="1:25" s="109" customFormat="1" ht="15" customHeight="1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40"/>
    </row>
    <row r="126" spans="1:25" s="109" customFormat="1" ht="15" customHeight="1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110"/>
    </row>
    <row r="127" spans="1:25" s="109" customFormat="1" ht="15" customHeight="1"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110"/>
    </row>
    <row r="128" spans="1:25" s="109" customFormat="1" ht="15" customHeight="1"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40"/>
    </row>
    <row r="129" spans="1:26" s="109" customFormat="1" ht="15" customHeight="1"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</row>
    <row r="130" spans="1:26" s="109" customFormat="1" ht="1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</row>
    <row r="131" spans="1:26" s="109" customFormat="1" ht="1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6" s="109" customFormat="1" ht="15" customHeight="1">
      <c r="A132" s="17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6" s="109" customFormat="1" ht="15" customHeight="1">
      <c r="A133" s="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6" s="109" customFormat="1" ht="15" customHeight="1">
      <c r="A134" s="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6" s="109" customFormat="1" ht="1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6" ht="15" customHeight="1"/>
    <row r="137" spans="1:26" ht="15" customHeight="1"/>
    <row r="138" spans="1:26" ht="15" customHeight="1"/>
    <row r="139" spans="1:26" ht="15" customHeight="1">
      <c r="Y139" s="192"/>
      <c r="Z139" s="192"/>
    </row>
    <row r="140" spans="1:26" ht="15" customHeight="1"/>
    <row r="141" spans="1:26" ht="15" customHeight="1"/>
    <row r="142" spans="1:26" ht="15" customHeight="1"/>
    <row r="143" spans="1:26" ht="15" customHeight="1"/>
    <row r="144" spans="1:26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mergeCells count="29">
    <mergeCell ref="B26:I26"/>
    <mergeCell ref="J38:N38"/>
    <mergeCell ref="K3:M3"/>
    <mergeCell ref="G30:I30"/>
    <mergeCell ref="B25:I25"/>
    <mergeCell ref="B90:G90"/>
    <mergeCell ref="I89:I91"/>
    <mergeCell ref="G28:I28"/>
    <mergeCell ref="B28:E28"/>
    <mergeCell ref="A1:X1"/>
    <mergeCell ref="B22:I22"/>
    <mergeCell ref="B23:I23"/>
    <mergeCell ref="B24:I24"/>
    <mergeCell ref="B20:I20"/>
    <mergeCell ref="B21:I21"/>
    <mergeCell ref="G94:I94"/>
    <mergeCell ref="B89:H89"/>
    <mergeCell ref="A63:X64"/>
    <mergeCell ref="O28:Q28"/>
    <mergeCell ref="B91:H91"/>
    <mergeCell ref="A33:W33"/>
    <mergeCell ref="A30:E30"/>
    <mergeCell ref="U103:W103"/>
    <mergeCell ref="T104:W104"/>
    <mergeCell ref="J104:M104"/>
    <mergeCell ref="N104:P104"/>
    <mergeCell ref="A99:W99"/>
    <mergeCell ref="A96:E96"/>
    <mergeCell ref="G96:H96"/>
  </mergeCells>
  <phoneticPr fontId="8" type="noConversion"/>
  <hyperlinks>
    <hyperlink ref="B25" r:id="rId1"/>
    <hyperlink ref="B16" r:id="rId2"/>
  </hyperlinks>
  <pageMargins left="0.59055118110236204" right="0.59055118110236204" top="0.98425196850393704" bottom="0.511811023622047" header="0.511811023622047" footer="0.511811023622047"/>
  <pageSetup paperSize="9" scale="53" orientation="portrait" horizontalDpi="4294967293" verticalDpi="4294967293" r:id="rId3"/>
  <headerFooter alignWithMargins="0"/>
  <rowBreaks count="1" manualBreakCount="1">
    <brk id="63" max="3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wontae</dc:creator>
  <cp:lastModifiedBy>VNG-279</cp:lastModifiedBy>
  <cp:lastPrinted>2023-07-01T01:21:37Z</cp:lastPrinted>
  <dcterms:created xsi:type="dcterms:W3CDTF">1997-10-24T12:40:58Z</dcterms:created>
  <dcterms:modified xsi:type="dcterms:W3CDTF">2023-07-31T07:00:12Z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812DA">
    <vt:lpwstr/>
  </property>
  <property fmtid="{D5CDD505-2E9C-101B-9397-08002B2CF9AE}" pid="19" name="IVID173907ED">
    <vt:lpwstr/>
  </property>
  <property fmtid="{D5CDD505-2E9C-101B-9397-08002B2CF9AE}" pid="20" name="IVID1D3F17E2">
    <vt:lpwstr/>
  </property>
  <property fmtid="{D5CDD505-2E9C-101B-9397-08002B2CF9AE}" pid="21" name="IVID13451200">
    <vt:lpwstr/>
  </property>
  <property fmtid="{D5CDD505-2E9C-101B-9397-08002B2CF9AE}" pid="22" name="IVID121617DE">
    <vt:lpwstr/>
  </property>
  <property fmtid="{D5CDD505-2E9C-101B-9397-08002B2CF9AE}" pid="23" name="IVID13691AF2">
    <vt:lpwstr/>
  </property>
  <property fmtid="{D5CDD505-2E9C-101B-9397-08002B2CF9AE}" pid="24" name="IVID1A3B0AF0">
    <vt:lpwstr/>
  </property>
  <property fmtid="{D5CDD505-2E9C-101B-9397-08002B2CF9AE}" pid="25" name="IVID373F12DB">
    <vt:lpwstr/>
  </property>
  <property fmtid="{D5CDD505-2E9C-101B-9397-08002B2CF9AE}" pid="26" name="IVID274B1CF5">
    <vt:lpwstr/>
  </property>
  <property fmtid="{D5CDD505-2E9C-101B-9397-08002B2CF9AE}" pid="27" name="IVID2B4E17FA">
    <vt:lpwstr/>
  </property>
  <property fmtid="{D5CDD505-2E9C-101B-9397-08002B2CF9AE}" pid="28" name="IVID253D11EF">
    <vt:lpwstr/>
  </property>
  <property fmtid="{D5CDD505-2E9C-101B-9397-08002B2CF9AE}" pid="29" name="IVID102124BA">
    <vt:lpwstr/>
  </property>
  <property fmtid="{D5CDD505-2E9C-101B-9397-08002B2CF9AE}" pid="30" name="IVID3D1509D0">
    <vt:lpwstr/>
  </property>
  <property fmtid="{D5CDD505-2E9C-101B-9397-08002B2CF9AE}" pid="31" name="IVID35641901">
    <vt:lpwstr/>
  </property>
  <property fmtid="{D5CDD505-2E9C-101B-9397-08002B2CF9AE}" pid="32" name="IVID45E1ED9">
    <vt:lpwstr/>
  </property>
  <property fmtid="{D5CDD505-2E9C-101B-9397-08002B2CF9AE}" pid="33" name="IVID324113D1">
    <vt:lpwstr/>
  </property>
  <property fmtid="{D5CDD505-2E9C-101B-9397-08002B2CF9AE}" pid="34" name="IVID1A2D1903">
    <vt:lpwstr/>
  </property>
  <property fmtid="{D5CDD505-2E9C-101B-9397-08002B2CF9AE}" pid="35" name="IVID167717E3">
    <vt:lpwstr/>
  </property>
  <property fmtid="{D5CDD505-2E9C-101B-9397-08002B2CF9AE}" pid="36" name="IVID115011ED">
    <vt:lpwstr/>
  </property>
  <property fmtid="{D5CDD505-2E9C-101B-9397-08002B2CF9AE}" pid="37" name="IVID17F73E44">
    <vt:lpwstr/>
  </property>
  <property fmtid="{D5CDD505-2E9C-101B-9397-08002B2CF9AE}" pid="38" name="IVID140B1B32">
    <vt:lpwstr/>
  </property>
  <property fmtid="{D5CDD505-2E9C-101B-9397-08002B2CF9AE}" pid="39" name="IVID263215FC">
    <vt:lpwstr/>
  </property>
  <property fmtid="{D5CDD505-2E9C-101B-9397-08002B2CF9AE}" pid="40" name="IVID250E6BCB">
    <vt:lpwstr/>
  </property>
  <property fmtid="{D5CDD505-2E9C-101B-9397-08002B2CF9AE}" pid="41" name="IVIDD5A11CE">
    <vt:lpwstr/>
  </property>
  <property fmtid="{D5CDD505-2E9C-101B-9397-08002B2CF9AE}" pid="42" name="IVIDF6113D9">
    <vt:lpwstr/>
  </property>
  <property fmtid="{D5CDD505-2E9C-101B-9397-08002B2CF9AE}" pid="43" name="IVID3A4D10EE">
    <vt:lpwstr/>
  </property>
  <property fmtid="{D5CDD505-2E9C-101B-9397-08002B2CF9AE}" pid="44" name="IVIDF6611EE">
    <vt:lpwstr/>
  </property>
  <property fmtid="{D5CDD505-2E9C-101B-9397-08002B2CF9AE}" pid="45" name="IVID3C5318DC">
    <vt:lpwstr/>
  </property>
  <property fmtid="{D5CDD505-2E9C-101B-9397-08002B2CF9AE}" pid="46" name="IVID1A3517F4">
    <vt:lpwstr/>
  </property>
  <property fmtid="{D5CDD505-2E9C-101B-9397-08002B2CF9AE}" pid="47" name="IVID32430BD8">
    <vt:lpwstr/>
  </property>
  <property fmtid="{D5CDD505-2E9C-101B-9397-08002B2CF9AE}" pid="48" name="IVID22ED61C1">
    <vt:lpwstr/>
  </property>
  <property fmtid="{D5CDD505-2E9C-101B-9397-08002B2CF9AE}" pid="49" name="IVID1D2C19F8">
    <vt:lpwstr/>
  </property>
  <property fmtid="{D5CDD505-2E9C-101B-9397-08002B2CF9AE}" pid="50" name="IVIDF5A18E8">
    <vt:lpwstr/>
  </property>
  <property fmtid="{D5CDD505-2E9C-101B-9397-08002B2CF9AE}" pid="51" name="IVID1B301CF7">
    <vt:lpwstr/>
  </property>
  <property fmtid="{D5CDD505-2E9C-101B-9397-08002B2CF9AE}" pid="52" name="IVID1A241508">
    <vt:lpwstr/>
  </property>
  <property fmtid="{D5CDD505-2E9C-101B-9397-08002B2CF9AE}" pid="53" name="IVID325F14E2">
    <vt:lpwstr/>
  </property>
  <property fmtid="{D5CDD505-2E9C-101B-9397-08002B2CF9AE}" pid="54" name="IVID140E10F6">
    <vt:lpwstr/>
  </property>
  <property fmtid="{D5CDD505-2E9C-101B-9397-08002B2CF9AE}" pid="55" name="IVIDE4E1CE1">
    <vt:lpwstr/>
  </property>
  <property fmtid="{D5CDD505-2E9C-101B-9397-08002B2CF9AE}" pid="56" name="IVID144010F0">
    <vt:lpwstr/>
  </property>
  <property fmtid="{D5CDD505-2E9C-101B-9397-08002B2CF9AE}" pid="57" name="IVID3E431BD5">
    <vt:lpwstr/>
  </property>
  <property fmtid="{D5CDD505-2E9C-101B-9397-08002B2CF9AE}" pid="58" name="IVID74212DC">
    <vt:lpwstr/>
  </property>
  <property fmtid="{D5CDD505-2E9C-101B-9397-08002B2CF9AE}" pid="59" name="IVID19F52129">
    <vt:lpwstr/>
  </property>
  <property fmtid="{D5CDD505-2E9C-101B-9397-08002B2CF9AE}" pid="60" name="IVID402D18F2">
    <vt:lpwstr/>
  </property>
  <property fmtid="{D5CDD505-2E9C-101B-9397-08002B2CF9AE}" pid="61" name="IVID2423190A">
    <vt:lpwstr/>
  </property>
  <property fmtid="{D5CDD505-2E9C-101B-9397-08002B2CF9AE}" pid="62" name="IVID1AED2670">
    <vt:lpwstr/>
  </property>
  <property fmtid="{D5CDD505-2E9C-101B-9397-08002B2CF9AE}" pid="63" name="IVID1C581">
    <vt:lpwstr/>
  </property>
  <property fmtid="{D5CDD505-2E9C-101B-9397-08002B2CF9AE}" pid="64" name="IVID160A1730">
    <vt:lpwstr/>
  </property>
  <property fmtid="{D5CDD505-2E9C-101B-9397-08002B2CF9AE}" pid="65" name="IVIDFF13460">
    <vt:lpwstr/>
  </property>
  <property fmtid="{D5CDD505-2E9C-101B-9397-08002B2CF9AE}" pid="66" name="IVIDFFC2C44">
    <vt:lpwstr/>
  </property>
  <property fmtid="{D5CDD505-2E9C-101B-9397-08002B2CF9AE}" pid="67" name="IVID222F6E42">
    <vt:lpwstr/>
  </property>
  <property fmtid="{D5CDD505-2E9C-101B-9397-08002B2CF9AE}" pid="68" name="IVID137012E9">
    <vt:lpwstr/>
  </property>
  <property fmtid="{D5CDD505-2E9C-101B-9397-08002B2CF9AE}" pid="69" name="IVID3D4D17F3">
    <vt:lpwstr/>
  </property>
  <property fmtid="{D5CDD505-2E9C-101B-9397-08002B2CF9AE}" pid="70" name="IVID2F2214CF">
    <vt:lpwstr/>
  </property>
  <property fmtid="{D5CDD505-2E9C-101B-9397-08002B2CF9AE}" pid="71" name="IVID212812E2">
    <vt:lpwstr/>
  </property>
  <property fmtid="{D5CDD505-2E9C-101B-9397-08002B2CF9AE}" pid="72" name="IVID174513DF">
    <vt:lpwstr/>
  </property>
  <property fmtid="{D5CDD505-2E9C-101B-9397-08002B2CF9AE}" pid="73" name="IVID33601201">
    <vt:lpwstr/>
  </property>
  <property fmtid="{D5CDD505-2E9C-101B-9397-08002B2CF9AE}" pid="74" name="IVIDFF83B39">
    <vt:lpwstr/>
  </property>
  <property fmtid="{D5CDD505-2E9C-101B-9397-08002B2CF9AE}" pid="75" name="IVID173E1206">
    <vt:lpwstr/>
  </property>
  <property fmtid="{D5CDD505-2E9C-101B-9397-08002B2CF9AE}" pid="76" name="IVID232310EC">
    <vt:lpwstr/>
  </property>
  <property fmtid="{D5CDD505-2E9C-101B-9397-08002B2CF9AE}" pid="77" name="IVID133D1AE5">
    <vt:lpwstr/>
  </property>
  <property fmtid="{D5CDD505-2E9C-101B-9397-08002B2CF9AE}" pid="78" name="IVID362E14DB">
    <vt:lpwstr/>
  </property>
  <property fmtid="{D5CDD505-2E9C-101B-9397-08002B2CF9AE}" pid="79" name="IVID1F6511DB">
    <vt:lpwstr/>
  </property>
  <property fmtid="{D5CDD505-2E9C-101B-9397-08002B2CF9AE}" pid="80" name="IVID3F1D10E8">
    <vt:lpwstr/>
  </property>
  <property fmtid="{D5CDD505-2E9C-101B-9397-08002B2CF9AE}" pid="81" name="IVID144313EE">
    <vt:lpwstr/>
  </property>
  <property fmtid="{D5CDD505-2E9C-101B-9397-08002B2CF9AE}" pid="82" name="IVID272C0FEF">
    <vt:lpwstr/>
  </property>
  <property fmtid="{D5CDD505-2E9C-101B-9397-08002B2CF9AE}" pid="83" name="IVID240A1504">
    <vt:lpwstr/>
  </property>
  <property fmtid="{D5CDD505-2E9C-101B-9397-08002B2CF9AE}" pid="84" name="IVID2E511106">
    <vt:lpwstr/>
  </property>
  <property fmtid="{D5CDD505-2E9C-101B-9397-08002B2CF9AE}" pid="85" name="IVID2A6D14EB">
    <vt:lpwstr/>
  </property>
  <property fmtid="{D5CDD505-2E9C-101B-9397-08002B2CF9AE}" pid="86" name="IVID386F14FA">
    <vt:lpwstr/>
  </property>
  <property fmtid="{D5CDD505-2E9C-101B-9397-08002B2CF9AE}" pid="87" name="IVIDA1B07F3">
    <vt:lpwstr/>
  </property>
  <property fmtid="{D5CDD505-2E9C-101B-9397-08002B2CF9AE}" pid="88" name="IVID2A6715D8">
    <vt:lpwstr/>
  </property>
  <property fmtid="{D5CDD505-2E9C-101B-9397-08002B2CF9AE}" pid="89" name="IVID222D19FF">
    <vt:lpwstr/>
  </property>
  <property fmtid="{D5CDD505-2E9C-101B-9397-08002B2CF9AE}" pid="90" name="IVID1F611602">
    <vt:lpwstr/>
  </property>
  <property fmtid="{D5CDD505-2E9C-101B-9397-08002B2CF9AE}" pid="91" name="IVID1E032323">
    <vt:lpwstr/>
  </property>
  <property fmtid="{D5CDD505-2E9C-101B-9397-08002B2CF9AE}" pid="92" name="IVID475611CF">
    <vt:lpwstr/>
  </property>
  <property fmtid="{D5CDD505-2E9C-101B-9397-08002B2CF9AE}" pid="93" name="IVID302D13DA">
    <vt:lpwstr/>
  </property>
  <property fmtid="{D5CDD505-2E9C-101B-9397-08002B2CF9AE}" pid="94" name="IVIDD5915D9">
    <vt:lpwstr/>
  </property>
  <property fmtid="{D5CDD505-2E9C-101B-9397-08002B2CF9AE}" pid="95" name="IVID17F6384A">
    <vt:lpwstr/>
  </property>
  <property fmtid="{D5CDD505-2E9C-101B-9397-08002B2CF9AE}" pid="96" name="IVID3B5A10EA">
    <vt:lpwstr/>
  </property>
  <property fmtid="{D5CDD505-2E9C-101B-9397-08002B2CF9AE}" pid="97" name="IVID3D0F16E3">
    <vt:lpwstr/>
  </property>
  <property fmtid="{D5CDD505-2E9C-101B-9397-08002B2CF9AE}" pid="98" name="IVID30260FFC">
    <vt:lpwstr/>
  </property>
  <property fmtid="{D5CDD505-2E9C-101B-9397-08002B2CF9AE}" pid="99" name="IVID2F301BED">
    <vt:lpwstr/>
  </property>
  <property fmtid="{D5CDD505-2E9C-101B-9397-08002B2CF9AE}" pid="100" name="IVID2F1117F5">
    <vt:lpwstr/>
  </property>
  <property fmtid="{D5CDD505-2E9C-101B-9397-08002B2CF9AE}" pid="101" name="IVID14481408">
    <vt:lpwstr/>
  </property>
  <property fmtid="{D5CDD505-2E9C-101B-9397-08002B2CF9AE}" pid="102" name="IVID2E670A05">
    <vt:lpwstr/>
  </property>
  <property fmtid="{D5CDD505-2E9C-101B-9397-08002B2CF9AE}" pid="103" name="IVID2A161305">
    <vt:lpwstr/>
  </property>
  <property fmtid="{D5CDD505-2E9C-101B-9397-08002B2CF9AE}" pid="104" name="IVID2D4D15EB">
    <vt:lpwstr/>
  </property>
  <property fmtid="{D5CDD505-2E9C-101B-9397-08002B2CF9AE}" pid="105" name="IVID80A173A">
    <vt:lpwstr/>
  </property>
  <property fmtid="{D5CDD505-2E9C-101B-9397-08002B2CF9AE}" pid="106" name="IVID2B741205">
    <vt:lpwstr/>
  </property>
  <property fmtid="{D5CDD505-2E9C-101B-9397-08002B2CF9AE}" pid="107" name="IVID203A1108">
    <vt:lpwstr/>
  </property>
  <property fmtid="{D5CDD505-2E9C-101B-9397-08002B2CF9AE}" pid="108" name="IVID28741007">
    <vt:lpwstr/>
  </property>
  <property fmtid="{D5CDD505-2E9C-101B-9397-08002B2CF9AE}" pid="109" name="IVID2B0E1302">
    <vt:lpwstr/>
  </property>
  <property fmtid="{D5CDD505-2E9C-101B-9397-08002B2CF9AE}" pid="110" name="IVID332E19D7">
    <vt:lpwstr/>
  </property>
  <property fmtid="{D5CDD505-2E9C-101B-9397-08002B2CF9AE}" pid="111" name="IVID22261800">
    <vt:lpwstr/>
  </property>
  <property fmtid="{D5CDD505-2E9C-101B-9397-08002B2CF9AE}" pid="112" name="IVID325116DE">
    <vt:lpwstr/>
  </property>
  <property fmtid="{D5CDD505-2E9C-101B-9397-08002B2CF9AE}" pid="113" name="IVID81113D2">
    <vt:lpwstr/>
  </property>
  <property fmtid="{D5CDD505-2E9C-101B-9397-08002B2CF9AE}" pid="114" name="IVID1D231201">
    <vt:lpwstr/>
  </property>
  <property fmtid="{D5CDD505-2E9C-101B-9397-08002B2CF9AE}" pid="115" name="IVID366A14F0">
    <vt:lpwstr/>
  </property>
  <property fmtid="{D5CDD505-2E9C-101B-9397-08002B2CF9AE}" pid="116" name="IVID316311F9">
    <vt:lpwstr/>
  </property>
  <property fmtid="{D5CDD505-2E9C-101B-9397-08002B2CF9AE}" pid="117" name="IVIDE0715F1">
    <vt:lpwstr/>
  </property>
  <property fmtid="{D5CDD505-2E9C-101B-9397-08002B2CF9AE}" pid="118" name="IVID3B5816EC">
    <vt:lpwstr/>
  </property>
  <property fmtid="{D5CDD505-2E9C-101B-9397-08002B2CF9AE}" pid="119" name="IVID351414F8">
    <vt:lpwstr/>
  </property>
  <property fmtid="{D5CDD505-2E9C-101B-9397-08002B2CF9AE}" pid="120" name="IVID2F251AE7">
    <vt:lpwstr/>
  </property>
  <property fmtid="{D5CDD505-2E9C-101B-9397-08002B2CF9AE}" pid="121" name="IVID2A5E1D03">
    <vt:lpwstr/>
  </property>
  <property fmtid="{D5CDD505-2E9C-101B-9397-08002B2CF9AE}" pid="122" name="IVID306310DF">
    <vt:lpwstr/>
  </property>
  <property fmtid="{D5CDD505-2E9C-101B-9397-08002B2CF9AE}" pid="123" name="IVID266F16CF">
    <vt:lpwstr/>
  </property>
  <property fmtid="{D5CDD505-2E9C-101B-9397-08002B2CF9AE}" pid="124" name="IVID307414D1">
    <vt:lpwstr/>
  </property>
  <property fmtid="{D5CDD505-2E9C-101B-9397-08002B2CF9AE}" pid="125" name="IVID344B1400">
    <vt:lpwstr/>
  </property>
  <property fmtid="{D5CDD505-2E9C-101B-9397-08002B2CF9AE}" pid="126" name="IVID135B1DF5">
    <vt:lpwstr/>
  </property>
  <property fmtid="{D5CDD505-2E9C-101B-9397-08002B2CF9AE}" pid="127" name="IVID1A3716D3">
    <vt:lpwstr/>
  </property>
  <property fmtid="{D5CDD505-2E9C-101B-9397-08002B2CF9AE}" pid="128" name="IVIDD1916DB">
    <vt:lpwstr/>
  </property>
  <property fmtid="{D5CDD505-2E9C-101B-9397-08002B2CF9AE}" pid="129" name="IVID11431AF1">
    <vt:lpwstr/>
  </property>
  <property fmtid="{D5CDD505-2E9C-101B-9397-08002B2CF9AE}" pid="130" name="IVID1B2C19F3">
    <vt:lpwstr/>
  </property>
  <property fmtid="{D5CDD505-2E9C-101B-9397-08002B2CF9AE}" pid="131" name="IVIDD5E0FE6">
    <vt:lpwstr/>
  </property>
  <property fmtid="{D5CDD505-2E9C-101B-9397-08002B2CF9AE}" pid="132" name="IVID162D1605">
    <vt:lpwstr/>
  </property>
  <property fmtid="{D5CDD505-2E9C-101B-9397-08002B2CF9AE}" pid="133" name="IVID2A3614FA">
    <vt:lpwstr/>
  </property>
  <property fmtid="{D5CDD505-2E9C-101B-9397-08002B2CF9AE}" pid="134" name="IVID2E481703">
    <vt:lpwstr/>
  </property>
  <property fmtid="{D5CDD505-2E9C-101B-9397-08002B2CF9AE}" pid="135" name="IVID417511F3">
    <vt:lpwstr/>
  </property>
  <property fmtid="{D5CDD505-2E9C-101B-9397-08002B2CF9AE}" pid="136" name="IVID17D61D4B">
    <vt:lpwstr/>
  </property>
  <property fmtid="{D5CDD505-2E9C-101B-9397-08002B2CF9AE}" pid="137" name="IVID322814F3">
    <vt:lpwstr/>
  </property>
  <property fmtid="{D5CDD505-2E9C-101B-9397-08002B2CF9AE}" pid="138" name="IVID3E4C18D2">
    <vt:lpwstr/>
  </property>
  <property fmtid="{D5CDD505-2E9C-101B-9397-08002B2CF9AE}" pid="139" name="IVID1D1B12E2">
    <vt:lpwstr/>
  </property>
  <property fmtid="{D5CDD505-2E9C-101B-9397-08002B2CF9AE}" pid="140" name="IVID4263150A">
    <vt:lpwstr/>
  </property>
  <property fmtid="{D5CDD505-2E9C-101B-9397-08002B2CF9AE}" pid="141" name="IVID2A3215F8">
    <vt:lpwstr/>
  </property>
  <property fmtid="{D5CDD505-2E9C-101B-9397-08002B2CF9AE}" pid="142" name="IVID17032C5B">
    <vt:lpwstr/>
  </property>
  <property fmtid="{D5CDD505-2E9C-101B-9397-08002B2CF9AE}" pid="143" name="IVID332C1603">
    <vt:lpwstr/>
  </property>
  <property fmtid="{D5CDD505-2E9C-101B-9397-08002B2CF9AE}" pid="144" name="IVID34571001">
    <vt:lpwstr/>
  </property>
  <property fmtid="{D5CDD505-2E9C-101B-9397-08002B2CF9AE}" pid="145" name="IVID112C16F7">
    <vt:lpwstr/>
  </property>
  <property fmtid="{D5CDD505-2E9C-101B-9397-08002B2CF9AE}" pid="146" name="IVID232AA637">
    <vt:lpwstr/>
  </property>
  <property fmtid="{D5CDD505-2E9C-101B-9397-08002B2CF9AE}" pid="147" name="IVIDEED1044">
    <vt:lpwstr/>
  </property>
  <property fmtid="{D5CDD505-2E9C-101B-9397-08002B2CF9AE}" pid="148" name="IVID1BF73B61">
    <vt:lpwstr/>
  </property>
  <property fmtid="{D5CDD505-2E9C-101B-9397-08002B2CF9AE}" pid="149" name="IVID1C092E1D">
    <vt:lpwstr/>
  </property>
  <property fmtid="{D5CDD505-2E9C-101B-9397-08002B2CF9AE}" pid="150" name="IVID1E53120A">
    <vt:lpwstr/>
  </property>
  <property fmtid="{D5CDD505-2E9C-101B-9397-08002B2CF9AE}" pid="151" name="IVID1BE62D4E">
    <vt:lpwstr/>
  </property>
  <property fmtid="{D5CDD505-2E9C-101B-9397-08002B2CF9AE}" pid="152" name="IVIDA4310D8">
    <vt:lpwstr/>
  </property>
  <property fmtid="{D5CDD505-2E9C-101B-9397-08002B2CF9AE}" pid="153" name="IVID296A1406">
    <vt:lpwstr/>
  </property>
  <property fmtid="{D5CDD505-2E9C-101B-9397-08002B2CF9AE}" pid="154" name="IVID216F1704">
    <vt:lpwstr/>
  </property>
</Properties>
</file>