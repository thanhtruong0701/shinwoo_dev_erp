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hhu\Downloads\"/>
    </mc:Choice>
  </mc:AlternateContent>
  <xr:revisionPtr revIDLastSave="0" documentId="13_ncr:1_{45A541DE-D079-4697-BBB2-530CD5A89512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IV &amp; PK" sheetId="1" r:id="rId1"/>
  </sheets>
  <definedNames>
    <definedName name="_xlnm.Print_Area" localSheetId="0">'IV &amp; PK'!$A$1:$Z$123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13" i="1" l="1"/>
  <c r="A112" i="1"/>
  <c r="S111" i="1"/>
  <c r="Q111" i="1"/>
  <c r="M109" i="1"/>
  <c r="M108" i="1"/>
  <c r="O108" i="1" s="1"/>
  <c r="E108" i="1"/>
  <c r="M107" i="1"/>
  <c r="O107" i="1" s="1"/>
  <c r="E107" i="1"/>
  <c r="M106" i="1"/>
  <c r="O106" i="1" s="1"/>
  <c r="E106" i="1"/>
  <c r="M105" i="1"/>
  <c r="O105" i="1" s="1"/>
  <c r="E105" i="1"/>
  <c r="M104" i="1"/>
  <c r="O104" i="1" s="1"/>
  <c r="E104" i="1"/>
  <c r="M103" i="1"/>
  <c r="O103" i="1" s="1"/>
  <c r="E103" i="1"/>
  <c r="O98" i="1"/>
  <c r="L98" i="1"/>
  <c r="K98" i="1"/>
  <c r="G98" i="1"/>
  <c r="A98" i="1"/>
  <c r="G96" i="1"/>
  <c r="B96" i="1"/>
  <c r="B90" i="1"/>
  <c r="B89" i="1"/>
  <c r="B88" i="1"/>
  <c r="B87" i="1"/>
  <c r="B86" i="1"/>
  <c r="B82" i="1"/>
  <c r="B81" i="1"/>
  <c r="B80" i="1"/>
  <c r="B79" i="1"/>
  <c r="Z78" i="1"/>
  <c r="Y78" i="1"/>
  <c r="X78" i="1"/>
  <c r="W78" i="1"/>
  <c r="V78" i="1"/>
  <c r="U78" i="1"/>
  <c r="O87" i="1" s="1"/>
  <c r="T78" i="1"/>
  <c r="S78" i="1"/>
  <c r="R78" i="1"/>
  <c r="Q78" i="1"/>
  <c r="P78" i="1"/>
  <c r="O78" i="1"/>
  <c r="B78" i="1"/>
  <c r="Z77" i="1"/>
  <c r="Y77" i="1"/>
  <c r="X77" i="1"/>
  <c r="W77" i="1"/>
  <c r="V77" i="1"/>
  <c r="U77" i="1"/>
  <c r="T77" i="1"/>
  <c r="S77" i="1"/>
  <c r="R77" i="1"/>
  <c r="Q77" i="1"/>
  <c r="P77" i="1"/>
  <c r="O77" i="1"/>
  <c r="B77" i="1"/>
  <c r="Z76" i="1"/>
  <c r="Y76" i="1"/>
  <c r="X76" i="1"/>
  <c r="W76" i="1"/>
  <c r="V76" i="1"/>
  <c r="U76" i="1"/>
  <c r="T76" i="1"/>
  <c r="S76" i="1"/>
  <c r="R76" i="1"/>
  <c r="Q76" i="1"/>
  <c r="P76" i="1"/>
  <c r="O76" i="1"/>
  <c r="B76" i="1"/>
  <c r="Z75" i="1"/>
  <c r="Y75" i="1"/>
  <c r="X75" i="1"/>
  <c r="W75" i="1"/>
  <c r="V75" i="1"/>
  <c r="U75" i="1"/>
  <c r="T75" i="1"/>
  <c r="S75" i="1"/>
  <c r="R75" i="1"/>
  <c r="Q75" i="1"/>
  <c r="P75" i="1"/>
  <c r="O75" i="1"/>
  <c r="B75" i="1"/>
  <c r="Z74" i="1"/>
  <c r="Y74" i="1"/>
  <c r="X74" i="1"/>
  <c r="W74" i="1"/>
  <c r="V74" i="1"/>
  <c r="U74" i="1"/>
  <c r="T74" i="1"/>
  <c r="S74" i="1"/>
  <c r="R74" i="1"/>
  <c r="Q74" i="1"/>
  <c r="P74" i="1"/>
  <c r="O74" i="1"/>
  <c r="O88" i="1" s="1"/>
  <c r="Z73" i="1"/>
  <c r="Y73" i="1"/>
  <c r="X73" i="1"/>
  <c r="W73" i="1"/>
  <c r="V73" i="1"/>
  <c r="U73" i="1"/>
  <c r="T73" i="1"/>
  <c r="S73" i="1"/>
  <c r="R73" i="1"/>
  <c r="Q73" i="1"/>
  <c r="P73" i="1"/>
  <c r="O73" i="1"/>
  <c r="Z72" i="1"/>
  <c r="Y72" i="1"/>
  <c r="X72" i="1"/>
  <c r="W72" i="1"/>
  <c r="V72" i="1"/>
  <c r="U72" i="1"/>
  <c r="T72" i="1"/>
  <c r="S72" i="1"/>
  <c r="R72" i="1"/>
  <c r="Q72" i="1"/>
  <c r="P72" i="1"/>
  <c r="O72" i="1"/>
  <c r="Z71" i="1"/>
  <c r="Y71" i="1"/>
  <c r="X71" i="1"/>
  <c r="W71" i="1"/>
  <c r="V71" i="1"/>
  <c r="U71" i="1"/>
  <c r="T71" i="1"/>
  <c r="S71" i="1"/>
  <c r="R71" i="1"/>
  <c r="Q71" i="1"/>
  <c r="P71" i="1"/>
  <c r="O71" i="1"/>
  <c r="B71" i="1"/>
  <c r="B70" i="1"/>
  <c r="B69" i="1"/>
  <c r="O68" i="1"/>
  <c r="K68" i="1"/>
  <c r="B68" i="1"/>
  <c r="M44" i="1"/>
  <c r="J44" i="1"/>
  <c r="S40" i="1"/>
  <c r="S38" i="1"/>
  <c r="S44" i="1" s="1"/>
  <c r="M111" i="1" l="1"/>
  <c r="O111" i="1"/>
</calcChain>
</file>

<file path=xl/sharedStrings.xml><?xml version="1.0" encoding="utf-8"?>
<sst xmlns="http://schemas.openxmlformats.org/spreadsheetml/2006/main" count="125" uniqueCount="67">
  <si>
    <t>8)No. &amp; date of invoice</t>
  </si>
  <si>
    <t>2)For Account &amp; Risk of Messrs.</t>
  </si>
  <si>
    <t>LOT No.</t>
  </si>
  <si>
    <t>3)Notify party</t>
  </si>
  <si>
    <t>4)Port of loading</t>
  </si>
  <si>
    <t>5)Final destination</t>
  </si>
  <si>
    <t>6)Carrier</t>
  </si>
  <si>
    <t>7)Sailing on or about</t>
  </si>
  <si>
    <t>※</t>
  </si>
  <si>
    <t>//////////////////////////////////</t>
  </si>
  <si>
    <t xml:space="preserve">* BANK INFORMATION </t>
  </si>
  <si>
    <t>PACKING LIST</t>
  </si>
  <si>
    <t>9)Remarks :</t>
  </si>
  <si>
    <t>:</t>
  </si>
  <si>
    <t>COMMERCIAL INVOICE</t>
  </si>
  <si>
    <t>1)Shipper/Exporter/Manufacturer</t>
  </si>
  <si>
    <t>9) Terms of delivery and payment</t>
  </si>
  <si>
    <t>PO No.</t>
  </si>
  <si>
    <t>P/No.</t>
  </si>
  <si>
    <t>C/No.</t>
  </si>
  <si>
    <t>Q'TY/CTN</t>
  </si>
  <si>
    <t xml:space="preserve">  T O T A L</t>
  </si>
  <si>
    <t>18)Signed By</t>
  </si>
  <si>
    <t xml:space="preserve">SKID SIZE </t>
  </si>
  <si>
    <t>17)Signed By</t>
  </si>
  <si>
    <t>10) Country of Origin of Goods                   VIET NAM</t>
  </si>
  <si>
    <t>OT MOTOR VINA CO.,LTD</t>
  </si>
  <si>
    <t xml:space="preserve">Lot No B-3.1, Nhon Trach 6B Subdivision of IZ, </t>
  </si>
  <si>
    <t>Nhon Trach 6 IZ, Long Tho Commune, Nhon Trach Dist</t>
  </si>
  <si>
    <t>Dong Nai Province, Vietnam</t>
  </si>
  <si>
    <t>TEL: +84 2513 569 066</t>
  </si>
  <si>
    <t>MADE IN VIET NAM</t>
  </si>
  <si>
    <t>SKID No</t>
  </si>
  <si>
    <t>ZF Passive Safety US Inc.</t>
  </si>
  <si>
    <t>Seatbelt Division- OUC 454</t>
  </si>
  <si>
    <t>c/o Laredo Freight Dispatch</t>
  </si>
  <si>
    <t xml:space="preserve">9600 International Blvd.  </t>
  </si>
  <si>
    <t>Pharr Texas 78577</t>
  </si>
  <si>
    <t>U.S.A.</t>
  </si>
  <si>
    <t>TEL:956-632-8100, FAX:956-632-8127</t>
  </si>
  <si>
    <t>MIRSA Reynosa plt 1</t>
  </si>
  <si>
    <t xml:space="preserve">4403 W Military HWY - STE 200
</t>
  </si>
  <si>
    <t>McAllen Texas 78503</t>
  </si>
  <si>
    <t>USA</t>
  </si>
  <si>
    <t>TEL:899-958-1443 Ext.102</t>
  </si>
  <si>
    <t>12)Marks and numbers of PKGS 13)Description of goods 14)Quantity/Unit 15)Unit Price 16)Amount</t>
  </si>
  <si>
    <t>17)Commodity HTS Number                                          " Automotive Seat Belt Component" (HS: 8708.29.0000)</t>
  </si>
  <si>
    <t>P/Name</t>
  </si>
  <si>
    <t>CTN Q'TY</t>
  </si>
  <si>
    <t xml:space="preserve">TOTAL CTN Q'TY </t>
  </si>
  <si>
    <t xml:space="preserve">TOTAL SKID Q'TY </t>
  </si>
  <si>
    <t>※ SKID Q'TY:</t>
  </si>
  <si>
    <t>※ WGT/SKID:</t>
  </si>
  <si>
    <t>※ GROSS WGT:</t>
  </si>
  <si>
    <t>SHIPPING MARK</t>
  </si>
  <si>
    <t>10)Marks and numbers of PKGS 11)Description of goods 12)Quantity 13)Net Weight 14)Gross Weight 15)Measurement</t>
  </si>
  <si>
    <t>16)Commodity HTS Number                                "Automotive Seat Belt Component" (HS: 8708.29.0000)</t>
  </si>
  <si>
    <t>ZF REYNOSA</t>
  </si>
  <si>
    <t>11)Remarks :</t>
  </si>
  <si>
    <t>SUPPLIER CODE</t>
  </si>
  <si>
    <t>ETA HOUSTON</t>
  </si>
  <si>
    <t>OT-210027</t>
  </si>
  <si>
    <t>FCA at OTM</t>
  </si>
  <si>
    <t xml:space="preserve">T/T </t>
  </si>
  <si>
    <t>- Bank Name : Industrial Bank of Korea - Ho Chi Minh City Branch</t>
  </si>
  <si>
    <t>- Address : Unit 604, Diamond Plaza, 34 Le Duan Blvd., Dist. 1, HCMC, Vietnam</t>
  </si>
  <si>
    <t>- Bank Account Number/SWIFT: 0764-0054-932-0001 // IBKOVNVX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</si>
</sst>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(&quot;#\ &quot;SKIDS)&quot;"/>
    <numFmt numFmtId="165" formatCode="#\ &quot; BOXES&quot;"/>
    <numFmt numFmtId="166" formatCode="#,##0\ &quot;PCS&quot;"/>
    <numFmt numFmtId="167" formatCode="&quot;@$ &quot;0.0000"/>
    <numFmt numFmtId="168" formatCode="&quot;US$&quot;\ #,##0.00"/>
    <numFmt numFmtId="169" formatCode="@\ &quot;   SKID&quot;"/>
    <numFmt numFmtId="170" formatCode="0.000\ &quot;CBM&quot;"/>
    <numFmt numFmtId="171" formatCode="#\ &quot;SKIDS&quot;"/>
    <numFmt numFmtId="172" formatCode="###\ &quot;kgs&quot;"/>
    <numFmt numFmtId="173" formatCode="#,###\ &quot;kgs&quot;"/>
    <numFmt numFmtId="174" formatCode="#,##0\ &quot;BOXES&quot;"/>
    <numFmt numFmtId="175" formatCode="#,##0\ &quot;SKIDS&quot;"/>
  </numFmts>
  <fonts count="15" x14ac:knownFonts="1">
    <font>
      <sz val="10"/>
      <name val="MS Sans Serif"/>
      <family val="2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indexed="9"/>
      <name val="Times New Roman"/>
      <family val="1"/>
    </font>
    <font>
      <u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b/>
      <sz val="11"/>
      <name val="Times New Roman"/>
      <family val="1"/>
    </font>
    <font>
      <sz val="10"/>
      <color indexed="8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2" fillId="0" borderId="0" xfId="0" applyNumberFormat="1" applyFont="1" applyFill="1" applyBorder="1" applyAlignment="1">
      <alignment horizontal="left" vertical="center"/>
    </xf>
  </cellStyleXfs>
  <cellXfs count="169">
    <xf numFmtId="0" fontId="0" fillId="0" borderId="0" xfId="0"/>
    <xf numFmtId="164" fontId="2" fillId="0" borderId="0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>
      <alignment vertical="center" wrapText="1"/>
    </xf>
    <xf numFmtId="0" fontId="3" fillId="0" borderId="3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3" fillId="2" borderId="0" xfId="0" applyNumberFormat="1" applyFont="1" applyFill="1" applyAlignment="1">
      <alignment vertical="center"/>
    </xf>
    <xf numFmtId="0" fontId="12" fillId="2" borderId="0" xfId="0" applyNumberFormat="1" applyFont="1" applyFill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0" fontId="3" fillId="2" borderId="3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vertical="center"/>
    </xf>
    <xf numFmtId="0" fontId="3" fillId="2" borderId="4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/>
    <xf numFmtId="0" fontId="2" fillId="0" borderId="0" xfId="0" applyNumberFormat="1" applyFont="1"/>
    <xf numFmtId="0" fontId="3" fillId="0" borderId="4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3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6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horizontal="left" vertical="center" wrapText="1"/>
    </xf>
    <xf numFmtId="0" fontId="6" fillId="0" borderId="0" xfId="0" applyNumberFormat="1" applyFont="1" applyFill="1" applyAlignment="1">
      <alignment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horizontal="left" vertical="center"/>
    </xf>
    <xf numFmtId="0" fontId="3" fillId="2" borderId="6" xfId="0" applyNumberFormat="1" applyFont="1" applyFill="1" applyBorder="1" applyAlignment="1">
      <alignment vertical="center"/>
    </xf>
    <xf numFmtId="0" fontId="2" fillId="2" borderId="6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top"/>
    </xf>
    <xf numFmtId="0" fontId="2" fillId="0" borderId="7" xfId="0" applyNumberFormat="1" applyFont="1" applyFill="1" applyBorder="1" applyAlignment="1">
      <alignment vertical="top"/>
    </xf>
    <xf numFmtId="0" fontId="2" fillId="0" borderId="6" xfId="0" applyNumberFormat="1" applyFont="1" applyFill="1" applyBorder="1" applyAlignment="1">
      <alignment vertical="top"/>
    </xf>
    <xf numFmtId="0" fontId="2" fillId="2" borderId="0" xfId="0" applyNumberFormat="1" applyFont="1" applyFill="1" applyAlignment="1">
      <alignment vertical="top"/>
    </xf>
    <xf numFmtId="0" fontId="2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horizontal="left" vertical="center"/>
    </xf>
    <xf numFmtId="0" fontId="9" fillId="0" borderId="6" xfId="0" applyNumberFormat="1" applyFont="1" applyFill="1" applyBorder="1" applyAlignment="1">
      <alignment vertical="center"/>
    </xf>
    <xf numFmtId="0" fontId="7" fillId="0" borderId="0" xfId="0" applyNumberFormat="1" applyFont="1" applyFill="1" applyAlignment="1">
      <alignment horizontal="left" vertical="center"/>
    </xf>
    <xf numFmtId="0" fontId="2" fillId="0" borderId="5" xfId="0" applyNumberFormat="1" applyFont="1" applyFill="1" applyBorder="1" applyAlignment="1">
      <alignment vertical="center"/>
    </xf>
    <xf numFmtId="0" fontId="3" fillId="0" borderId="0" xfId="0" applyNumberFormat="1" applyFont="1" applyFill="1"/>
    <xf numFmtId="0" fontId="2" fillId="0" borderId="3" xfId="0" applyNumberFormat="1" applyFont="1" applyFill="1" applyBorder="1" applyAlignment="1">
      <alignment horizontal="left" vertical="center"/>
    </xf>
    <xf numFmtId="0" fontId="2" fillId="0" borderId="0" xfId="0" applyNumberFormat="1" applyFont="1" applyFill="1"/>
    <xf numFmtId="0" fontId="10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3" fillId="0" borderId="3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Alignment="1">
      <alignment vertical="center"/>
    </xf>
    <xf numFmtId="0" fontId="7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8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Continuous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0" fontId="2" fillId="2" borderId="7" xfId="0" applyNumberFormat="1" applyFont="1" applyFill="1" applyBorder="1" applyAlignment="1">
      <alignment vertical="center"/>
    </xf>
    <xf numFmtId="0" fontId="2" fillId="0" borderId="8" xfId="0" applyNumberFormat="1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7" fillId="2" borderId="0" xfId="0" applyNumberFormat="1" applyFont="1" applyFill="1" applyAlignment="1">
      <alignment horizontal="left" vertical="center"/>
    </xf>
    <xf numFmtId="0" fontId="7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left" vertical="center"/>
    </xf>
    <xf numFmtId="0" fontId="9" fillId="2" borderId="3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centerContinuous" vertical="center"/>
    </xf>
    <xf numFmtId="0" fontId="11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65" fontId="2" fillId="0" borderId="0" xfId="0" applyNumberFormat="1" applyFont="1" applyFill="1" applyBorder="1" applyAlignment="1">
      <alignment horizontal="left" vertical="center" wrapText="1"/>
    </xf>
    <xf numFmtId="165" fontId="2" fillId="0" borderId="0" xfId="0" applyNumberFormat="1" applyFont="1" applyFill="1" applyAlignment="1">
      <alignment horizontal="left" vertical="center" wrapText="1"/>
    </xf>
    <xf numFmtId="165" fontId="2" fillId="0" borderId="0" xfId="0" applyNumberFormat="1" applyFont="1" applyFill="1" applyBorder="1" applyAlignment="1">
      <alignment horizontal="left" vertical="center"/>
    </xf>
    <xf numFmtId="0" fontId="3" fillId="0" borderId="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3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left" vertical="center"/>
    </xf>
    <xf numFmtId="166" fontId="2" fillId="0" borderId="0" xfId="0" applyNumberFormat="1" applyFont="1" applyFill="1" applyAlignment="1">
      <alignment vertical="center"/>
    </xf>
    <xf numFmtId="166" fontId="2" fillId="2" borderId="0" xfId="0" applyNumberFormat="1" applyFont="1" applyFill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167" fontId="2" fillId="0" borderId="0" xfId="0" applyNumberFormat="1" applyFont="1" applyFill="1" applyAlignment="1">
      <alignment vertical="center"/>
    </xf>
    <xf numFmtId="168" fontId="2" fillId="0" borderId="0" xfId="0" applyNumberFormat="1" applyFont="1" applyFill="1" applyBorder="1" applyAlignment="1">
      <alignment vertical="center"/>
    </xf>
    <xf numFmtId="168" fontId="3" fillId="0" borderId="3" xfId="0" applyNumberFormat="1" applyFont="1" applyFill="1" applyBorder="1" applyAlignment="1">
      <alignment vertical="center"/>
    </xf>
    <xf numFmtId="167" fontId="3" fillId="0" borderId="3" xfId="0" applyNumberFormat="1" applyFont="1" applyFill="1" applyBorder="1" applyAlignment="1">
      <alignment vertical="center"/>
    </xf>
    <xf numFmtId="166" fontId="3" fillId="0" borderId="3" xfId="0" applyNumberFormat="1" applyFont="1" applyFill="1" applyBorder="1" applyAlignment="1">
      <alignment vertical="center"/>
    </xf>
    <xf numFmtId="169" fontId="7" fillId="2" borderId="0" xfId="0" applyNumberFormat="1" applyFont="1" applyFill="1" applyAlignment="1">
      <alignment horizontal="left" vertical="center"/>
    </xf>
    <xf numFmtId="169" fontId="2" fillId="2" borderId="0" xfId="0" applyNumberFormat="1" applyFont="1" applyFill="1" applyAlignment="1">
      <alignment vertical="center"/>
    </xf>
    <xf numFmtId="170" fontId="2" fillId="0" borderId="0" xfId="0" applyNumberFormat="1" applyFont="1" applyFill="1" applyAlignment="1">
      <alignment vertical="center"/>
    </xf>
    <xf numFmtId="170" fontId="2" fillId="2" borderId="0" xfId="0" applyNumberFormat="1" applyFont="1" applyFill="1" applyAlignment="1">
      <alignment vertical="center"/>
    </xf>
    <xf numFmtId="171" fontId="7" fillId="2" borderId="0" xfId="0" applyNumberFormat="1" applyFont="1" applyFill="1" applyAlignment="1">
      <alignment horizontal="left" vertical="center"/>
    </xf>
    <xf numFmtId="171" fontId="7" fillId="2" borderId="0" xfId="0" applyNumberFormat="1" applyFont="1" applyFill="1" applyAlignment="1">
      <alignment horizontal="left" vertical="center"/>
    </xf>
    <xf numFmtId="172" fontId="2" fillId="2" borderId="0" xfId="0" applyNumberFormat="1" applyFont="1" applyFill="1" applyAlignment="1">
      <alignment vertical="center"/>
    </xf>
    <xf numFmtId="173" fontId="2" fillId="0" borderId="0" xfId="0" applyNumberFormat="1" applyFont="1" applyFill="1" applyBorder="1" applyAlignment="1">
      <alignment vertical="center"/>
    </xf>
    <xf numFmtId="174" fontId="2" fillId="2" borderId="0" xfId="0" applyNumberFormat="1" applyFont="1" applyFill="1" applyAlignment="1">
      <alignment vertical="center"/>
    </xf>
    <xf numFmtId="175" fontId="2" fillId="2" borderId="0" xfId="0" applyNumberFormat="1" applyFont="1" applyFill="1" applyAlignment="1">
      <alignment vertical="center"/>
    </xf>
    <xf numFmtId="0" fontId="2" fillId="0" borderId="0" xfId="1" applyNumberFormat="1" applyFont="1" applyFill="1" applyBorder="1" applyAlignment="1">
      <alignment vertical="center"/>
    </xf>
    <xf numFmtId="166" fontId="2" fillId="2" borderId="0" xfId="0" applyNumberFormat="1" applyFont="1" applyFill="1" applyAlignment="1">
      <alignment vertical="center"/>
    </xf>
    <xf numFmtId="170" fontId="3" fillId="0" borderId="3" xfId="0" applyNumberFormat="1" applyFont="1" applyFill="1" applyBorder="1" applyAlignment="1">
      <alignment vertical="center"/>
    </xf>
    <xf numFmtId="170" fontId="2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166" fontId="2" fillId="2" borderId="0" xfId="0" applyNumberFormat="1" applyFont="1" applyFill="1" applyAlignment="1">
      <alignment horizontal="left" vertical="center"/>
    </xf>
    <xf numFmtId="166" fontId="3" fillId="0" borderId="3" xfId="0" applyNumberFormat="1" applyFont="1" applyFill="1" applyBorder="1" applyAlignment="1">
      <alignment horizontal="left" vertical="center"/>
    </xf>
    <xf numFmtId="172" fontId="2" fillId="2" borderId="0" xfId="0" applyNumberFormat="1" applyFont="1" applyFill="1" applyAlignment="1">
      <alignment horizontal="right" vertical="center"/>
    </xf>
    <xf numFmtId="172" fontId="3" fillId="0" borderId="3" xfId="0" applyNumberFormat="1" applyFont="1" applyFill="1" applyBorder="1" applyAlignment="1">
      <alignment horizontal="right" vertical="center"/>
    </xf>
    <xf numFmtId="173" fontId="2" fillId="2" borderId="0" xfId="0" applyNumberFormat="1" applyFont="1" applyFill="1" applyAlignment="1">
      <alignment horizontal="right" vertical="center"/>
    </xf>
    <xf numFmtId="173" fontId="2" fillId="0" borderId="0" xfId="0" applyNumberFormat="1" applyFont="1" applyFill="1" applyBorder="1" applyAlignment="1">
      <alignment horizontal="right" vertical="center"/>
    </xf>
    <xf numFmtId="173" fontId="2" fillId="0" borderId="0" xfId="0" applyNumberFormat="1" applyFont="1" applyFill="1" applyAlignment="1">
      <alignment horizontal="right" vertical="center"/>
    </xf>
    <xf numFmtId="173" fontId="3" fillId="0" borderId="3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3" fillId="2" borderId="0" xfId="0" quotePrefix="1" applyFont="1" applyFill="1" applyAlignment="1">
      <alignment vertical="center"/>
    </xf>
    <xf numFmtId="0" fontId="14" fillId="2" borderId="0" xfId="0" quotePrefix="1" applyFont="1" applyFill="1" applyAlignment="1">
      <alignment vertical="center"/>
    </xf>
    <xf numFmtId="0" fontId="3" fillId="0" borderId="3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3"/>
  <sheetViews>
    <sheetView showGridLines="0" showZeros="0" tabSelected="1" workbookViewId="0">
      <selection sqref="A1:Z1"/>
    </sheetView>
  </sheetViews>
  <sheetFormatPr defaultColWidth="9.140625" defaultRowHeight="12.75" x14ac:dyDescent="0.2"/>
  <cols>
    <col min="1" max="1" width="1.42578125" style="14"/>
    <col min="2" max="2" width="7.5703125" style="14"/>
    <col min="3" max="3" width="1.42578125" style="14" customWidth="1"/>
    <col min="4" max="4" width="8.28515625" style="14"/>
    <col min="5" max="5" width="6.7109375" style="14"/>
    <col min="6" max="6" width="1.42578125" style="14"/>
    <col min="7" max="8" width="6.5703125" style="14"/>
    <col min="9" max="9" width="9.140625" style="14"/>
    <col min="10" max="10" width="1.42578125" style="14" customWidth="1"/>
    <col min="11" max="11" width="2.140625" style="14"/>
    <col min="12" max="12" width="2" style="14"/>
    <col min="13" max="13" width="14.28515625" style="14"/>
    <col min="14" max="14" width="1.42578125" style="14"/>
    <col min="15" max="15" width="16" style="14"/>
    <col min="16" max="16" width="1.42578125" style="14"/>
    <col min="17" max="17" width="14.42578125" style="14"/>
    <col min="18" max="18" width="1.42578125" style="14"/>
    <col min="19" max="19" width="14.5703125" style="14"/>
    <col min="20" max="20" width="1.7109375" style="14"/>
    <col min="21" max="21" width="13.140625" style="14"/>
    <col min="22" max="22" width="1.5703125" style="14"/>
    <col min="23" max="23" width="11.7109375" style="14"/>
    <col min="24" max="24" width="1.42578125" style="16"/>
    <col min="25" max="25" width="14.5703125" style="14"/>
    <col min="26" max="26" width="1.42578125" style="16"/>
    <col min="27" max="27" width="1.42578125" style="14"/>
    <col min="28" max="33" width="2.28515625" style="14"/>
    <col min="34" max="34" width="9.5703125" style="14"/>
    <col min="35" max="35" width="17.28515625" style="14"/>
    <col min="36" max="36" width="14.42578125" style="14"/>
    <col min="37" max="16384" width="9.140625" style="14"/>
  </cols>
  <sheetData>
    <row r="1" spans="1:33" ht="34.5" customHeight="1" x14ac:dyDescent="0.2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3" ht="14.25" customHeight="1" x14ac:dyDescent="0.2">
      <c r="A2" s="15" t="s">
        <v>15</v>
      </c>
      <c r="B2" s="16"/>
      <c r="C2" s="16"/>
      <c r="D2" s="16"/>
      <c r="E2" s="16"/>
      <c r="F2" s="16"/>
      <c r="G2" s="16"/>
      <c r="H2" s="16"/>
      <c r="I2" s="17"/>
      <c r="J2" s="15" t="s">
        <v>0</v>
      </c>
      <c r="K2" s="15"/>
      <c r="L2" s="15"/>
      <c r="M2" s="15"/>
      <c r="N2" s="15"/>
      <c r="O2" s="15"/>
      <c r="P2" s="15"/>
      <c r="Q2" s="15"/>
      <c r="R2" s="15"/>
      <c r="S2" s="15"/>
      <c r="Y2" s="16"/>
      <c r="Z2" s="18"/>
      <c r="AA2" s="16"/>
    </row>
    <row r="3" spans="1:33" ht="14.25" customHeight="1" x14ac:dyDescent="0.2">
      <c r="A3" s="19"/>
      <c r="B3" s="20" t="s">
        <v>26</v>
      </c>
      <c r="H3" s="16"/>
      <c r="I3" s="17"/>
      <c r="J3" s="21"/>
      <c r="K3" s="22" t="s">
        <v>61</v>
      </c>
      <c r="L3" s="23"/>
      <c r="M3" s="23"/>
      <c r="N3" s="21"/>
      <c r="O3" s="21"/>
      <c r="P3" s="21"/>
      <c r="Q3" s="21"/>
      <c r="S3" s="21"/>
      <c r="T3" s="21"/>
      <c r="U3" s="166"/>
      <c r="V3" s="166"/>
      <c r="W3" s="166"/>
      <c r="X3" s="24"/>
      <c r="Y3" s="21"/>
    </row>
    <row r="4" spans="1:33" ht="14.25" customHeight="1" x14ac:dyDescent="0.2">
      <c r="B4" s="14" t="s">
        <v>27</v>
      </c>
      <c r="H4" s="16"/>
      <c r="I4" s="17"/>
      <c r="J4" s="25" t="s">
        <v>16</v>
      </c>
      <c r="K4" s="25"/>
      <c r="L4" s="25"/>
      <c r="M4" s="25"/>
      <c r="N4" s="25"/>
      <c r="O4" s="25"/>
      <c r="P4" s="25"/>
      <c r="Q4" s="25"/>
      <c r="R4" s="25"/>
      <c r="S4" s="15"/>
      <c r="U4" s="168"/>
      <c r="V4" s="168"/>
      <c r="W4" s="168"/>
      <c r="Y4" s="85"/>
      <c r="Z4" s="18"/>
      <c r="AA4" s="16"/>
    </row>
    <row r="5" spans="1:33" ht="14.25" customHeight="1" x14ac:dyDescent="0.2">
      <c r="B5" s="14" t="s">
        <v>28</v>
      </c>
      <c r="H5" s="16"/>
      <c r="I5" s="17"/>
      <c r="J5" s="15"/>
      <c r="K5" s="14" t="s">
        <v>62</v>
      </c>
      <c r="L5" s="15"/>
      <c r="M5" s="15"/>
      <c r="N5" s="15"/>
      <c r="O5" s="15"/>
      <c r="P5" s="15"/>
      <c r="Q5" s="15"/>
      <c r="R5" s="15"/>
      <c r="S5" s="15"/>
      <c r="Y5" s="16"/>
    </row>
    <row r="6" spans="1:33" ht="14.25" customHeight="1" x14ac:dyDescent="0.2">
      <c r="B6" s="14" t="s">
        <v>29</v>
      </c>
      <c r="H6" s="16"/>
      <c r="I6" s="17"/>
      <c r="K6" s="14" t="s">
        <v>63</v>
      </c>
      <c r="S6" s="16"/>
      <c r="Y6" s="16"/>
    </row>
    <row r="7" spans="1:33" ht="14.25" customHeight="1" x14ac:dyDescent="0.2">
      <c r="B7" s="14" t="s">
        <v>30</v>
      </c>
      <c r="H7" s="16"/>
      <c r="I7" s="17"/>
      <c r="S7" s="16"/>
      <c r="Y7" s="16"/>
    </row>
    <row r="8" spans="1:33" ht="14.25" customHeight="1" x14ac:dyDescent="0.2">
      <c r="A8" s="21"/>
      <c r="B8" s="26"/>
      <c r="C8" s="21"/>
      <c r="D8" s="21"/>
      <c r="E8" s="21"/>
      <c r="F8" s="21"/>
      <c r="G8" s="21"/>
      <c r="H8" s="21"/>
      <c r="I8" s="21"/>
      <c r="J8" s="27" t="s">
        <v>25</v>
      </c>
      <c r="K8" s="25"/>
      <c r="L8" s="25"/>
      <c r="M8" s="25"/>
      <c r="N8" s="25"/>
      <c r="O8" s="25"/>
      <c r="P8" s="25"/>
      <c r="Q8" s="25"/>
      <c r="R8" s="25"/>
      <c r="S8" s="25"/>
      <c r="T8" s="18"/>
      <c r="U8" s="18"/>
      <c r="V8" s="18"/>
      <c r="W8" s="18"/>
      <c r="X8" s="18"/>
      <c r="Y8" s="18"/>
      <c r="Z8" s="18"/>
      <c r="AA8" s="16"/>
    </row>
    <row r="9" spans="1:33" ht="14.25" customHeight="1" x14ac:dyDescent="0.2">
      <c r="A9" s="25" t="s">
        <v>1</v>
      </c>
      <c r="B9" s="18"/>
      <c r="C9" s="18"/>
      <c r="D9" s="18"/>
      <c r="E9" s="18"/>
      <c r="F9" s="18"/>
      <c r="G9" s="18"/>
      <c r="H9" s="28"/>
      <c r="I9" s="28"/>
      <c r="J9" s="29"/>
      <c r="K9" s="30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Y9" s="16"/>
    </row>
    <row r="10" spans="1:33" ht="14.25" customHeight="1" x14ac:dyDescent="0.2">
      <c r="C10" s="31"/>
      <c r="D10" s="31"/>
      <c r="E10" s="31"/>
      <c r="F10" s="31"/>
      <c r="G10" s="31"/>
      <c r="H10" s="32"/>
      <c r="I10" s="30"/>
      <c r="J10" s="33" t="s">
        <v>58</v>
      </c>
      <c r="K10" s="18"/>
      <c r="L10" s="18"/>
      <c r="M10" s="18"/>
      <c r="N10" s="18"/>
      <c r="O10" s="18"/>
      <c r="P10" s="28"/>
      <c r="Q10" s="28"/>
      <c r="R10" s="28"/>
      <c r="S10" s="28"/>
      <c r="T10" s="28"/>
      <c r="U10" s="18"/>
      <c r="V10" s="18"/>
      <c r="W10" s="18"/>
      <c r="X10" s="35"/>
      <c r="Y10" s="35"/>
      <c r="Z10" s="28"/>
    </row>
    <row r="11" spans="1:33" ht="14.25" customHeight="1" x14ac:dyDescent="0.2">
      <c r="B11" s="20" t="s">
        <v>33</v>
      </c>
      <c r="C11" s="19"/>
      <c r="D11" s="19"/>
      <c r="E11" s="19"/>
      <c r="F11" s="19"/>
      <c r="G11" s="19"/>
      <c r="H11" s="36"/>
      <c r="I11" s="36"/>
      <c r="J11" s="29"/>
      <c r="K11" s="37" t="s">
        <v>8</v>
      </c>
      <c r="L11" s="38" t="s">
        <v>17</v>
      </c>
      <c r="M11" s="38"/>
      <c r="N11" s="12" t="s">
        <v>13</v>
      </c>
      <c r="O11" s="9"/>
      <c r="P11" s="39"/>
      <c r="Q11" s="167"/>
      <c r="R11" s="167"/>
      <c r="S11" s="9"/>
      <c r="T11" s="8"/>
      <c r="U11" s="8"/>
      <c r="V11" s="8"/>
      <c r="W11" s="8"/>
      <c r="X11" s="9"/>
      <c r="Y11" s="9"/>
      <c r="Z11" s="9"/>
    </row>
    <row r="12" spans="1:33" ht="15" customHeight="1" x14ac:dyDescent="0.2">
      <c r="H12" s="38"/>
      <c r="I12" s="38"/>
      <c r="J12" s="29"/>
      <c r="K12" s="37" t="s">
        <v>8</v>
      </c>
      <c r="L12" s="38" t="s">
        <v>18</v>
      </c>
      <c r="M12" s="38"/>
      <c r="N12" s="12" t="s">
        <v>13</v>
      </c>
      <c r="O12" s="40"/>
      <c r="P12" s="41"/>
      <c r="Q12" s="8"/>
      <c r="R12" s="75"/>
      <c r="S12" s="75"/>
      <c r="U12" s="40"/>
      <c r="W12" s="40"/>
      <c r="X12" s="8"/>
      <c r="Y12" s="42"/>
      <c r="Z12" s="8"/>
      <c r="AA12" s="30"/>
      <c r="AB12" s="38"/>
      <c r="AC12" s="38"/>
      <c r="AD12" s="38"/>
      <c r="AE12" s="38"/>
      <c r="AF12" s="38"/>
    </row>
    <row r="13" spans="1:33" ht="14.25" customHeight="1" x14ac:dyDescent="0.2">
      <c r="B13" s="14" t="s">
        <v>34</v>
      </c>
      <c r="H13" s="38"/>
      <c r="I13" s="38"/>
      <c r="J13" s="43"/>
      <c r="K13" s="37" t="s">
        <v>8</v>
      </c>
      <c r="L13" s="38" t="s">
        <v>47</v>
      </c>
      <c r="M13" s="38"/>
      <c r="N13" s="12" t="s">
        <v>13</v>
      </c>
      <c r="O13" s="40"/>
      <c r="P13" s="38"/>
      <c r="Q13" s="75"/>
      <c r="R13" s="75"/>
      <c r="S13" s="75"/>
      <c r="U13" s="40"/>
      <c r="W13" s="40"/>
      <c r="X13" s="8"/>
      <c r="Y13" s="8"/>
      <c r="Z13" s="30"/>
      <c r="AA13" s="44"/>
      <c r="AB13" s="38"/>
      <c r="AC13" s="38"/>
      <c r="AD13" s="38"/>
      <c r="AE13" s="38"/>
      <c r="AF13" s="38"/>
      <c r="AG13" s="38"/>
    </row>
    <row r="14" spans="1:33" x14ac:dyDescent="0.2">
      <c r="B14" s="14" t="s">
        <v>35</v>
      </c>
      <c r="H14" s="38"/>
      <c r="I14" s="38"/>
      <c r="J14" s="29"/>
      <c r="K14" s="37" t="s">
        <v>8</v>
      </c>
      <c r="L14" s="38" t="s">
        <v>32</v>
      </c>
      <c r="M14" s="38"/>
      <c r="N14" s="12" t="s">
        <v>13</v>
      </c>
      <c r="O14" s="45"/>
      <c r="P14" s="46"/>
      <c r="Q14" s="75"/>
      <c r="R14" s="75"/>
      <c r="S14" s="40"/>
      <c r="U14" s="40"/>
      <c r="W14" s="40"/>
      <c r="X14" s="47"/>
      <c r="Y14" s="47"/>
      <c r="Z14" s="30"/>
      <c r="AA14" s="30"/>
      <c r="AB14" s="38"/>
      <c r="AC14" s="38"/>
      <c r="AD14" s="38"/>
      <c r="AE14" s="38"/>
      <c r="AF14" s="38"/>
      <c r="AG14" s="38"/>
    </row>
    <row r="15" spans="1:33" x14ac:dyDescent="0.2">
      <c r="B15" s="14" t="s">
        <v>36</v>
      </c>
      <c r="H15" s="38"/>
      <c r="I15" s="38"/>
      <c r="J15" s="29"/>
      <c r="K15" s="37"/>
      <c r="L15" s="38"/>
      <c r="M15" s="38"/>
      <c r="N15" s="12"/>
      <c r="O15" s="109"/>
      <c r="P15" s="47"/>
      <c r="Q15" s="1"/>
      <c r="R15" s="8"/>
      <c r="S15" s="1"/>
      <c r="T15" s="16"/>
      <c r="U15" s="2"/>
      <c r="V15" s="16"/>
      <c r="W15" s="2"/>
      <c r="X15" s="8"/>
      <c r="Y15" s="110"/>
      <c r="Z15" s="30"/>
      <c r="AA15" s="30"/>
      <c r="AB15" s="38"/>
      <c r="AC15" s="38"/>
      <c r="AD15" s="38"/>
      <c r="AE15" s="38"/>
      <c r="AF15" s="38"/>
      <c r="AG15" s="38"/>
    </row>
    <row r="16" spans="1:33" x14ac:dyDescent="0.2">
      <c r="B16" s="14" t="s">
        <v>37</v>
      </c>
      <c r="H16" s="38"/>
      <c r="I16" s="38"/>
      <c r="J16" s="29"/>
      <c r="K16" s="37" t="s">
        <v>8</v>
      </c>
      <c r="L16" s="38" t="s">
        <v>2</v>
      </c>
      <c r="M16" s="38"/>
      <c r="N16" s="12" t="s">
        <v>13</v>
      </c>
      <c r="O16" s="48"/>
      <c r="P16" s="47"/>
      <c r="Q16" s="8"/>
      <c r="R16" s="8"/>
      <c r="S16" s="8"/>
      <c r="T16" s="16"/>
      <c r="U16" s="9"/>
      <c r="V16" s="16"/>
      <c r="W16" s="9"/>
      <c r="X16" s="8"/>
      <c r="Y16" s="49"/>
      <c r="Z16" s="30"/>
      <c r="AA16" s="30"/>
      <c r="AB16" s="38"/>
      <c r="AC16" s="38"/>
      <c r="AD16" s="38"/>
      <c r="AE16" s="38"/>
      <c r="AF16" s="38"/>
      <c r="AG16" s="38"/>
    </row>
    <row r="17" spans="1:33" x14ac:dyDescent="0.2">
      <c r="A17" s="38"/>
      <c r="B17" s="38" t="s">
        <v>38</v>
      </c>
      <c r="C17" s="38"/>
      <c r="D17" s="38"/>
      <c r="E17" s="38"/>
      <c r="F17" s="30"/>
      <c r="G17" s="30"/>
      <c r="H17" s="30"/>
      <c r="I17" s="50"/>
      <c r="J17" s="43"/>
      <c r="K17" s="37" t="s">
        <v>8</v>
      </c>
      <c r="L17" s="38" t="s">
        <v>19</v>
      </c>
      <c r="M17" s="38"/>
      <c r="N17" s="12" t="s">
        <v>13</v>
      </c>
      <c r="O17" s="8"/>
      <c r="P17" s="30"/>
      <c r="Q17" s="8"/>
      <c r="R17" s="8"/>
      <c r="S17" s="8"/>
      <c r="T17" s="30"/>
      <c r="U17" s="9"/>
      <c r="V17" s="16"/>
      <c r="W17" s="9"/>
      <c r="X17" s="51"/>
      <c r="Y17" s="51"/>
      <c r="Z17" s="30"/>
      <c r="AA17" s="30"/>
      <c r="AB17" s="38"/>
      <c r="AC17" s="38"/>
      <c r="AD17" s="38"/>
      <c r="AE17" s="38"/>
      <c r="AF17" s="38"/>
      <c r="AG17" s="38"/>
    </row>
    <row r="18" spans="1:33" x14ac:dyDescent="0.2">
      <c r="B18" s="138" t="s">
        <v>39</v>
      </c>
      <c r="F18" s="16"/>
      <c r="G18" s="16"/>
      <c r="H18" s="30"/>
      <c r="I18" s="30"/>
      <c r="J18" s="52"/>
      <c r="K18" s="37" t="s">
        <v>8</v>
      </c>
      <c r="L18" s="38" t="s">
        <v>20</v>
      </c>
      <c r="M18" s="38"/>
      <c r="N18" s="12" t="s">
        <v>13</v>
      </c>
      <c r="O18" s="120"/>
      <c r="P18" s="30"/>
      <c r="Q18" s="121"/>
      <c r="R18" s="8"/>
      <c r="S18" s="121"/>
      <c r="T18" s="30"/>
      <c r="U18" s="120"/>
      <c r="V18" s="16"/>
      <c r="W18" s="120"/>
      <c r="X18" s="34"/>
      <c r="Y18" s="122"/>
      <c r="Z18" s="30"/>
      <c r="AA18" s="30"/>
      <c r="AB18" s="38"/>
      <c r="AC18" s="38"/>
      <c r="AD18" s="38"/>
      <c r="AE18" s="38"/>
      <c r="AF18" s="38"/>
      <c r="AG18" s="38"/>
    </row>
    <row r="19" spans="1:33" ht="14.25" customHeight="1" x14ac:dyDescent="0.2">
      <c r="G19" s="39"/>
      <c r="H19" s="3"/>
      <c r="I19" s="42"/>
      <c r="J19" s="53"/>
      <c r="K19" s="37" t="s">
        <v>8</v>
      </c>
      <c r="L19" s="38" t="s">
        <v>48</v>
      </c>
      <c r="M19" s="38"/>
      <c r="N19" s="12" t="s">
        <v>13</v>
      </c>
      <c r="O19" s="111"/>
      <c r="P19" s="3"/>
      <c r="Q19" s="112"/>
      <c r="R19" s="75"/>
      <c r="S19" s="113"/>
      <c r="U19" s="111"/>
      <c r="W19" s="111"/>
      <c r="X19" s="8"/>
      <c r="Y19" s="114"/>
      <c r="Z19" s="34"/>
      <c r="AA19" s="30"/>
      <c r="AB19" s="38"/>
      <c r="AC19" s="38"/>
      <c r="AD19" s="38"/>
      <c r="AE19" s="38"/>
      <c r="AF19" s="38"/>
      <c r="AG19" s="38"/>
    </row>
    <row r="20" spans="1:33" ht="14.25" customHeight="1" x14ac:dyDescent="0.2">
      <c r="H20" s="38"/>
      <c r="I20" s="30"/>
      <c r="J20" s="53"/>
      <c r="K20" s="54"/>
      <c r="L20" s="16"/>
      <c r="M20" s="16"/>
      <c r="N20" s="54"/>
      <c r="O20" s="9"/>
      <c r="P20" s="51"/>
      <c r="Q20" s="42"/>
      <c r="R20" s="30"/>
      <c r="S20" s="55"/>
      <c r="T20" s="16"/>
      <c r="U20" s="16"/>
      <c r="V20" s="16"/>
      <c r="W20" s="9"/>
      <c r="X20" s="8"/>
      <c r="Y20" s="8"/>
      <c r="Z20" s="34"/>
      <c r="AA20" s="30"/>
      <c r="AB20" s="38"/>
      <c r="AC20" s="38"/>
      <c r="AD20" s="38"/>
      <c r="AE20" s="38"/>
      <c r="AF20" s="38"/>
      <c r="AG20" s="38"/>
    </row>
    <row r="21" spans="1:33" ht="14.25" customHeight="1" x14ac:dyDescent="0.2">
      <c r="A21" s="56" t="s">
        <v>3</v>
      </c>
      <c r="B21" s="18"/>
      <c r="C21" s="18"/>
      <c r="D21" s="18"/>
      <c r="E21" s="18"/>
      <c r="F21" s="28"/>
      <c r="G21" s="28"/>
      <c r="H21" s="28"/>
      <c r="I21" s="92"/>
      <c r="K21" s="30"/>
      <c r="L21" s="16"/>
      <c r="M21" s="30"/>
      <c r="N21" s="30"/>
      <c r="O21" s="30"/>
      <c r="P21" s="30"/>
      <c r="Q21" s="30"/>
      <c r="R21" s="30"/>
      <c r="S21" s="30"/>
      <c r="T21" s="30"/>
      <c r="U21" s="16"/>
      <c r="V21" s="16"/>
      <c r="W21" s="16"/>
      <c r="X21" s="8"/>
      <c r="Y21" s="8"/>
      <c r="Z21" s="34"/>
      <c r="AA21" s="30"/>
      <c r="AB21" s="38"/>
      <c r="AC21" s="38"/>
      <c r="AD21" s="38"/>
      <c r="AE21" s="38"/>
      <c r="AF21" s="38"/>
      <c r="AG21" s="38"/>
    </row>
    <row r="22" spans="1:33" x14ac:dyDescent="0.2">
      <c r="A22" s="38"/>
      <c r="B22" s="19"/>
      <c r="C22" s="54"/>
      <c r="F22" s="38"/>
      <c r="G22" s="38"/>
      <c r="H22" s="38"/>
      <c r="I22" s="50"/>
      <c r="J22" s="29"/>
      <c r="K22" s="37"/>
      <c r="L22" s="38"/>
      <c r="M22" s="38"/>
      <c r="N22" s="12"/>
      <c r="O22" s="9"/>
      <c r="P22" s="39"/>
      <c r="Q22" s="39"/>
      <c r="R22" s="39"/>
      <c r="S22" s="9"/>
      <c r="T22" s="8"/>
      <c r="U22" s="8"/>
      <c r="V22" s="8"/>
      <c r="W22" s="8"/>
      <c r="X22" s="8"/>
      <c r="Y22" s="8"/>
      <c r="Z22" s="34"/>
      <c r="AA22" s="30"/>
      <c r="AB22" s="38"/>
      <c r="AC22" s="38"/>
      <c r="AD22" s="38"/>
      <c r="AE22" s="38"/>
      <c r="AF22" s="38"/>
      <c r="AG22" s="38"/>
    </row>
    <row r="23" spans="1:33" ht="14.25" customHeight="1" x14ac:dyDescent="0.2">
      <c r="A23" s="38"/>
      <c r="B23" s="14" t="s">
        <v>40</v>
      </c>
      <c r="C23" s="54"/>
      <c r="F23" s="38"/>
      <c r="G23" s="38"/>
      <c r="H23" s="38"/>
      <c r="I23" s="50"/>
      <c r="J23" s="29"/>
      <c r="O23" s="10"/>
      <c r="P23" s="41"/>
      <c r="Q23" s="10"/>
      <c r="R23" s="38"/>
      <c r="S23" s="10"/>
      <c r="T23" s="38"/>
      <c r="U23" s="10"/>
      <c r="V23" s="38"/>
      <c r="W23" s="10"/>
      <c r="X23" s="8"/>
      <c r="Y23" s="8"/>
      <c r="Z23" s="34"/>
      <c r="AA23" s="30"/>
      <c r="AB23" s="38"/>
      <c r="AC23" s="38"/>
      <c r="AD23" s="38"/>
      <c r="AE23" s="38"/>
      <c r="AF23" s="38"/>
      <c r="AG23" s="38"/>
    </row>
    <row r="24" spans="1:33" ht="14.25" customHeight="1" x14ac:dyDescent="0.2">
      <c r="A24" s="38"/>
      <c r="B24" s="14" t="s">
        <v>41</v>
      </c>
      <c r="C24" s="54"/>
      <c r="F24" s="38"/>
      <c r="G24" s="38"/>
      <c r="H24" s="38"/>
      <c r="I24" s="50"/>
      <c r="J24" s="29"/>
      <c r="O24" s="10"/>
      <c r="P24" s="41"/>
      <c r="Q24" s="10"/>
      <c r="R24" s="38"/>
      <c r="S24" s="10"/>
      <c r="T24" s="38"/>
      <c r="U24" s="10"/>
      <c r="V24" s="38"/>
      <c r="W24" s="10"/>
      <c r="X24" s="8"/>
      <c r="Y24" s="8"/>
      <c r="Z24" s="34"/>
      <c r="AA24" s="30"/>
      <c r="AB24" s="38"/>
      <c r="AC24" s="38"/>
      <c r="AD24" s="38"/>
      <c r="AE24" s="38"/>
      <c r="AF24" s="38"/>
      <c r="AG24" s="38"/>
    </row>
    <row r="25" spans="1:33" ht="14.25" customHeight="1" x14ac:dyDescent="0.2">
      <c r="A25" s="38"/>
      <c r="B25" s="14" t="s">
        <v>42</v>
      </c>
      <c r="C25" s="54"/>
      <c r="F25" s="38"/>
      <c r="G25" s="38"/>
      <c r="H25" s="38"/>
      <c r="I25" s="50"/>
      <c r="J25" s="29"/>
      <c r="O25" s="41"/>
      <c r="P25" s="41"/>
      <c r="Q25" s="41"/>
      <c r="R25" s="38"/>
      <c r="S25" s="41"/>
      <c r="T25" s="38"/>
      <c r="U25" s="41"/>
      <c r="V25" s="38"/>
      <c r="W25" s="41"/>
      <c r="X25" s="8"/>
      <c r="Y25" s="8"/>
      <c r="Z25" s="34"/>
      <c r="AA25" s="30"/>
      <c r="AB25" s="38"/>
      <c r="AC25" s="38"/>
      <c r="AD25" s="38"/>
      <c r="AE25" s="38"/>
      <c r="AF25" s="38"/>
      <c r="AG25" s="38"/>
    </row>
    <row r="26" spans="1:33" ht="14.25" customHeight="1" x14ac:dyDescent="0.2">
      <c r="A26" s="38"/>
      <c r="B26" s="14" t="s">
        <v>43</v>
      </c>
      <c r="F26" s="138"/>
      <c r="G26" s="38"/>
      <c r="H26" s="38"/>
      <c r="I26" s="50"/>
      <c r="J26" s="43"/>
      <c r="O26" s="4"/>
      <c r="P26" s="38"/>
      <c r="Q26" s="4"/>
      <c r="R26" s="38"/>
      <c r="S26" s="4"/>
      <c r="T26" s="38"/>
      <c r="U26" s="4"/>
      <c r="V26" s="38"/>
      <c r="W26" s="4"/>
      <c r="X26" s="8"/>
      <c r="Y26" s="8"/>
      <c r="Z26" s="34"/>
      <c r="AA26" s="30"/>
      <c r="AB26" s="38"/>
      <c r="AC26" s="38"/>
      <c r="AD26" s="38"/>
      <c r="AE26" s="38"/>
      <c r="AF26" s="38"/>
      <c r="AG26" s="38"/>
    </row>
    <row r="27" spans="1:33" ht="14.25" customHeight="1" x14ac:dyDescent="0.2">
      <c r="A27" s="38"/>
      <c r="B27" s="152" t="s">
        <v>44</v>
      </c>
      <c r="F27" s="38"/>
      <c r="G27" s="38"/>
      <c r="H27" s="38"/>
      <c r="I27" s="50"/>
      <c r="J27" s="43"/>
      <c r="O27" s="11"/>
      <c r="P27" s="38"/>
      <c r="Q27" s="11"/>
      <c r="R27" s="38"/>
      <c r="S27" s="11"/>
      <c r="T27" s="38"/>
      <c r="U27" s="11"/>
      <c r="V27" s="38"/>
      <c r="W27" s="11"/>
      <c r="X27" s="8"/>
      <c r="Y27" s="8"/>
      <c r="Z27" s="34"/>
      <c r="AA27" s="30"/>
      <c r="AB27" s="38"/>
      <c r="AC27" s="38"/>
      <c r="AD27" s="38"/>
      <c r="AE27" s="38"/>
      <c r="AF27" s="38"/>
      <c r="AG27" s="38"/>
    </row>
    <row r="28" spans="1:33" s="60" customFormat="1" ht="16.5" customHeight="1" x14ac:dyDescent="0.2">
      <c r="A28" s="57"/>
      <c r="B28" s="57"/>
      <c r="C28" s="57"/>
      <c r="D28" s="57"/>
      <c r="E28" s="57"/>
      <c r="F28" s="57"/>
      <c r="G28" s="57"/>
      <c r="H28" s="57"/>
      <c r="I28" s="58"/>
      <c r="J28" s="59"/>
      <c r="O28" s="11"/>
      <c r="P28" s="38"/>
      <c r="Q28" s="11"/>
      <c r="R28" s="38"/>
      <c r="S28" s="11"/>
      <c r="T28" s="38"/>
      <c r="U28" s="11"/>
      <c r="V28" s="38"/>
      <c r="W28" s="11"/>
      <c r="X28" s="61"/>
      <c r="Y28" s="61"/>
      <c r="Z28" s="62"/>
      <c r="AA28" s="63"/>
      <c r="AB28" s="5"/>
      <c r="AC28" s="5"/>
      <c r="AD28" s="5"/>
      <c r="AE28" s="5"/>
      <c r="AF28" s="5"/>
      <c r="AG28" s="5"/>
    </row>
    <row r="29" spans="1:33" ht="14.25" customHeight="1" x14ac:dyDescent="0.2">
      <c r="A29" s="36" t="s">
        <v>4</v>
      </c>
      <c r="B29" s="38"/>
      <c r="C29" s="30"/>
      <c r="D29" s="30"/>
      <c r="E29" s="50"/>
      <c r="F29" s="43" t="s">
        <v>5</v>
      </c>
      <c r="G29" s="64"/>
      <c r="H29" s="64"/>
      <c r="I29" s="65"/>
      <c r="J29" s="29"/>
      <c r="O29" s="4"/>
      <c r="P29" s="11"/>
      <c r="Q29" s="4"/>
      <c r="R29" s="38"/>
      <c r="S29" s="4"/>
      <c r="T29" s="38"/>
      <c r="U29" s="4"/>
      <c r="V29" s="38"/>
      <c r="W29" s="4"/>
      <c r="X29" s="49"/>
      <c r="Y29" s="49"/>
      <c r="Z29" s="51"/>
      <c r="AA29" s="30"/>
      <c r="AB29" s="38"/>
      <c r="AC29" s="38"/>
      <c r="AD29" s="38"/>
      <c r="AE29" s="38"/>
      <c r="AF29" s="38"/>
      <c r="AG29" s="38"/>
    </row>
    <row r="30" spans="1:33" s="19" customFormat="1" ht="14.25" customHeight="1" x14ac:dyDescent="0.2">
      <c r="A30" s="66"/>
      <c r="B30" s="156"/>
      <c r="C30" s="156"/>
      <c r="D30" s="156"/>
      <c r="E30" s="157"/>
      <c r="F30" s="66"/>
      <c r="G30" s="156" t="s">
        <v>38</v>
      </c>
      <c r="H30" s="156"/>
      <c r="I30" s="157"/>
      <c r="J30" s="43"/>
      <c r="K30" s="37" t="s">
        <v>8</v>
      </c>
      <c r="L30" s="38" t="s">
        <v>60</v>
      </c>
      <c r="N30" s="12" t="s">
        <v>13</v>
      </c>
      <c r="O30" s="10"/>
      <c r="P30" s="6"/>
      <c r="Q30" s="10"/>
      <c r="R30" s="36"/>
      <c r="S30" s="10"/>
      <c r="T30" s="36"/>
      <c r="U30" s="10"/>
      <c r="V30" s="36"/>
      <c r="W30" s="10"/>
      <c r="X30" s="67"/>
      <c r="Y30" s="67"/>
      <c r="Z30" s="64"/>
      <c r="AA30" s="36"/>
      <c r="AB30" s="36"/>
      <c r="AC30" s="36"/>
      <c r="AD30" s="36"/>
      <c r="AE30" s="36"/>
      <c r="AF30" s="36"/>
      <c r="AG30" s="36"/>
    </row>
    <row r="31" spans="1:33" ht="14.25" customHeight="1" x14ac:dyDescent="0.2">
      <c r="A31" s="36" t="s">
        <v>6</v>
      </c>
      <c r="B31" s="38"/>
      <c r="C31" s="30"/>
      <c r="D31" s="30"/>
      <c r="E31" s="50"/>
      <c r="F31" s="68" t="s">
        <v>7</v>
      </c>
      <c r="G31" s="64"/>
      <c r="H31" s="64"/>
      <c r="I31" s="65"/>
      <c r="J31" s="29"/>
      <c r="K31" s="37" t="s">
        <v>8</v>
      </c>
      <c r="L31" s="38" t="s">
        <v>59</v>
      </c>
      <c r="M31" s="38"/>
      <c r="N31" s="12" t="s">
        <v>13</v>
      </c>
      <c r="O31" s="10">
        <v>284433</v>
      </c>
      <c r="P31" s="69"/>
      <c r="Q31" s="10"/>
      <c r="R31" s="38"/>
      <c r="S31" s="10"/>
      <c r="T31" s="38"/>
      <c r="U31" s="10"/>
      <c r="V31" s="38"/>
      <c r="W31" s="10"/>
      <c r="X31" s="30"/>
      <c r="Y31" s="30"/>
      <c r="Z31" s="30"/>
      <c r="AA31" s="38"/>
      <c r="AB31" s="38"/>
      <c r="AC31" s="38"/>
      <c r="AD31" s="38"/>
      <c r="AE31" s="38"/>
      <c r="AF31" s="38"/>
      <c r="AG31" s="38"/>
    </row>
    <row r="32" spans="1:33" s="19" customFormat="1" ht="14.25" customHeight="1" x14ac:dyDescent="0.2">
      <c r="A32" s="158"/>
      <c r="B32" s="159"/>
      <c r="C32" s="159"/>
      <c r="D32" s="159"/>
      <c r="E32" s="160"/>
      <c r="F32" s="70"/>
      <c r="G32" s="164">
        <v>44260</v>
      </c>
      <c r="H32" s="161"/>
      <c r="I32" s="162"/>
      <c r="J32" s="64"/>
      <c r="K32" s="12" t="s">
        <v>8</v>
      </c>
      <c r="L32" s="38" t="s">
        <v>54</v>
      </c>
      <c r="M32" s="71"/>
      <c r="N32" s="12" t="s">
        <v>13</v>
      </c>
      <c r="O32" s="38" t="s">
        <v>57</v>
      </c>
      <c r="P32" s="36"/>
      <c r="Q32" s="36"/>
      <c r="R32" s="36"/>
      <c r="S32" s="36"/>
      <c r="T32" s="36"/>
      <c r="U32" s="36"/>
      <c r="V32" s="36"/>
      <c r="W32" s="36"/>
      <c r="X32" s="64"/>
      <c r="Y32" s="64"/>
      <c r="Z32" s="64"/>
      <c r="AA32" s="36"/>
      <c r="AB32" s="36"/>
      <c r="AC32" s="36"/>
      <c r="AD32" s="36"/>
      <c r="AE32" s="36"/>
      <c r="AF32" s="36"/>
      <c r="AG32" s="36"/>
    </row>
    <row r="33" spans="1:33" ht="15" customHeight="1" x14ac:dyDescent="0.2">
      <c r="A33" s="56" t="s">
        <v>45</v>
      </c>
      <c r="B33" s="28"/>
      <c r="C33" s="28"/>
      <c r="D33" s="28"/>
      <c r="E33" s="28"/>
      <c r="F33" s="37"/>
      <c r="G33" s="30"/>
      <c r="H33" s="30"/>
      <c r="I33" s="30"/>
      <c r="J33" s="28"/>
      <c r="K33" s="28"/>
      <c r="L33" s="28"/>
      <c r="M33" s="28"/>
      <c r="N33" s="28"/>
      <c r="O33" s="28"/>
      <c r="P33" s="28"/>
      <c r="Q33" s="28"/>
      <c r="R33" s="56"/>
      <c r="S33" s="56"/>
      <c r="T33" s="28"/>
      <c r="U33" s="28"/>
      <c r="V33" s="28"/>
      <c r="W33" s="28"/>
      <c r="X33" s="28"/>
      <c r="Y33" s="72"/>
      <c r="Z33" s="28"/>
      <c r="AA33" s="30"/>
      <c r="AB33" s="38"/>
      <c r="AC33" s="38"/>
      <c r="AD33" s="38"/>
      <c r="AE33" s="38"/>
      <c r="AF33" s="38"/>
      <c r="AG33" s="38"/>
    </row>
    <row r="34" spans="1:33" ht="1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54"/>
      <c r="Y34" s="16"/>
    </row>
    <row r="35" spans="1:33" ht="15" customHeight="1" x14ac:dyDescent="0.2">
      <c r="A35" s="165" t="s">
        <v>46</v>
      </c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Y35" s="16"/>
    </row>
    <row r="36" spans="1:33" ht="15" customHeight="1" x14ac:dyDescent="0.2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Y36" s="16"/>
      <c r="Z36" s="54"/>
    </row>
    <row r="37" spans="1:33" ht="15" customHeight="1" x14ac:dyDescent="0.2">
      <c r="A37" s="38"/>
      <c r="B37" s="38"/>
      <c r="C37" s="38"/>
      <c r="D37" s="118"/>
      <c r="E37" s="38"/>
      <c r="F37" s="73"/>
      <c r="G37" s="73"/>
      <c r="H37" s="73"/>
      <c r="I37" s="73"/>
      <c r="J37" s="38"/>
      <c r="K37" s="38"/>
      <c r="L37" s="38"/>
      <c r="M37" s="119"/>
      <c r="N37" s="38"/>
      <c r="O37" s="123"/>
      <c r="P37" s="76"/>
      <c r="Q37" s="76"/>
      <c r="R37" s="76"/>
      <c r="S37" s="124"/>
      <c r="T37" s="30"/>
      <c r="U37" s="30"/>
      <c r="V37" s="30"/>
      <c r="W37" s="30"/>
      <c r="Y37" s="16"/>
      <c r="AB37" s="54"/>
    </row>
    <row r="38" spans="1:33" ht="15" customHeight="1" x14ac:dyDescent="0.2">
      <c r="A38" s="38"/>
      <c r="B38" s="74"/>
      <c r="C38" s="74"/>
      <c r="D38" s="74"/>
      <c r="E38" s="38"/>
      <c r="F38" s="38"/>
      <c r="G38" s="38"/>
      <c r="H38" s="38"/>
      <c r="I38" s="38"/>
      <c r="J38" s="38"/>
      <c r="K38" s="38"/>
      <c r="L38" s="38"/>
      <c r="M38" s="119"/>
      <c r="N38" s="38"/>
      <c r="O38" s="123"/>
      <c r="P38" s="76"/>
      <c r="Q38" s="76"/>
      <c r="R38" s="76"/>
      <c r="S38" s="124">
        <f>ROUND(J38*O38,2)</f>
        <v>0</v>
      </c>
      <c r="T38" s="30"/>
      <c r="U38" s="30"/>
      <c r="V38" s="30"/>
      <c r="W38" s="30"/>
      <c r="Y38" s="16"/>
      <c r="AB38" s="54"/>
    </row>
    <row r="39" spans="1:33" ht="15" customHeight="1" x14ac:dyDescent="0.2">
      <c r="A39" s="38"/>
      <c r="B39" s="74"/>
      <c r="C39" s="74"/>
      <c r="D39" s="74"/>
      <c r="E39" s="76"/>
      <c r="F39" s="76"/>
      <c r="G39" s="73"/>
      <c r="H39" s="73"/>
      <c r="I39" s="73"/>
      <c r="J39" s="38"/>
      <c r="K39" s="38"/>
      <c r="L39" s="38"/>
      <c r="M39" s="119"/>
      <c r="N39" s="38"/>
      <c r="O39" s="123"/>
      <c r="P39" s="76"/>
      <c r="Q39" s="76"/>
      <c r="R39" s="76"/>
      <c r="S39" s="124"/>
      <c r="T39" s="30"/>
      <c r="U39" s="30"/>
      <c r="V39" s="30"/>
      <c r="W39" s="30"/>
      <c r="Y39" s="16"/>
      <c r="AB39" s="54"/>
    </row>
    <row r="40" spans="1:33" ht="15" customHeight="1" x14ac:dyDescent="0.2">
      <c r="A40" s="38"/>
      <c r="B40" s="74"/>
      <c r="C40" s="74"/>
      <c r="D40" s="74"/>
      <c r="E40" s="77"/>
      <c r="F40" s="38"/>
      <c r="G40" s="38"/>
      <c r="H40" s="38"/>
      <c r="I40" s="38"/>
      <c r="J40" s="38"/>
      <c r="K40" s="38"/>
      <c r="L40" s="38"/>
      <c r="M40" s="119"/>
      <c r="N40" s="38"/>
      <c r="O40" s="123"/>
      <c r="P40" s="76"/>
      <c r="Q40" s="76"/>
      <c r="R40" s="76"/>
      <c r="S40" s="124">
        <f>ROUND(J40*O40,2)</f>
        <v>0</v>
      </c>
      <c r="T40" s="30"/>
      <c r="U40" s="30"/>
      <c r="V40" s="30"/>
      <c r="W40" s="30"/>
      <c r="Y40" s="16"/>
      <c r="AB40" s="54"/>
    </row>
    <row r="41" spans="1:33" ht="15" customHeight="1" x14ac:dyDescent="0.2">
      <c r="A41" s="38"/>
      <c r="B41" s="38"/>
      <c r="C41" s="38"/>
      <c r="D41" s="118"/>
      <c r="E41" s="38"/>
      <c r="F41" s="76"/>
      <c r="G41" s="73"/>
      <c r="H41" s="73"/>
      <c r="I41" s="73"/>
      <c r="J41" s="38"/>
      <c r="K41" s="38"/>
      <c r="L41" s="38"/>
      <c r="M41" s="119"/>
      <c r="N41" s="38"/>
      <c r="O41" s="123"/>
      <c r="P41" s="76"/>
      <c r="Q41" s="76"/>
      <c r="R41" s="76"/>
      <c r="S41" s="124"/>
      <c r="T41" s="30"/>
      <c r="U41" s="30"/>
      <c r="V41" s="30"/>
      <c r="W41" s="30"/>
      <c r="Y41" s="16"/>
      <c r="AB41" s="54"/>
    </row>
    <row r="42" spans="1:33" ht="15" customHeight="1" x14ac:dyDescent="0.2">
      <c r="A42" s="38"/>
      <c r="F42" s="76"/>
      <c r="G42" s="73"/>
      <c r="H42" s="73"/>
      <c r="I42" s="73"/>
      <c r="J42" s="38"/>
      <c r="K42" s="38"/>
      <c r="L42" s="38"/>
      <c r="M42" s="119"/>
      <c r="N42" s="38"/>
      <c r="O42" s="123"/>
      <c r="P42" s="76"/>
      <c r="Q42" s="76"/>
      <c r="R42" s="76"/>
      <c r="S42" s="124"/>
      <c r="T42" s="30"/>
      <c r="U42" s="30"/>
      <c r="V42" s="30"/>
      <c r="W42" s="30"/>
      <c r="Y42" s="16"/>
      <c r="AB42" s="54"/>
    </row>
    <row r="43" spans="1:33" ht="15" customHeight="1" x14ac:dyDescent="0.2">
      <c r="A43" s="38"/>
      <c r="B43" s="38"/>
      <c r="C43" s="38"/>
      <c r="D43" s="118"/>
      <c r="E43" s="76"/>
      <c r="F43" s="73"/>
      <c r="G43" s="73"/>
      <c r="H43" s="73"/>
      <c r="I43" s="73"/>
      <c r="J43" s="38"/>
      <c r="K43" s="38"/>
      <c r="L43" s="38"/>
      <c r="M43" s="38"/>
      <c r="N43" s="38"/>
      <c r="O43" s="76"/>
      <c r="P43" s="76"/>
      <c r="Q43" s="76"/>
      <c r="R43" s="76"/>
      <c r="S43" s="30"/>
      <c r="T43" s="30"/>
      <c r="U43" s="30"/>
      <c r="V43" s="30"/>
      <c r="W43" s="30"/>
      <c r="X43" s="21"/>
      <c r="Y43" s="30"/>
      <c r="Z43" s="30"/>
      <c r="AA43" s="38"/>
      <c r="AB43" s="54"/>
    </row>
    <row r="44" spans="1:33" ht="15" customHeight="1" x14ac:dyDescent="0.2">
      <c r="A44" s="38"/>
      <c r="B44" s="38"/>
      <c r="C44" s="38"/>
      <c r="D44" s="10"/>
      <c r="E44" s="7" t="s">
        <v>21</v>
      </c>
      <c r="F44" s="56"/>
      <c r="G44" s="115"/>
      <c r="H44" s="115"/>
      <c r="I44" s="115"/>
      <c r="J44" s="115">
        <f>SUM(J36:N43)</f>
        <v>0</v>
      </c>
      <c r="K44" s="115"/>
      <c r="L44" s="115"/>
      <c r="M44" s="127">
        <f>SUM(M37:M42)</f>
        <v>0</v>
      </c>
      <c r="N44" s="115"/>
      <c r="O44" s="126"/>
      <c r="P44" s="115"/>
      <c r="Q44" s="115"/>
      <c r="R44" s="117"/>
      <c r="S44" s="125">
        <f>SUM(S36:U43)</f>
        <v>0</v>
      </c>
      <c r="T44" s="115"/>
      <c r="U44" s="115"/>
      <c r="V44" s="115"/>
      <c r="W44" s="115"/>
      <c r="Y44" s="28"/>
      <c r="Z44" s="28"/>
      <c r="AA44" s="30"/>
      <c r="AB44" s="54"/>
    </row>
    <row r="45" spans="1:33" ht="15" customHeight="1" x14ac:dyDescent="0.2">
      <c r="A45" s="79" t="s">
        <v>31</v>
      </c>
      <c r="B45" s="79"/>
      <c r="C45" s="38"/>
      <c r="D45" s="30"/>
      <c r="E45" s="8"/>
      <c r="F45" s="30"/>
      <c r="G45" s="30"/>
      <c r="H45" s="30"/>
      <c r="I45" s="30"/>
      <c r="J45" s="80"/>
      <c r="K45" s="80"/>
      <c r="L45" s="80"/>
      <c r="M45" s="80"/>
      <c r="N45" s="80"/>
      <c r="O45" s="30"/>
      <c r="P45" s="30"/>
      <c r="Q45" s="30"/>
      <c r="R45" s="80"/>
      <c r="S45" s="30"/>
      <c r="T45" s="30"/>
      <c r="U45" s="30"/>
      <c r="V45" s="30"/>
      <c r="W45" s="30"/>
      <c r="X45" s="30"/>
      <c r="Y45" s="30"/>
      <c r="Z45" s="30"/>
      <c r="AA45" s="38"/>
      <c r="AB45" s="54"/>
    </row>
    <row r="46" spans="1:33" ht="15" customHeight="1" x14ac:dyDescent="0.2">
      <c r="A46" s="79" t="s">
        <v>9</v>
      </c>
      <c r="B46" s="79"/>
      <c r="C46" s="38"/>
      <c r="D46" s="30"/>
      <c r="E46" s="8"/>
      <c r="F46" s="30"/>
      <c r="G46" s="30"/>
      <c r="H46" s="30"/>
      <c r="I46" s="30"/>
      <c r="J46" s="80"/>
      <c r="K46" s="80"/>
      <c r="L46" s="80"/>
      <c r="M46" s="80"/>
      <c r="N46" s="80"/>
      <c r="O46" s="30"/>
      <c r="P46" s="30"/>
      <c r="Q46" s="30"/>
      <c r="R46" s="80"/>
      <c r="S46" s="30"/>
      <c r="T46" s="30"/>
      <c r="U46" s="30"/>
      <c r="V46" s="30"/>
      <c r="W46" s="30"/>
      <c r="X46" s="30"/>
      <c r="Y46" s="30"/>
      <c r="Z46" s="30"/>
      <c r="AA46" s="38"/>
      <c r="AB46" s="54"/>
    </row>
    <row r="47" spans="1:33" ht="15" customHeight="1" x14ac:dyDescent="0.2">
      <c r="A47" s="79"/>
      <c r="B47" s="79"/>
      <c r="C47" s="38"/>
      <c r="D47" s="30"/>
      <c r="E47" s="8"/>
      <c r="F47" s="30"/>
      <c r="G47" s="30"/>
      <c r="H47" s="30"/>
      <c r="I47" s="30"/>
      <c r="J47" s="80"/>
      <c r="K47" s="80"/>
      <c r="L47" s="80"/>
      <c r="M47" s="80"/>
      <c r="N47" s="80"/>
      <c r="O47" s="30"/>
      <c r="P47" s="30"/>
      <c r="Q47" s="30"/>
      <c r="R47" s="80"/>
      <c r="S47" s="30"/>
      <c r="T47" s="30"/>
      <c r="U47" s="30"/>
      <c r="V47" s="30"/>
      <c r="W47" s="30"/>
      <c r="X47" s="30"/>
      <c r="Y47" s="30"/>
      <c r="Z47" s="30"/>
      <c r="AA47" s="38"/>
      <c r="AB47" s="54"/>
    </row>
    <row r="48" spans="1:33" ht="15" customHeight="1" x14ac:dyDescent="0.2">
      <c r="A48" s="79"/>
      <c r="B48" s="79"/>
      <c r="C48" s="38"/>
      <c r="D48" s="30"/>
      <c r="E48" s="8"/>
      <c r="F48" s="30"/>
      <c r="G48" s="30"/>
      <c r="H48" s="30"/>
      <c r="I48" s="30"/>
      <c r="J48" s="80"/>
      <c r="K48" s="80"/>
      <c r="L48" s="80"/>
      <c r="M48" s="80"/>
      <c r="N48" s="80"/>
      <c r="O48" s="30"/>
      <c r="P48" s="30"/>
      <c r="Q48" s="30"/>
      <c r="R48" s="80"/>
      <c r="S48" s="30"/>
      <c r="T48" s="30"/>
      <c r="U48" s="30"/>
      <c r="V48" s="30"/>
      <c r="W48" s="30"/>
      <c r="X48" s="30"/>
      <c r="Y48" s="30"/>
      <c r="Z48" s="30"/>
      <c r="AA48" s="38"/>
      <c r="AB48" s="54"/>
    </row>
    <row r="49" spans="1:31" ht="15" customHeight="1" x14ac:dyDescent="0.2">
      <c r="A49" s="79"/>
      <c r="B49" s="79"/>
      <c r="C49" s="38"/>
      <c r="D49" s="30"/>
      <c r="E49" s="8"/>
      <c r="F49" s="30"/>
      <c r="G49" s="30"/>
      <c r="H49" s="30"/>
      <c r="I49" s="30"/>
      <c r="J49" s="80"/>
      <c r="K49" s="80"/>
      <c r="L49" s="80"/>
      <c r="M49" s="80"/>
      <c r="N49" s="80"/>
      <c r="O49" s="30"/>
      <c r="P49" s="30"/>
      <c r="Q49" s="30"/>
      <c r="R49" s="80"/>
      <c r="S49" s="30"/>
      <c r="T49" s="30"/>
      <c r="U49" s="30"/>
      <c r="V49" s="30"/>
      <c r="W49" s="30"/>
      <c r="X49" s="30"/>
      <c r="Y49" s="30"/>
      <c r="Z49" s="30"/>
      <c r="AA49" s="38"/>
      <c r="AB49" s="54"/>
    </row>
    <row r="50" spans="1:31" ht="15" customHeight="1" x14ac:dyDescent="0.2">
      <c r="A50" s="79"/>
      <c r="B50" s="79"/>
      <c r="C50" s="38"/>
      <c r="D50" s="30"/>
      <c r="E50" s="8"/>
      <c r="F50" s="30"/>
      <c r="G50" s="30"/>
      <c r="H50" s="30"/>
      <c r="I50" s="30"/>
      <c r="J50" s="80"/>
      <c r="K50" s="80"/>
      <c r="L50" s="80"/>
      <c r="M50" s="80"/>
      <c r="N50" s="80"/>
      <c r="O50" s="30"/>
      <c r="P50" s="30"/>
      <c r="Q50" s="30"/>
      <c r="R50" s="80"/>
      <c r="S50" s="30"/>
      <c r="T50" s="30"/>
      <c r="U50" s="30"/>
      <c r="V50" s="30"/>
      <c r="W50" s="30"/>
      <c r="X50" s="30"/>
      <c r="Y50" s="30"/>
      <c r="Z50" s="30"/>
      <c r="AA50" s="38"/>
      <c r="AB50" s="54"/>
    </row>
    <row r="51" spans="1:31" ht="15" customHeight="1" x14ac:dyDescent="0.2">
      <c r="A51" s="79"/>
      <c r="B51" s="79"/>
      <c r="C51" s="38"/>
      <c r="D51" s="30"/>
      <c r="E51" s="8"/>
      <c r="F51" s="30"/>
      <c r="G51" s="30"/>
      <c r="H51" s="30"/>
      <c r="I51" s="30"/>
      <c r="J51" s="80"/>
      <c r="K51" s="80"/>
      <c r="L51" s="80"/>
      <c r="M51" s="80"/>
      <c r="N51" s="80"/>
      <c r="O51" s="30"/>
      <c r="P51" s="30"/>
      <c r="Q51" s="30"/>
      <c r="R51" s="80"/>
      <c r="S51" s="30"/>
      <c r="T51" s="30"/>
      <c r="U51" s="30"/>
      <c r="V51" s="30"/>
      <c r="W51" s="30"/>
      <c r="X51" s="30"/>
      <c r="Y51" s="30"/>
      <c r="Z51" s="30"/>
      <c r="AA51" s="38"/>
      <c r="AB51" s="54"/>
    </row>
    <row r="52" spans="1:31" ht="15" customHeight="1" x14ac:dyDescent="0.2">
      <c r="A52" s="81"/>
      <c r="B52" s="81"/>
      <c r="D52" s="16"/>
      <c r="E52" s="9"/>
      <c r="F52" s="16"/>
      <c r="G52" s="16"/>
      <c r="H52" s="16"/>
      <c r="I52" s="16"/>
      <c r="J52" s="82"/>
      <c r="K52" s="82"/>
      <c r="L52" s="82"/>
      <c r="M52" s="82"/>
      <c r="N52" s="82"/>
      <c r="O52" s="16"/>
      <c r="P52" s="16"/>
      <c r="Q52" s="16"/>
      <c r="R52" s="82"/>
      <c r="S52" s="16"/>
      <c r="T52" s="16"/>
      <c r="U52" s="16"/>
      <c r="V52" s="16"/>
      <c r="W52" s="16"/>
      <c r="X52" s="14"/>
      <c r="Y52" s="16"/>
      <c r="AB52" s="54"/>
    </row>
    <row r="53" spans="1:31" ht="15" customHeight="1" x14ac:dyDescent="0.2">
      <c r="A53" s="81"/>
      <c r="B53" s="81"/>
      <c r="D53" s="16"/>
      <c r="E53" s="9"/>
      <c r="F53" s="16"/>
      <c r="G53" s="16"/>
      <c r="H53" s="16"/>
      <c r="I53" s="16"/>
      <c r="J53" s="82"/>
      <c r="K53" s="82"/>
      <c r="L53" s="82"/>
      <c r="M53" s="82"/>
      <c r="N53" s="82"/>
      <c r="O53" s="16"/>
      <c r="P53" s="16"/>
      <c r="Q53" s="16"/>
      <c r="R53" s="82"/>
      <c r="S53" s="16"/>
      <c r="T53" s="16"/>
      <c r="U53" s="16"/>
      <c r="V53" s="16"/>
      <c r="W53" s="16"/>
      <c r="X53" s="14"/>
      <c r="Y53" s="16"/>
      <c r="AB53" s="54"/>
    </row>
    <row r="54" spans="1:31" ht="15" customHeight="1" x14ac:dyDescent="0.2">
      <c r="A54" s="81"/>
      <c r="B54" s="81"/>
      <c r="D54" s="16"/>
      <c r="E54" s="9"/>
      <c r="F54" s="16"/>
      <c r="G54" s="16"/>
      <c r="H54" s="16"/>
      <c r="I54" s="16"/>
      <c r="J54" s="82"/>
      <c r="K54" s="82"/>
      <c r="L54" s="82"/>
      <c r="M54" s="82"/>
      <c r="N54" s="82"/>
      <c r="O54" s="16"/>
      <c r="P54" s="16"/>
      <c r="Q54" s="16"/>
      <c r="R54" s="82"/>
      <c r="S54" s="16"/>
      <c r="T54" s="16"/>
      <c r="U54" s="16"/>
      <c r="V54" s="16"/>
      <c r="W54" s="16"/>
      <c r="X54" s="14"/>
      <c r="Y54" s="16"/>
    </row>
    <row r="55" spans="1:31" ht="15" customHeight="1" x14ac:dyDescent="0.2">
      <c r="A55" s="81"/>
      <c r="B55" s="81"/>
      <c r="D55" s="16"/>
      <c r="E55" s="9"/>
      <c r="F55" s="16"/>
      <c r="G55" s="16"/>
      <c r="H55" s="16"/>
      <c r="I55" s="16"/>
      <c r="J55" s="82"/>
      <c r="K55" s="82"/>
      <c r="L55" s="82"/>
      <c r="M55" s="82"/>
      <c r="N55" s="82"/>
      <c r="O55" s="16"/>
      <c r="P55" s="16"/>
      <c r="Q55" s="16"/>
      <c r="R55" s="82"/>
      <c r="S55" s="16"/>
      <c r="T55" s="16"/>
      <c r="U55" s="16"/>
      <c r="V55" s="16"/>
      <c r="W55" s="16"/>
      <c r="Y55" s="16"/>
    </row>
    <row r="56" spans="1:31" ht="15" customHeight="1" x14ac:dyDescent="0.2">
      <c r="A56" s="81"/>
      <c r="B56" s="81"/>
      <c r="D56" s="16"/>
      <c r="E56" s="9"/>
      <c r="F56" s="16"/>
      <c r="G56" s="16"/>
      <c r="H56" s="16"/>
      <c r="I56" s="16"/>
      <c r="J56" s="82"/>
      <c r="K56" s="82"/>
      <c r="L56" s="82"/>
      <c r="N56" s="15" t="s">
        <v>22</v>
      </c>
      <c r="O56" s="15"/>
      <c r="Q56" s="21"/>
      <c r="R56" s="21"/>
      <c r="S56" s="21"/>
      <c r="T56" s="21"/>
      <c r="U56" s="21"/>
      <c r="V56" s="21"/>
      <c r="W56" s="21"/>
      <c r="X56" s="14"/>
      <c r="Y56" s="16"/>
    </row>
    <row r="57" spans="1:31" ht="15" customHeight="1" x14ac:dyDescent="0.2">
      <c r="A57" s="32"/>
      <c r="B57" s="81" t="s">
        <v>10</v>
      </c>
      <c r="C57" s="16"/>
      <c r="D57" s="32"/>
      <c r="E57" s="77"/>
      <c r="F57" s="83"/>
      <c r="G57" s="32"/>
      <c r="H57" s="32"/>
      <c r="I57" s="32"/>
      <c r="J57" s="32"/>
      <c r="K57" s="32"/>
      <c r="L57" s="32"/>
      <c r="M57" s="32"/>
      <c r="N57" s="16"/>
      <c r="O57" s="16"/>
      <c r="P57" s="18"/>
      <c r="Q57" s="16"/>
      <c r="R57" s="16"/>
      <c r="S57" s="32"/>
      <c r="T57" s="32"/>
      <c r="U57" s="32"/>
      <c r="V57" s="32"/>
      <c r="W57" s="18"/>
      <c r="X57" s="18"/>
      <c r="Y57" s="18"/>
      <c r="Z57" s="18"/>
      <c r="AA57" s="16"/>
    </row>
    <row r="58" spans="1:31" ht="15" customHeight="1" x14ac:dyDescent="0.2">
      <c r="A58" s="32"/>
      <c r="B58" s="81"/>
      <c r="C58" s="16"/>
      <c r="D58" s="32"/>
      <c r="E58" s="153" t="s">
        <v>64</v>
      </c>
      <c r="F58" s="83"/>
      <c r="G58" s="32"/>
      <c r="H58" s="32"/>
      <c r="I58" s="32"/>
      <c r="J58" s="32"/>
      <c r="K58" s="32"/>
      <c r="L58" s="32"/>
      <c r="M58" s="32"/>
      <c r="N58" s="16"/>
      <c r="O58" s="16"/>
      <c r="P58" s="16"/>
      <c r="Q58" s="16"/>
      <c r="R58" s="16"/>
      <c r="S58" s="32"/>
      <c r="T58" s="32"/>
      <c r="U58" s="32"/>
      <c r="V58" s="32"/>
      <c r="W58" s="16"/>
      <c r="Y58" s="16"/>
    </row>
    <row r="59" spans="1:31" ht="15" customHeight="1" x14ac:dyDescent="0.2">
      <c r="A59" s="15"/>
      <c r="B59" s="77"/>
      <c r="C59" s="32"/>
      <c r="D59" s="16"/>
      <c r="E59" s="154" t="s">
        <v>65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84"/>
      <c r="R59" s="32"/>
      <c r="S59" s="32"/>
      <c r="T59" s="32"/>
      <c r="U59" s="32"/>
      <c r="V59" s="32"/>
      <c r="W59" s="32"/>
      <c r="Y59" s="16"/>
    </row>
    <row r="60" spans="1:31" ht="15" customHeight="1" x14ac:dyDescent="0.2">
      <c r="A60" s="15"/>
      <c r="B60" s="77"/>
      <c r="C60" s="32"/>
      <c r="D60" s="16"/>
      <c r="E60" s="154" t="s">
        <v>66</v>
      </c>
      <c r="Q60" s="85"/>
      <c r="Y60" s="16"/>
    </row>
    <row r="61" spans="1:31" ht="15" customHeight="1" x14ac:dyDescent="0.2">
      <c r="E61"/>
      <c r="Y61" s="16"/>
    </row>
    <row r="62" spans="1:31" ht="15" customHeight="1" x14ac:dyDescent="0.2">
      <c r="Y62" s="16"/>
      <c r="AA62" s="16"/>
      <c r="AB62" s="16"/>
      <c r="AC62" s="16"/>
      <c r="AD62" s="32"/>
      <c r="AE62" s="32"/>
    </row>
    <row r="63" spans="1:31" ht="15" customHeight="1" x14ac:dyDescent="0.2">
      <c r="Y63" s="16"/>
      <c r="AA63" s="16"/>
      <c r="AB63" s="16"/>
      <c r="AC63" s="16"/>
      <c r="AD63" s="32"/>
      <c r="AE63" s="32"/>
    </row>
    <row r="64" spans="1:31" ht="15" customHeight="1" x14ac:dyDescent="0.2">
      <c r="X64" s="32"/>
      <c r="Y64" s="77"/>
      <c r="AA64" s="16"/>
      <c r="AB64" s="16"/>
      <c r="AC64" s="16"/>
      <c r="AD64" s="32"/>
      <c r="AE64" s="32"/>
    </row>
    <row r="65" spans="1:32" ht="15" customHeight="1" x14ac:dyDescent="0.2">
      <c r="A65" s="15"/>
      <c r="B65" s="16"/>
      <c r="C65" s="16"/>
      <c r="D65" s="16"/>
      <c r="Y65" s="16"/>
      <c r="AA65" s="16"/>
      <c r="AB65" s="16"/>
      <c r="AC65" s="16"/>
      <c r="AD65" s="16"/>
      <c r="AE65" s="16"/>
      <c r="AF65" s="16"/>
    </row>
    <row r="66" spans="1:32" ht="34.5" customHeight="1" x14ac:dyDescent="0.2">
      <c r="A66" s="1" t="s">
        <v>11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3"/>
      <c r="AA66" s="16"/>
      <c r="AB66" s="16"/>
      <c r="AC66" s="16"/>
      <c r="AD66" s="16"/>
      <c r="AE66" s="16"/>
      <c r="AF66" s="16"/>
    </row>
    <row r="67" spans="1:32" ht="14.25" customHeight="1" x14ac:dyDescent="0.2">
      <c r="A67" s="15" t="s">
        <v>15</v>
      </c>
      <c r="B67" s="16"/>
      <c r="C67" s="16"/>
      <c r="D67" s="16"/>
      <c r="E67" s="16"/>
      <c r="F67" s="16"/>
      <c r="G67" s="16"/>
      <c r="H67" s="16"/>
      <c r="I67" s="86"/>
      <c r="J67" s="15" t="s">
        <v>0</v>
      </c>
      <c r="K67" s="15"/>
      <c r="L67" s="15"/>
      <c r="M67" s="87"/>
      <c r="N67" s="87"/>
      <c r="O67" s="87"/>
      <c r="P67" s="87"/>
      <c r="Q67" s="87"/>
      <c r="R67" s="15"/>
      <c r="S67" s="15"/>
      <c r="Y67" s="16"/>
      <c r="Z67" s="18"/>
      <c r="AA67" s="16"/>
      <c r="AB67" s="16"/>
      <c r="AC67" s="16"/>
      <c r="AD67" s="16"/>
      <c r="AE67" s="16"/>
      <c r="AF67" s="16"/>
    </row>
    <row r="68" spans="1:32" ht="14.25" customHeight="1" x14ac:dyDescent="0.2">
      <c r="A68" s="19"/>
      <c r="B68" s="20" t="str">
        <f>B3</f>
        <v>OT MOTOR VINA CO.,LTD</v>
      </c>
      <c r="H68" s="16"/>
      <c r="I68" s="17"/>
      <c r="J68" s="21"/>
      <c r="K68" s="88" t="str">
        <f>K3</f>
        <v>OT-210027</v>
      </c>
      <c r="L68" s="89"/>
      <c r="M68" s="89"/>
      <c r="N68" s="90"/>
      <c r="O68" s="90">
        <f>O3</f>
        <v>0</v>
      </c>
      <c r="P68" s="90"/>
      <c r="Q68" s="90"/>
      <c r="R68" s="90"/>
      <c r="S68" s="90"/>
      <c r="T68" s="90"/>
      <c r="U68" s="166"/>
      <c r="V68" s="166"/>
      <c r="W68" s="166"/>
      <c r="X68" s="24"/>
      <c r="Y68" s="21"/>
      <c r="AA68" s="16"/>
      <c r="AB68" s="16"/>
      <c r="AC68" s="16"/>
      <c r="AD68" s="16"/>
      <c r="AE68" s="16"/>
      <c r="AF68" s="16"/>
    </row>
    <row r="69" spans="1:32" ht="14.25" customHeight="1" x14ac:dyDescent="0.2">
      <c r="B69" s="14" t="str">
        <f>B4</f>
        <v xml:space="preserve">Lot No B-3.1, Nhon Trach 6B Subdivision of IZ, </v>
      </c>
      <c r="H69" s="16"/>
      <c r="I69" s="17"/>
      <c r="J69" s="16"/>
      <c r="K69" s="9"/>
      <c r="L69" s="54"/>
      <c r="M69" s="54"/>
      <c r="N69" s="16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28"/>
      <c r="Z69" s="18"/>
      <c r="AA69" s="16"/>
      <c r="AB69" s="16"/>
      <c r="AC69" s="16"/>
      <c r="AD69" s="16"/>
      <c r="AE69" s="16"/>
      <c r="AF69" s="16"/>
    </row>
    <row r="70" spans="1:32" ht="14.25" customHeight="1" x14ac:dyDescent="0.2">
      <c r="B70" s="14" t="str">
        <f>B5</f>
        <v>Nhon Trach 6 IZ, Long Tho Commune, Nhon Trach Dist</v>
      </c>
      <c r="H70" s="16"/>
      <c r="I70" s="17"/>
      <c r="J70" s="15" t="s">
        <v>12</v>
      </c>
      <c r="K70" s="15"/>
      <c r="L70" s="15"/>
      <c r="M70" s="15"/>
      <c r="N70" s="15"/>
      <c r="O70" s="64"/>
      <c r="P70" s="36"/>
      <c r="Q70" s="64"/>
      <c r="R70" s="64"/>
      <c r="S70" s="64"/>
      <c r="T70" s="30"/>
      <c r="U70" s="30"/>
      <c r="V70" s="30"/>
      <c r="W70" s="30"/>
      <c r="X70" s="30"/>
      <c r="Y70" s="30"/>
      <c r="AA70" s="16"/>
      <c r="AB70" s="16"/>
      <c r="AC70" s="16"/>
      <c r="AD70" s="16"/>
      <c r="AE70" s="16"/>
      <c r="AF70" s="16"/>
    </row>
    <row r="71" spans="1:32" ht="14.25" customHeight="1" x14ac:dyDescent="0.2">
      <c r="B71" s="14" t="str">
        <f>B6</f>
        <v>Dong Nai Province, Vietnam</v>
      </c>
      <c r="H71" s="16"/>
      <c r="I71" s="17"/>
      <c r="J71" s="15"/>
      <c r="K71" s="37" t="s">
        <v>8</v>
      </c>
      <c r="L71" s="38" t="s">
        <v>18</v>
      </c>
      <c r="M71" s="38"/>
      <c r="N71" s="12" t="s">
        <v>13</v>
      </c>
      <c r="O71" s="8">
        <f t="shared" ref="O71:Z71" si="0">O12</f>
        <v>0</v>
      </c>
      <c r="P71" s="8">
        <f t="shared" si="0"/>
        <v>0</v>
      </c>
      <c r="Q71" s="8">
        <f t="shared" si="0"/>
        <v>0</v>
      </c>
      <c r="R71" s="8">
        <f t="shared" si="0"/>
        <v>0</v>
      </c>
      <c r="S71" s="8">
        <f t="shared" si="0"/>
        <v>0</v>
      </c>
      <c r="T71" s="8">
        <f t="shared" si="0"/>
        <v>0</v>
      </c>
      <c r="U71" s="8">
        <f t="shared" si="0"/>
        <v>0</v>
      </c>
      <c r="V71" s="8">
        <f t="shared" si="0"/>
        <v>0</v>
      </c>
      <c r="W71" s="8">
        <f t="shared" si="0"/>
        <v>0</v>
      </c>
      <c r="X71" s="8">
        <f t="shared" si="0"/>
        <v>0</v>
      </c>
      <c r="Y71" s="8">
        <f t="shared" si="0"/>
        <v>0</v>
      </c>
      <c r="Z71" s="64">
        <f t="shared" si="0"/>
        <v>0</v>
      </c>
      <c r="AA71" s="16"/>
      <c r="AB71" s="16"/>
      <c r="AC71" s="16"/>
      <c r="AD71" s="16"/>
      <c r="AE71" s="16"/>
      <c r="AF71" s="16"/>
    </row>
    <row r="72" spans="1:32" ht="15" customHeight="1" x14ac:dyDescent="0.2">
      <c r="A72" s="21"/>
      <c r="B72" s="26"/>
      <c r="C72" s="21"/>
      <c r="D72" s="21"/>
      <c r="E72" s="21"/>
      <c r="F72" s="21"/>
      <c r="G72" s="21"/>
      <c r="H72" s="21"/>
      <c r="I72" s="91"/>
      <c r="J72" s="16"/>
      <c r="K72" s="37" t="s">
        <v>8</v>
      </c>
      <c r="L72" s="38" t="s">
        <v>47</v>
      </c>
      <c r="M72" s="38"/>
      <c r="N72" s="12" t="s">
        <v>13</v>
      </c>
      <c r="O72" s="8">
        <f t="shared" ref="O72:Z72" si="1">O13</f>
        <v>0</v>
      </c>
      <c r="P72" s="8">
        <f t="shared" si="1"/>
        <v>0</v>
      </c>
      <c r="Q72" s="8">
        <f t="shared" si="1"/>
        <v>0</v>
      </c>
      <c r="R72" s="8">
        <f t="shared" si="1"/>
        <v>0</v>
      </c>
      <c r="S72" s="8">
        <f t="shared" si="1"/>
        <v>0</v>
      </c>
      <c r="T72" s="8">
        <f t="shared" si="1"/>
        <v>0</v>
      </c>
      <c r="U72" s="8">
        <f t="shared" si="1"/>
        <v>0</v>
      </c>
      <c r="V72" s="8">
        <f t="shared" si="1"/>
        <v>0</v>
      </c>
      <c r="W72" s="8">
        <f t="shared" si="1"/>
        <v>0</v>
      </c>
      <c r="X72" s="8">
        <f t="shared" si="1"/>
        <v>0</v>
      </c>
      <c r="Y72" s="8">
        <f t="shared" si="1"/>
        <v>0</v>
      </c>
      <c r="Z72" s="64">
        <f t="shared" si="1"/>
        <v>0</v>
      </c>
      <c r="AA72" s="16"/>
      <c r="AB72" s="16"/>
      <c r="AC72" s="16"/>
      <c r="AD72" s="16"/>
      <c r="AE72" s="16"/>
      <c r="AF72" s="16"/>
    </row>
    <row r="73" spans="1:32" ht="14.25" customHeight="1" x14ac:dyDescent="0.2">
      <c r="A73" s="25" t="s">
        <v>1</v>
      </c>
      <c r="B73" s="18"/>
      <c r="C73" s="18"/>
      <c r="D73" s="18"/>
      <c r="E73" s="18"/>
      <c r="F73" s="18"/>
      <c r="G73" s="18"/>
      <c r="H73" s="28"/>
      <c r="I73" s="92"/>
      <c r="J73" s="16"/>
      <c r="K73" s="37" t="s">
        <v>8</v>
      </c>
      <c r="L73" s="38" t="s">
        <v>32</v>
      </c>
      <c r="M73" s="38"/>
      <c r="N73" s="12" t="s">
        <v>13</v>
      </c>
      <c r="O73" s="8">
        <f t="shared" ref="O73:Z73" si="2">O14</f>
        <v>0</v>
      </c>
      <c r="P73" s="8">
        <f t="shared" si="2"/>
        <v>0</v>
      </c>
      <c r="Q73" s="8">
        <f t="shared" si="2"/>
        <v>0</v>
      </c>
      <c r="R73" s="8">
        <f t="shared" si="2"/>
        <v>0</v>
      </c>
      <c r="S73" s="8">
        <f t="shared" si="2"/>
        <v>0</v>
      </c>
      <c r="T73" s="8">
        <f t="shared" si="2"/>
        <v>0</v>
      </c>
      <c r="U73" s="8">
        <f t="shared" si="2"/>
        <v>0</v>
      </c>
      <c r="V73" s="8">
        <f t="shared" si="2"/>
        <v>0</v>
      </c>
      <c r="W73" s="8">
        <f t="shared" si="2"/>
        <v>0</v>
      </c>
      <c r="X73" s="8">
        <f t="shared" si="2"/>
        <v>0</v>
      </c>
      <c r="Y73" s="8">
        <f t="shared" si="2"/>
        <v>0</v>
      </c>
      <c r="Z73" s="64">
        <f t="shared" si="2"/>
        <v>0</v>
      </c>
      <c r="AA73" s="16"/>
      <c r="AB73" s="16"/>
      <c r="AC73" s="16"/>
      <c r="AD73" s="16"/>
      <c r="AE73" s="16"/>
      <c r="AF73" s="16"/>
    </row>
    <row r="74" spans="1:32" ht="12" customHeight="1" x14ac:dyDescent="0.2">
      <c r="C74" s="31"/>
      <c r="D74" s="31"/>
      <c r="E74" s="31"/>
      <c r="F74" s="31"/>
      <c r="G74" s="31"/>
      <c r="H74" s="32"/>
      <c r="I74" s="50"/>
      <c r="J74" s="15"/>
      <c r="K74" s="37"/>
      <c r="L74" s="38"/>
      <c r="M74" s="38"/>
      <c r="N74" s="12"/>
      <c r="O74" s="8">
        <f t="shared" ref="O74:Z74" si="3">O15</f>
        <v>0</v>
      </c>
      <c r="P74" s="8">
        <f t="shared" si="3"/>
        <v>0</v>
      </c>
      <c r="Q74" s="8">
        <f t="shared" si="3"/>
        <v>0</v>
      </c>
      <c r="R74" s="8">
        <f t="shared" si="3"/>
        <v>0</v>
      </c>
      <c r="S74" s="8">
        <f t="shared" si="3"/>
        <v>0</v>
      </c>
      <c r="T74" s="8">
        <f t="shared" si="3"/>
        <v>0</v>
      </c>
      <c r="U74" s="8">
        <f t="shared" si="3"/>
        <v>0</v>
      </c>
      <c r="V74" s="8">
        <f t="shared" si="3"/>
        <v>0</v>
      </c>
      <c r="W74" s="8">
        <f t="shared" si="3"/>
        <v>0</v>
      </c>
      <c r="X74" s="8">
        <f t="shared" si="3"/>
        <v>0</v>
      </c>
      <c r="Y74" s="8">
        <f t="shared" si="3"/>
        <v>0</v>
      </c>
      <c r="Z74" s="64">
        <f t="shared" si="3"/>
        <v>0</v>
      </c>
      <c r="AA74" s="16"/>
      <c r="AB74" s="16"/>
      <c r="AC74" s="16"/>
      <c r="AD74" s="16"/>
      <c r="AE74" s="16"/>
      <c r="AF74" s="16"/>
    </row>
    <row r="75" spans="1:32" ht="12" customHeight="1" x14ac:dyDescent="0.2">
      <c r="B75" s="20" t="str">
        <f t="shared" ref="B75:B82" si="4">B11</f>
        <v>ZF Passive Safety US Inc.</v>
      </c>
      <c r="C75" s="19"/>
      <c r="D75" s="19"/>
      <c r="E75" s="19"/>
      <c r="F75" s="19"/>
      <c r="G75" s="19"/>
      <c r="H75" s="36"/>
      <c r="I75" s="65"/>
      <c r="J75" s="15"/>
      <c r="K75" s="37" t="s">
        <v>8</v>
      </c>
      <c r="L75" s="38" t="s">
        <v>2</v>
      </c>
      <c r="M75" s="38"/>
      <c r="N75" s="12" t="s">
        <v>13</v>
      </c>
      <c r="O75" s="8">
        <f t="shared" ref="O75:Z75" si="5">O16</f>
        <v>0</v>
      </c>
      <c r="P75" s="8">
        <f t="shared" si="5"/>
        <v>0</v>
      </c>
      <c r="Q75" s="8">
        <f t="shared" si="5"/>
        <v>0</v>
      </c>
      <c r="R75" s="8">
        <f t="shared" si="5"/>
        <v>0</v>
      </c>
      <c r="S75" s="8">
        <f t="shared" si="5"/>
        <v>0</v>
      </c>
      <c r="T75" s="8">
        <f t="shared" si="5"/>
        <v>0</v>
      </c>
      <c r="U75" s="8">
        <f t="shared" si="5"/>
        <v>0</v>
      </c>
      <c r="V75" s="8">
        <f t="shared" si="5"/>
        <v>0</v>
      </c>
      <c r="W75" s="8">
        <f t="shared" si="5"/>
        <v>0</v>
      </c>
      <c r="X75" s="8">
        <f t="shared" si="5"/>
        <v>0</v>
      </c>
      <c r="Y75" s="8">
        <f t="shared" si="5"/>
        <v>0</v>
      </c>
      <c r="Z75" s="64">
        <f t="shared" si="5"/>
        <v>0</v>
      </c>
      <c r="AA75" s="16"/>
      <c r="AB75" s="16"/>
      <c r="AC75" s="16"/>
      <c r="AD75" s="16"/>
      <c r="AE75" s="16"/>
      <c r="AF75" s="16"/>
    </row>
    <row r="76" spans="1:32" ht="15" customHeight="1" x14ac:dyDescent="0.2">
      <c r="B76" s="20">
        <f t="shared" si="4"/>
        <v>0</v>
      </c>
      <c r="H76" s="38"/>
      <c r="I76" s="50"/>
      <c r="J76" s="15"/>
      <c r="K76" s="37" t="s">
        <v>8</v>
      </c>
      <c r="L76" s="38" t="s">
        <v>19</v>
      </c>
      <c r="M76" s="38"/>
      <c r="N76" s="12" t="s">
        <v>13</v>
      </c>
      <c r="O76" s="8">
        <f t="shared" ref="O76:Z76" si="6">O17</f>
        <v>0</v>
      </c>
      <c r="P76" s="8">
        <f t="shared" si="6"/>
        <v>0</v>
      </c>
      <c r="Q76" s="8">
        <f t="shared" si="6"/>
        <v>0</v>
      </c>
      <c r="R76" s="8">
        <f t="shared" si="6"/>
        <v>0</v>
      </c>
      <c r="S76" s="8">
        <f t="shared" si="6"/>
        <v>0</v>
      </c>
      <c r="T76" s="8">
        <f t="shared" si="6"/>
        <v>0</v>
      </c>
      <c r="U76" s="8">
        <f t="shared" si="6"/>
        <v>0</v>
      </c>
      <c r="V76" s="8">
        <f t="shared" si="6"/>
        <v>0</v>
      </c>
      <c r="W76" s="8">
        <f t="shared" si="6"/>
        <v>0</v>
      </c>
      <c r="X76" s="8">
        <f t="shared" si="6"/>
        <v>0</v>
      </c>
      <c r="Y76" s="8">
        <f t="shared" si="6"/>
        <v>0</v>
      </c>
      <c r="Z76" s="64">
        <f t="shared" si="6"/>
        <v>0</v>
      </c>
      <c r="AA76" s="16"/>
      <c r="AB76" s="16"/>
      <c r="AC76" s="16"/>
      <c r="AD76" s="16"/>
      <c r="AE76" s="16"/>
      <c r="AF76" s="16"/>
    </row>
    <row r="77" spans="1:32" x14ac:dyDescent="0.2">
      <c r="B77" s="14" t="str">
        <f t="shared" si="4"/>
        <v>Seatbelt Division- OUC 454</v>
      </c>
      <c r="H77" s="38"/>
      <c r="I77" s="50"/>
      <c r="J77" s="16"/>
      <c r="K77" s="37" t="s">
        <v>8</v>
      </c>
      <c r="L77" s="38" t="s">
        <v>20</v>
      </c>
      <c r="M77" s="38"/>
      <c r="N77" s="12" t="s">
        <v>13</v>
      </c>
      <c r="O77" s="8">
        <f t="shared" ref="O77:Z77" si="7">O18</f>
        <v>0</v>
      </c>
      <c r="P77" s="8">
        <f t="shared" si="7"/>
        <v>0</v>
      </c>
      <c r="Q77" s="8">
        <f t="shared" si="7"/>
        <v>0</v>
      </c>
      <c r="R77" s="8">
        <f t="shared" si="7"/>
        <v>0</v>
      </c>
      <c r="S77" s="8">
        <f t="shared" si="7"/>
        <v>0</v>
      </c>
      <c r="T77" s="8">
        <f t="shared" si="7"/>
        <v>0</v>
      </c>
      <c r="U77" s="8">
        <f t="shared" si="7"/>
        <v>0</v>
      </c>
      <c r="V77" s="8">
        <f t="shared" si="7"/>
        <v>0</v>
      </c>
      <c r="W77" s="8">
        <f t="shared" si="7"/>
        <v>0</v>
      </c>
      <c r="X77" s="8">
        <f t="shared" si="7"/>
        <v>0</v>
      </c>
      <c r="Y77" s="8">
        <f t="shared" si="7"/>
        <v>0</v>
      </c>
      <c r="Z77" s="64">
        <f t="shared" si="7"/>
        <v>0</v>
      </c>
      <c r="AA77" s="16"/>
      <c r="AB77" s="16"/>
      <c r="AC77" s="16"/>
      <c r="AD77" s="16"/>
      <c r="AE77" s="16"/>
      <c r="AF77" s="16"/>
    </row>
    <row r="78" spans="1:32" ht="18.75" customHeight="1" x14ac:dyDescent="0.2">
      <c r="B78" s="14" t="str">
        <f t="shared" si="4"/>
        <v>c/o Laredo Freight Dispatch</v>
      </c>
      <c r="H78" s="38"/>
      <c r="I78" s="50"/>
      <c r="J78" s="16"/>
      <c r="K78" s="37" t="s">
        <v>8</v>
      </c>
      <c r="L78" s="38" t="s">
        <v>48</v>
      </c>
      <c r="M78" s="38"/>
      <c r="N78" s="12" t="s">
        <v>13</v>
      </c>
      <c r="O78" s="8">
        <f t="shared" ref="O78:Z78" si="8">O19</f>
        <v>0</v>
      </c>
      <c r="P78" s="8">
        <f t="shared" si="8"/>
        <v>0</v>
      </c>
      <c r="Q78" s="8">
        <f t="shared" si="8"/>
        <v>0</v>
      </c>
      <c r="R78" s="8">
        <f t="shared" si="8"/>
        <v>0</v>
      </c>
      <c r="S78" s="8">
        <f t="shared" si="8"/>
        <v>0</v>
      </c>
      <c r="T78" s="8">
        <f t="shared" si="8"/>
        <v>0</v>
      </c>
      <c r="U78" s="8">
        <f t="shared" si="8"/>
        <v>0</v>
      </c>
      <c r="V78" s="8">
        <f t="shared" si="8"/>
        <v>0</v>
      </c>
      <c r="W78" s="8">
        <f t="shared" si="8"/>
        <v>0</v>
      </c>
      <c r="X78" s="8">
        <f t="shared" si="8"/>
        <v>0</v>
      </c>
      <c r="Y78" s="8">
        <f t="shared" si="8"/>
        <v>0</v>
      </c>
      <c r="Z78" s="64">
        <f t="shared" si="8"/>
        <v>0</v>
      </c>
      <c r="AA78" s="16"/>
      <c r="AB78" s="16"/>
      <c r="AC78" s="16"/>
      <c r="AD78" s="16"/>
      <c r="AE78" s="16"/>
      <c r="AF78" s="16"/>
    </row>
    <row r="79" spans="1:32" ht="14.25" customHeight="1" x14ac:dyDescent="0.2">
      <c r="B79" s="14" t="str">
        <f t="shared" si="4"/>
        <v xml:space="preserve">9600 International Blvd.  </v>
      </c>
      <c r="H79" s="38"/>
      <c r="I79" s="50"/>
      <c r="J79" s="16"/>
      <c r="K79" s="37"/>
      <c r="L79" s="38"/>
      <c r="M79" s="38"/>
      <c r="N79" s="12"/>
      <c r="O79" s="10"/>
      <c r="P79" s="69"/>
      <c r="Q79" s="10"/>
      <c r="R79" s="38"/>
      <c r="S79" s="10"/>
      <c r="T79" s="38"/>
      <c r="U79" s="10"/>
      <c r="V79" s="10"/>
      <c r="W79" s="10"/>
      <c r="X79" s="14"/>
      <c r="Y79" s="30"/>
      <c r="AA79" s="16"/>
      <c r="AB79" s="16"/>
      <c r="AC79" s="16"/>
      <c r="AD79" s="16"/>
      <c r="AE79" s="16"/>
      <c r="AF79" s="16"/>
    </row>
    <row r="80" spans="1:32" ht="14.25" customHeight="1" x14ac:dyDescent="0.2">
      <c r="B80" s="14" t="str">
        <f t="shared" si="4"/>
        <v>Pharr Texas 78577</v>
      </c>
      <c r="H80" s="38"/>
      <c r="I80" s="50"/>
      <c r="O80" s="38"/>
      <c r="P80" s="38"/>
      <c r="Q80" s="30"/>
      <c r="R80" s="30"/>
      <c r="S80" s="30"/>
      <c r="T80" s="30"/>
      <c r="U80" s="38"/>
      <c r="X80" s="30"/>
      <c r="Y80" s="30"/>
      <c r="Z80" s="9"/>
      <c r="AA80" s="16"/>
      <c r="AB80" s="16"/>
      <c r="AC80" s="16"/>
      <c r="AD80" s="16"/>
      <c r="AE80" s="16"/>
      <c r="AF80" s="16"/>
    </row>
    <row r="81" spans="1:35" ht="14.25" customHeight="1" x14ac:dyDescent="0.2">
      <c r="A81" s="38"/>
      <c r="B81" s="14" t="str">
        <f t="shared" si="4"/>
        <v>U.S.A.</v>
      </c>
      <c r="C81" s="38"/>
      <c r="D81" s="38"/>
      <c r="E81" s="38"/>
      <c r="F81" s="30"/>
      <c r="G81" s="30"/>
      <c r="H81" s="30"/>
      <c r="I81" s="50"/>
      <c r="J81" s="16"/>
      <c r="K81" s="54"/>
      <c r="L81" s="16"/>
      <c r="M81" s="16"/>
      <c r="N81" s="54"/>
      <c r="O81" s="39"/>
      <c r="R81" s="38"/>
      <c r="T81" s="38"/>
      <c r="U81" s="79"/>
      <c r="V81" s="38"/>
      <c r="W81" s="79"/>
      <c r="X81" s="51"/>
      <c r="Y81" s="30"/>
      <c r="Z81" s="93"/>
      <c r="AA81" s="16"/>
      <c r="AB81" s="16"/>
      <c r="AC81" s="16"/>
      <c r="AD81" s="16"/>
      <c r="AE81" s="16"/>
      <c r="AF81" s="16"/>
    </row>
    <row r="82" spans="1:35" ht="14.25" customHeight="1" x14ac:dyDescent="0.2">
      <c r="B82" s="14" t="str">
        <f t="shared" si="4"/>
        <v>TEL:956-632-8100, FAX:956-632-8127</v>
      </c>
      <c r="F82" s="16"/>
      <c r="G82" s="16"/>
      <c r="H82" s="30"/>
      <c r="I82" s="50"/>
      <c r="J82" s="16"/>
      <c r="K82" s="54"/>
      <c r="L82" s="16"/>
      <c r="M82" s="16"/>
      <c r="N82" s="54"/>
      <c r="O82" s="39"/>
      <c r="U82" s="34"/>
      <c r="W82" s="34"/>
      <c r="X82" s="93"/>
      <c r="Y82" s="16"/>
      <c r="Z82" s="93"/>
      <c r="AA82" s="16"/>
      <c r="AB82" s="16"/>
      <c r="AC82" s="16"/>
      <c r="AD82" s="16"/>
      <c r="AE82" s="16"/>
      <c r="AF82" s="16"/>
    </row>
    <row r="83" spans="1:35" ht="13.5" customHeight="1" x14ac:dyDescent="0.2">
      <c r="H83" s="38"/>
      <c r="I83" s="50"/>
      <c r="J83" s="16"/>
      <c r="K83" s="94"/>
      <c r="N83" s="54"/>
      <c r="O83" s="39"/>
      <c r="U83" s="51"/>
      <c r="W83" s="51"/>
      <c r="X83" s="51"/>
      <c r="Y83" s="30"/>
      <c r="Z83" s="51"/>
      <c r="AA83" s="16"/>
      <c r="AB83" s="16"/>
      <c r="AC83" s="16"/>
      <c r="AD83" s="16"/>
      <c r="AE83" s="16"/>
      <c r="AF83" s="16"/>
    </row>
    <row r="84" spans="1:35" ht="13.5" customHeight="1" x14ac:dyDescent="0.2">
      <c r="A84" s="56" t="s">
        <v>3</v>
      </c>
      <c r="B84" s="18"/>
      <c r="C84" s="18"/>
      <c r="D84" s="18"/>
      <c r="E84" s="18"/>
      <c r="F84" s="28"/>
      <c r="G84" s="28"/>
      <c r="H84" s="28"/>
      <c r="I84" s="92"/>
      <c r="J84" s="16"/>
      <c r="L84" s="16"/>
      <c r="O84" s="39"/>
      <c r="U84" s="8"/>
      <c r="W84" s="8"/>
      <c r="X84" s="51"/>
      <c r="Y84" s="30"/>
      <c r="Z84" s="51"/>
      <c r="AA84" s="16"/>
      <c r="AB84" s="16"/>
      <c r="AC84" s="16"/>
      <c r="AD84" s="16"/>
      <c r="AE84" s="16"/>
      <c r="AF84" s="16"/>
    </row>
    <row r="85" spans="1:35" ht="13.5" customHeight="1" x14ac:dyDescent="0.2">
      <c r="A85" s="38"/>
      <c r="B85" s="19"/>
      <c r="C85" s="54"/>
      <c r="F85" s="38"/>
      <c r="G85" s="38"/>
      <c r="H85" s="38"/>
      <c r="I85" s="50"/>
      <c r="J85" s="16"/>
      <c r="K85" s="94"/>
      <c r="N85" s="54"/>
      <c r="O85" s="39"/>
      <c r="U85" s="51"/>
      <c r="W85" s="51"/>
      <c r="X85" s="51"/>
      <c r="Y85" s="30"/>
      <c r="Z85" s="51"/>
      <c r="AA85" s="16"/>
      <c r="AB85" s="16"/>
      <c r="AC85" s="16"/>
      <c r="AD85" s="16"/>
      <c r="AE85" s="16"/>
      <c r="AF85" s="16"/>
    </row>
    <row r="86" spans="1:35" ht="13.5" customHeight="1" x14ac:dyDescent="0.2">
      <c r="A86" s="38"/>
      <c r="B86" s="14" t="str">
        <f>B23</f>
        <v>MIRSA Reynosa plt 1</v>
      </c>
      <c r="C86" s="54"/>
      <c r="F86" s="38"/>
      <c r="G86" s="38"/>
      <c r="H86" s="38"/>
      <c r="I86" s="50"/>
      <c r="J86" s="16"/>
      <c r="X86" s="51"/>
      <c r="Y86" s="30"/>
      <c r="Z86" s="51"/>
      <c r="AA86" s="16"/>
      <c r="AB86" s="16"/>
      <c r="AC86" s="16"/>
      <c r="AD86" s="16"/>
      <c r="AE86" s="16"/>
      <c r="AF86" s="16"/>
    </row>
    <row r="87" spans="1:35" ht="13.5" customHeight="1" x14ac:dyDescent="0.2">
      <c r="A87" s="38"/>
      <c r="B87" s="14" t="str">
        <f>B24</f>
        <v xml:space="preserve">4403 W Military HWY - STE 200
</v>
      </c>
      <c r="C87" s="54"/>
      <c r="F87" s="38"/>
      <c r="G87" s="38"/>
      <c r="H87" s="38"/>
      <c r="I87" s="50"/>
      <c r="J87" s="16"/>
      <c r="K87" s="14" t="s">
        <v>8</v>
      </c>
      <c r="L87" s="14" t="s">
        <v>49</v>
      </c>
      <c r="N87" s="12" t="s">
        <v>13</v>
      </c>
      <c r="O87" s="136">
        <f>SUM(O78:Z78)+SUM(O85:Z85)</f>
        <v>0</v>
      </c>
      <c r="X87" s="51"/>
      <c r="Y87" s="30"/>
      <c r="Z87" s="51"/>
      <c r="AA87" s="16"/>
      <c r="AB87" s="16"/>
      <c r="AC87" s="16"/>
      <c r="AD87" s="16"/>
      <c r="AE87" s="16"/>
      <c r="AF87" s="16"/>
    </row>
    <row r="88" spans="1:35" ht="13.5" customHeight="1" x14ac:dyDescent="0.2">
      <c r="A88" s="38"/>
      <c r="B88" s="14" t="str">
        <f>B25</f>
        <v>McAllen Texas 78503</v>
      </c>
      <c r="C88" s="54"/>
      <c r="F88" s="38"/>
      <c r="G88" s="38"/>
      <c r="H88" s="38"/>
      <c r="I88" s="50"/>
      <c r="J88" s="16"/>
      <c r="K88" s="14" t="s">
        <v>8</v>
      </c>
      <c r="L88" s="14" t="s">
        <v>50</v>
      </c>
      <c r="N88" s="12" t="s">
        <v>13</v>
      </c>
      <c r="O88" s="137">
        <f>SUM(O74:Z74)+SUM(O81:Z81)</f>
        <v>0</v>
      </c>
      <c r="X88" s="51"/>
      <c r="Y88" s="30"/>
      <c r="Z88" s="51"/>
      <c r="AA88" s="16"/>
      <c r="AB88" s="16"/>
      <c r="AC88" s="16"/>
      <c r="AD88" s="16"/>
      <c r="AE88" s="16"/>
      <c r="AF88" s="16"/>
    </row>
    <row r="89" spans="1:35" ht="13.5" customHeight="1" x14ac:dyDescent="0.2">
      <c r="A89" s="38"/>
      <c r="B89" s="14" t="str">
        <f>B26</f>
        <v>USA</v>
      </c>
      <c r="F89" s="38"/>
      <c r="G89" s="38"/>
      <c r="H89" s="38"/>
      <c r="I89" s="50"/>
      <c r="J89" s="30"/>
      <c r="K89" s="12"/>
      <c r="L89" s="38"/>
      <c r="M89" s="38"/>
      <c r="N89" s="95"/>
      <c r="O89" s="69"/>
      <c r="P89" s="73"/>
      <c r="Q89" s="38"/>
      <c r="R89" s="95"/>
      <c r="S89" s="95"/>
      <c r="T89" s="95"/>
      <c r="U89" s="69"/>
      <c r="V89" s="69"/>
      <c r="W89" s="69"/>
      <c r="X89" s="51"/>
      <c r="Y89" s="30"/>
      <c r="Z89" s="51"/>
      <c r="AA89" s="16"/>
      <c r="AB89" s="16"/>
      <c r="AC89" s="16"/>
      <c r="AD89" s="16"/>
      <c r="AE89" s="16"/>
      <c r="AF89" s="16"/>
    </row>
    <row r="90" spans="1:35" ht="13.5" customHeight="1" x14ac:dyDescent="0.2">
      <c r="A90" s="38"/>
      <c r="B90" s="14" t="str">
        <f>B27</f>
        <v>TEL:899-958-1443 Ext.102</v>
      </c>
      <c r="F90" s="38"/>
      <c r="G90" s="38"/>
      <c r="H90" s="38"/>
      <c r="I90" s="50"/>
      <c r="J90" s="16"/>
      <c r="K90" s="94" t="s">
        <v>8</v>
      </c>
      <c r="L90" s="14" t="s">
        <v>23</v>
      </c>
      <c r="N90" s="12" t="s">
        <v>13</v>
      </c>
      <c r="O90" s="96"/>
      <c r="P90" s="32"/>
      <c r="Q90" s="38"/>
      <c r="R90" s="97"/>
      <c r="S90" s="97"/>
      <c r="T90" s="97"/>
      <c r="U90" s="96" t="s">
        <v>51</v>
      </c>
      <c r="W90" s="14" t="s">
        <v>52</v>
      </c>
      <c r="X90" s="51"/>
      <c r="Y90" s="30" t="s">
        <v>53</v>
      </c>
      <c r="Z90" s="51"/>
      <c r="AA90" s="16"/>
      <c r="AB90" s="16"/>
      <c r="AC90" s="16"/>
      <c r="AD90" s="16"/>
      <c r="AE90" s="16"/>
      <c r="AF90" s="16"/>
    </row>
    <row r="91" spans="1:35" ht="13.5" customHeight="1" x14ac:dyDescent="0.2">
      <c r="A91" s="38"/>
      <c r="F91" s="38"/>
      <c r="G91" s="38"/>
      <c r="H91" s="38"/>
      <c r="I91" s="50"/>
      <c r="J91" s="16"/>
      <c r="K91" s="94"/>
      <c r="N91" s="97"/>
      <c r="O91" s="128"/>
      <c r="P91" s="32"/>
      <c r="Q91" s="130"/>
      <c r="R91" s="97"/>
      <c r="S91" s="97"/>
      <c r="T91" s="97"/>
      <c r="U91" s="132"/>
      <c r="W91" s="134"/>
      <c r="X91" s="51"/>
      <c r="Y91" s="135"/>
      <c r="Z91" s="51"/>
      <c r="AA91" s="16"/>
      <c r="AB91" s="16"/>
      <c r="AC91" s="16"/>
      <c r="AD91" s="16"/>
      <c r="AE91" s="16"/>
      <c r="AF91" s="16"/>
    </row>
    <row r="92" spans="1:35" ht="13.5" customHeight="1" x14ac:dyDescent="0.2">
      <c r="A92" s="38"/>
      <c r="F92" s="38"/>
      <c r="G92" s="38"/>
      <c r="H92" s="38"/>
      <c r="I92" s="50"/>
      <c r="J92" s="16"/>
      <c r="K92" s="94"/>
      <c r="N92" s="97"/>
      <c r="O92" s="128"/>
      <c r="P92" s="32"/>
      <c r="Q92" s="130"/>
      <c r="R92" s="97"/>
      <c r="S92" s="97"/>
      <c r="T92" s="97"/>
      <c r="U92" s="132"/>
      <c r="W92" s="134"/>
      <c r="X92" s="51"/>
      <c r="Y92" s="135"/>
      <c r="Z92" s="51"/>
      <c r="AA92" s="16"/>
      <c r="AB92" s="16"/>
      <c r="AC92" s="16"/>
      <c r="AD92" s="16"/>
      <c r="AE92" s="16"/>
      <c r="AF92" s="16"/>
    </row>
    <row r="93" spans="1:35" ht="13.5" customHeight="1" x14ac:dyDescent="0.2">
      <c r="A93" s="38"/>
      <c r="F93" s="38"/>
      <c r="G93" s="38"/>
      <c r="H93" s="38"/>
      <c r="I93" s="50"/>
      <c r="J93" s="16"/>
      <c r="K93" s="94"/>
      <c r="N93" s="97"/>
      <c r="O93" s="128"/>
      <c r="P93" s="32"/>
      <c r="Q93" s="130"/>
      <c r="R93" s="97"/>
      <c r="S93" s="97"/>
      <c r="T93" s="97"/>
      <c r="U93" s="132"/>
      <c r="W93" s="134"/>
      <c r="X93" s="51"/>
      <c r="Y93" s="135"/>
      <c r="Z93" s="51"/>
      <c r="AA93" s="16"/>
      <c r="AB93" s="16"/>
      <c r="AC93" s="16"/>
      <c r="AD93" s="16"/>
      <c r="AE93" s="16"/>
      <c r="AF93" s="16"/>
    </row>
    <row r="94" spans="1:35" ht="14.25" customHeight="1" x14ac:dyDescent="0.2">
      <c r="A94" s="57"/>
      <c r="B94" s="57"/>
      <c r="C94" s="57"/>
      <c r="D94" s="57"/>
      <c r="E94" s="57"/>
      <c r="F94" s="57"/>
      <c r="G94" s="57"/>
      <c r="H94" s="57"/>
      <c r="I94" s="58"/>
      <c r="J94" s="16"/>
      <c r="K94" s="94"/>
      <c r="N94" s="97"/>
      <c r="O94" s="129"/>
      <c r="P94" s="31"/>
      <c r="Q94" s="130"/>
      <c r="R94" s="97"/>
      <c r="S94" s="97"/>
      <c r="T94" s="97"/>
      <c r="U94" s="132"/>
      <c r="W94" s="134"/>
      <c r="X94" s="51"/>
      <c r="Y94" s="135"/>
      <c r="Z94" s="51"/>
      <c r="AA94" s="16"/>
      <c r="AB94" s="16"/>
      <c r="AC94" s="16"/>
      <c r="AD94" s="16"/>
      <c r="AE94" s="16"/>
      <c r="AF94" s="16"/>
    </row>
    <row r="95" spans="1:35" ht="14.25" customHeight="1" x14ac:dyDescent="0.2">
      <c r="A95" s="36" t="s">
        <v>4</v>
      </c>
      <c r="B95" s="38"/>
      <c r="C95" s="30"/>
      <c r="D95" s="30"/>
      <c r="E95" s="50"/>
      <c r="F95" s="43" t="s">
        <v>5</v>
      </c>
      <c r="G95" s="64"/>
      <c r="H95" s="64"/>
      <c r="I95" s="65"/>
      <c r="O95" s="129"/>
      <c r="P95" s="31"/>
      <c r="Q95" s="130"/>
      <c r="R95" s="97"/>
      <c r="S95" s="97"/>
      <c r="T95" s="97"/>
      <c r="U95" s="133"/>
      <c r="V95" s="77"/>
      <c r="W95" s="134"/>
      <c r="X95" s="51"/>
      <c r="Y95" s="135"/>
      <c r="Z95" s="31"/>
      <c r="AA95" s="130"/>
      <c r="AB95" s="97"/>
      <c r="AC95" s="97"/>
      <c r="AD95" s="97"/>
      <c r="AE95" s="133"/>
      <c r="AF95" s="77"/>
      <c r="AG95" s="134"/>
      <c r="AH95" s="51"/>
      <c r="AI95" s="135"/>
    </row>
    <row r="96" spans="1:35" s="19" customFormat="1" ht="14.25" customHeight="1" x14ac:dyDescent="0.2">
      <c r="A96" s="66"/>
      <c r="B96" s="156">
        <f>B30</f>
        <v>0</v>
      </c>
      <c r="C96" s="156"/>
      <c r="D96" s="156"/>
      <c r="E96" s="157"/>
      <c r="F96" s="66"/>
      <c r="G96" s="156" t="str">
        <f>G30</f>
        <v>U.S.A.</v>
      </c>
      <c r="H96" s="156"/>
      <c r="I96" s="157"/>
      <c r="O96" s="129"/>
      <c r="P96" s="31"/>
      <c r="Q96" s="130"/>
      <c r="R96" s="97"/>
      <c r="S96" s="97"/>
      <c r="T96" s="97"/>
      <c r="U96" s="133"/>
      <c r="V96" s="77"/>
      <c r="W96" s="134"/>
      <c r="X96" s="51"/>
      <c r="Y96" s="135"/>
      <c r="Z96" s="64"/>
      <c r="AA96" s="15"/>
      <c r="AB96" s="15"/>
      <c r="AC96" s="15"/>
      <c r="AD96" s="15"/>
      <c r="AE96" s="15"/>
      <c r="AF96" s="15"/>
    </row>
    <row r="97" spans="1:32" ht="14.25" customHeight="1" x14ac:dyDescent="0.2">
      <c r="A97" s="36" t="s">
        <v>6</v>
      </c>
      <c r="B97" s="38"/>
      <c r="C97" s="30"/>
      <c r="D97" s="30"/>
      <c r="E97" s="50"/>
      <c r="F97" s="68" t="s">
        <v>7</v>
      </c>
      <c r="G97" s="64"/>
      <c r="H97" s="64"/>
      <c r="I97" s="65"/>
      <c r="J97" s="53"/>
      <c r="K97" s="54"/>
      <c r="L97" s="16"/>
      <c r="M97" s="16"/>
      <c r="N97" s="54"/>
      <c r="O97" s="129"/>
      <c r="P97" s="31"/>
      <c r="Q97" s="130"/>
      <c r="R97" s="97"/>
      <c r="S97" s="97"/>
      <c r="T97" s="97"/>
      <c r="U97" s="133"/>
      <c r="V97" s="77"/>
      <c r="W97" s="134"/>
      <c r="X97" s="51"/>
      <c r="Y97" s="135"/>
      <c r="AA97" s="16"/>
      <c r="AB97" s="16"/>
      <c r="AC97" s="16"/>
      <c r="AD97" s="16"/>
      <c r="AE97" s="16"/>
      <c r="AF97" s="16"/>
    </row>
    <row r="98" spans="1:32" s="19" customFormat="1" ht="14.25" customHeight="1" x14ac:dyDescent="0.2">
      <c r="A98" s="158">
        <f>A32</f>
        <v>0</v>
      </c>
      <c r="B98" s="159"/>
      <c r="C98" s="159"/>
      <c r="D98" s="159"/>
      <c r="E98" s="160"/>
      <c r="F98" s="70"/>
      <c r="G98" s="161">
        <f>G32</f>
        <v>44260</v>
      </c>
      <c r="H98" s="161"/>
      <c r="I98" s="162"/>
      <c r="J98" s="52"/>
      <c r="K98" s="98" t="str">
        <f>K32</f>
        <v>※</v>
      </c>
      <c r="L98" s="16" t="str">
        <f>L32</f>
        <v>SHIPPING MARK</v>
      </c>
      <c r="M98" s="15"/>
      <c r="N98" s="12" t="s">
        <v>13</v>
      </c>
      <c r="O98" s="99" t="str">
        <f>O32</f>
        <v>ZF REYNOSA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1:32" ht="15" customHeight="1" x14ac:dyDescent="0.2">
      <c r="A99" s="100" t="s">
        <v>55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25"/>
      <c r="S99" s="25"/>
      <c r="T99" s="18"/>
      <c r="U99" s="18"/>
      <c r="V99" s="18"/>
      <c r="W99" s="18"/>
      <c r="X99" s="18"/>
      <c r="Y99" s="18"/>
      <c r="Z99" s="18"/>
      <c r="AA99" s="16"/>
      <c r="AB99" s="16"/>
      <c r="AC99" s="16"/>
      <c r="AD99" s="16"/>
      <c r="AE99" s="16"/>
      <c r="AF99" s="16"/>
    </row>
    <row r="100" spans="1:32" ht="15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54"/>
      <c r="Y100" s="16"/>
      <c r="AA100" s="16"/>
      <c r="AB100" s="16"/>
      <c r="AC100" s="16"/>
      <c r="AD100" s="16"/>
      <c r="AE100" s="16"/>
      <c r="AF100" s="16"/>
    </row>
    <row r="101" spans="1:32" ht="15" customHeight="1" x14ac:dyDescent="0.2">
      <c r="A101" s="163" t="s">
        <v>56</v>
      </c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30"/>
      <c r="Y101" s="30"/>
      <c r="AA101" s="16"/>
      <c r="AB101" s="16"/>
      <c r="AC101" s="16"/>
      <c r="AD101" s="16"/>
      <c r="AE101" s="16"/>
      <c r="AF101" s="16"/>
    </row>
    <row r="102" spans="1:32" ht="15.75" customHeight="1" x14ac:dyDescent="0.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80"/>
      <c r="P102" s="37"/>
      <c r="Q102" s="37"/>
      <c r="R102" s="37"/>
      <c r="S102" s="37"/>
      <c r="T102" s="37"/>
      <c r="U102" s="37"/>
      <c r="V102" s="37"/>
      <c r="W102" s="37"/>
      <c r="X102" s="30"/>
      <c r="Y102" s="30"/>
      <c r="Z102" s="54"/>
      <c r="AA102" s="16"/>
      <c r="AB102" s="16"/>
      <c r="AC102" s="16"/>
      <c r="AD102" s="16"/>
      <c r="AE102" s="16"/>
      <c r="AF102" s="16"/>
    </row>
    <row r="103" spans="1:32" ht="15" customHeight="1" x14ac:dyDescent="0.2">
      <c r="A103" s="30"/>
      <c r="B103" s="37"/>
      <c r="C103" s="30"/>
      <c r="D103" s="30"/>
      <c r="E103" s="142">
        <f t="shared" ref="E103:E108" si="9">E37</f>
        <v>0</v>
      </c>
      <c r="M103" s="144">
        <f t="shared" ref="M103:M109" si="10">M37</f>
        <v>0</v>
      </c>
      <c r="O103" s="146">
        <f t="shared" ref="O103:O108" si="11">M103*0.115</f>
        <v>0</v>
      </c>
      <c r="Q103" s="148"/>
      <c r="S103" s="131"/>
      <c r="X103" s="80"/>
      <c r="Y103" s="80"/>
      <c r="Z103" s="82"/>
      <c r="AA103" s="16"/>
      <c r="AB103" s="16"/>
      <c r="AC103" s="16"/>
      <c r="AD103" s="16"/>
      <c r="AE103" s="16"/>
      <c r="AF103" s="16"/>
    </row>
    <row r="104" spans="1:32" ht="15" customHeight="1" x14ac:dyDescent="0.2">
      <c r="A104" s="30"/>
      <c r="B104" s="37"/>
      <c r="C104" s="30"/>
      <c r="D104" s="30"/>
      <c r="E104" s="143">
        <f t="shared" si="9"/>
        <v>0</v>
      </c>
      <c r="M104" s="144">
        <f t="shared" si="10"/>
        <v>0</v>
      </c>
      <c r="O104" s="146">
        <f t="shared" si="11"/>
        <v>0</v>
      </c>
      <c r="Q104" s="148"/>
      <c r="S104" s="131"/>
      <c r="X104" s="80"/>
      <c r="Y104" s="80"/>
      <c r="Z104" s="82"/>
      <c r="AA104" s="16"/>
      <c r="AB104" s="16"/>
      <c r="AC104" s="16"/>
      <c r="AD104" s="16"/>
      <c r="AE104" s="16"/>
      <c r="AF104" s="16"/>
    </row>
    <row r="105" spans="1:32" ht="15" customHeight="1" x14ac:dyDescent="0.2">
      <c r="A105" s="30"/>
      <c r="B105" s="74"/>
      <c r="C105" s="74"/>
      <c r="D105" s="74"/>
      <c r="E105" s="143">
        <f t="shared" si="9"/>
        <v>0</v>
      </c>
      <c r="F105" s="38"/>
      <c r="G105" s="38"/>
      <c r="H105" s="38"/>
      <c r="I105" s="38"/>
      <c r="J105" s="38"/>
      <c r="K105" s="38"/>
      <c r="L105" s="38"/>
      <c r="M105" s="144">
        <f t="shared" si="10"/>
        <v>0</v>
      </c>
      <c r="N105" s="38"/>
      <c r="O105" s="146">
        <f t="shared" si="11"/>
        <v>0</v>
      </c>
      <c r="P105" s="38"/>
      <c r="Q105" s="149"/>
      <c r="R105" s="30"/>
      <c r="S105" s="141"/>
      <c r="T105" s="38"/>
      <c r="U105" s="1"/>
      <c r="V105" s="1"/>
      <c r="W105" s="1"/>
      <c r="X105" s="1"/>
      <c r="Y105" s="80"/>
      <c r="Z105" s="82"/>
      <c r="AA105" s="16"/>
      <c r="AB105" s="16"/>
      <c r="AC105" s="16"/>
      <c r="AD105" s="16"/>
      <c r="AE105" s="16"/>
      <c r="AF105" s="16"/>
    </row>
    <row r="106" spans="1:32" ht="15" customHeight="1" x14ac:dyDescent="0.2">
      <c r="A106" s="30"/>
      <c r="B106" s="74"/>
      <c r="C106" s="74"/>
      <c r="D106" s="74"/>
      <c r="E106" s="143">
        <f t="shared" si="9"/>
        <v>0</v>
      </c>
      <c r="F106" s="38"/>
      <c r="G106" s="38"/>
      <c r="H106" s="38"/>
      <c r="I106" s="38"/>
      <c r="J106" s="38"/>
      <c r="K106" s="38"/>
      <c r="L106" s="38"/>
      <c r="M106" s="144">
        <f t="shared" si="10"/>
        <v>0</v>
      </c>
      <c r="N106" s="38"/>
      <c r="O106" s="146">
        <f t="shared" si="11"/>
        <v>0</v>
      </c>
      <c r="P106" s="38"/>
      <c r="Q106" s="150"/>
      <c r="R106" s="38"/>
      <c r="S106" s="130"/>
      <c r="T106" s="38"/>
      <c r="U106" s="38"/>
      <c r="V106" s="38"/>
      <c r="W106" s="38"/>
      <c r="X106" s="38"/>
      <c r="Y106" s="80"/>
      <c r="Z106" s="82"/>
      <c r="AA106" s="16"/>
      <c r="AB106" s="16"/>
      <c r="AC106" s="16"/>
      <c r="AD106" s="16"/>
      <c r="AE106" s="16"/>
      <c r="AF106" s="16"/>
    </row>
    <row r="107" spans="1:32" ht="15" customHeight="1" x14ac:dyDescent="0.2">
      <c r="A107" s="30"/>
      <c r="B107" s="74"/>
      <c r="C107" s="74"/>
      <c r="D107" s="74"/>
      <c r="E107" s="143">
        <f t="shared" si="9"/>
        <v>0</v>
      </c>
      <c r="F107" s="38"/>
      <c r="G107" s="38"/>
      <c r="H107" s="38"/>
      <c r="I107" s="38"/>
      <c r="J107" s="38"/>
      <c r="K107" s="38"/>
      <c r="L107" s="38"/>
      <c r="M107" s="144">
        <f t="shared" si="10"/>
        <v>0</v>
      </c>
      <c r="N107" s="38"/>
      <c r="O107" s="146">
        <f t="shared" si="11"/>
        <v>0</v>
      </c>
      <c r="P107" s="38"/>
      <c r="Q107" s="149"/>
      <c r="R107" s="30"/>
      <c r="S107" s="141"/>
      <c r="T107" s="38"/>
      <c r="U107" s="1"/>
      <c r="V107" s="1"/>
      <c r="W107" s="1"/>
      <c r="X107" s="1"/>
      <c r="Y107" s="16"/>
      <c r="AA107" s="16"/>
      <c r="AB107" s="16"/>
      <c r="AC107" s="16"/>
      <c r="AD107" s="16"/>
      <c r="AE107" s="16"/>
      <c r="AF107" s="16"/>
    </row>
    <row r="108" spans="1:32" ht="15" customHeight="1" x14ac:dyDescent="0.2">
      <c r="A108" s="30"/>
      <c r="B108" s="37"/>
      <c r="C108" s="30"/>
      <c r="D108" s="30"/>
      <c r="E108" s="143">
        <f t="shared" si="9"/>
        <v>0</v>
      </c>
      <c r="F108" s="38"/>
      <c r="G108" s="38"/>
      <c r="H108" s="38"/>
      <c r="I108" s="38"/>
      <c r="J108" s="38"/>
      <c r="K108" s="38"/>
      <c r="L108" s="38"/>
      <c r="M108" s="139">
        <f t="shared" si="10"/>
        <v>0</v>
      </c>
      <c r="N108" s="38"/>
      <c r="O108" s="146">
        <f t="shared" si="11"/>
        <v>0</v>
      </c>
      <c r="P108" s="38"/>
      <c r="Q108" s="150"/>
      <c r="R108" s="38"/>
      <c r="S108" s="130"/>
      <c r="T108" s="38"/>
      <c r="U108" s="38"/>
      <c r="V108" s="38"/>
      <c r="W108" s="38"/>
      <c r="X108" s="38"/>
      <c r="Y108" s="16"/>
      <c r="AA108" s="16"/>
      <c r="AB108" s="16"/>
      <c r="AC108" s="16"/>
      <c r="AD108" s="16"/>
      <c r="AE108" s="16"/>
      <c r="AF108" s="16"/>
    </row>
    <row r="109" spans="1:32" ht="15" customHeight="1" x14ac:dyDescent="0.2">
      <c r="A109" s="30"/>
      <c r="F109" s="38"/>
      <c r="G109" s="38"/>
      <c r="H109" s="38"/>
      <c r="I109" s="38"/>
      <c r="J109" s="38"/>
      <c r="K109" s="38"/>
      <c r="L109" s="38"/>
      <c r="M109" s="139">
        <f t="shared" si="10"/>
        <v>0</v>
      </c>
      <c r="N109" s="38"/>
      <c r="O109" s="38"/>
      <c r="P109" s="38"/>
      <c r="Q109" s="30"/>
      <c r="R109" s="30"/>
      <c r="S109" s="30"/>
      <c r="T109" s="38"/>
      <c r="U109" s="1"/>
      <c r="V109" s="1"/>
      <c r="W109" s="1"/>
      <c r="X109" s="1"/>
      <c r="Y109" s="30"/>
      <c r="Z109" s="30"/>
      <c r="AA109" s="30"/>
      <c r="AB109" s="16"/>
      <c r="AC109" s="16"/>
      <c r="AD109" s="16"/>
      <c r="AE109" s="16"/>
      <c r="AF109" s="16"/>
    </row>
    <row r="110" spans="1:32" ht="15" customHeight="1" x14ac:dyDescent="0.2">
      <c r="A110" s="30"/>
      <c r="B110" s="37"/>
      <c r="C110" s="30"/>
      <c r="D110" s="30"/>
      <c r="E110" s="30"/>
      <c r="F110" s="30"/>
      <c r="G110" s="30"/>
      <c r="H110" s="30"/>
      <c r="I110" s="30"/>
      <c r="J110" s="101"/>
      <c r="K110" s="101"/>
      <c r="L110" s="101"/>
      <c r="M110" s="101"/>
      <c r="N110" s="102"/>
      <c r="O110" s="102"/>
      <c r="P110" s="102"/>
      <c r="Q110" s="101"/>
      <c r="R110" s="101"/>
      <c r="S110" s="101"/>
      <c r="T110" s="101"/>
      <c r="U110" s="101"/>
      <c r="V110" s="101"/>
      <c r="W110" s="101"/>
      <c r="X110" s="80"/>
      <c r="Y110" s="80"/>
      <c r="Z110" s="82"/>
      <c r="AA110" s="16"/>
      <c r="AB110" s="16"/>
      <c r="AC110" s="16"/>
      <c r="AD110" s="16"/>
      <c r="AE110" s="16"/>
      <c r="AF110" s="16"/>
    </row>
    <row r="111" spans="1:32" s="19" customFormat="1" ht="15" customHeight="1" x14ac:dyDescent="0.2">
      <c r="A111" s="64"/>
      <c r="B111" s="103"/>
      <c r="C111" s="64"/>
      <c r="D111" s="64"/>
      <c r="E111" s="7" t="s">
        <v>21</v>
      </c>
      <c r="F111" s="56"/>
      <c r="G111" s="56"/>
      <c r="H111" s="56"/>
      <c r="I111" s="56"/>
      <c r="J111" s="115"/>
      <c r="K111" s="115"/>
      <c r="L111" s="115"/>
      <c r="M111" s="145">
        <f>SUM(M103:M108)</f>
        <v>0</v>
      </c>
      <c r="N111" s="115"/>
      <c r="O111" s="147">
        <f>SUM(O103:O108)</f>
        <v>0</v>
      </c>
      <c r="P111" s="115"/>
      <c r="Q111" s="151">
        <f>SUM(Q103:Q108)</f>
        <v>0</v>
      </c>
      <c r="R111" s="115"/>
      <c r="S111" s="140">
        <f>SUM(S103:S108)</f>
        <v>0</v>
      </c>
      <c r="T111" s="155"/>
      <c r="U111" s="155"/>
      <c r="V111" s="155"/>
      <c r="W111" s="155"/>
      <c r="X111" s="78"/>
      <c r="Y111" s="78"/>
      <c r="Z111" s="104"/>
      <c r="AA111" s="15"/>
      <c r="AB111" s="15"/>
      <c r="AC111" s="15"/>
      <c r="AD111" s="15"/>
      <c r="AE111" s="15"/>
      <c r="AF111" s="15"/>
    </row>
    <row r="112" spans="1:32" ht="15" customHeight="1" x14ac:dyDescent="0.2">
      <c r="A112" s="38" t="str">
        <f>A45</f>
        <v>MADE IN VIET NAM</v>
      </c>
      <c r="B112" s="38"/>
      <c r="C112" s="38"/>
      <c r="D112" s="38"/>
      <c r="E112" s="37"/>
      <c r="F112" s="37"/>
      <c r="G112" s="37"/>
      <c r="H112" s="37"/>
      <c r="I112" s="37"/>
      <c r="J112" s="80"/>
      <c r="K112" s="80"/>
      <c r="L112" s="80"/>
      <c r="M112" s="80"/>
      <c r="N112" s="105"/>
      <c r="O112" s="80"/>
      <c r="P112" s="30"/>
      <c r="Q112" s="30"/>
      <c r="R112" s="38"/>
      <c r="S112" s="38"/>
      <c r="T112" s="38"/>
      <c r="U112" s="38"/>
      <c r="V112" s="38"/>
      <c r="W112" s="38"/>
      <c r="X112" s="30"/>
      <c r="Y112" s="30"/>
      <c r="AA112" s="16"/>
      <c r="AB112" s="16"/>
      <c r="AC112" s="16"/>
      <c r="AD112" s="16"/>
      <c r="AE112" s="16"/>
      <c r="AF112" s="16"/>
    </row>
    <row r="113" spans="1:32" ht="15" customHeight="1" x14ac:dyDescent="0.2">
      <c r="A113" s="38" t="str">
        <f>A46</f>
        <v>//////////////////////////////////</v>
      </c>
      <c r="B113" s="38"/>
      <c r="C113" s="38"/>
      <c r="D113" s="38"/>
      <c r="E113" s="37"/>
      <c r="F113" s="37"/>
      <c r="G113" s="37"/>
      <c r="H113" s="37"/>
      <c r="I113" s="37"/>
      <c r="J113" s="80"/>
      <c r="K113" s="80"/>
      <c r="L113" s="80"/>
      <c r="M113" s="80"/>
      <c r="N113" s="105"/>
      <c r="O113" s="80"/>
      <c r="P113" s="30"/>
      <c r="Q113" s="30"/>
      <c r="R113" s="38"/>
      <c r="S113" s="38"/>
      <c r="T113" s="38"/>
      <c r="U113" s="38"/>
      <c r="V113" s="38"/>
      <c r="W113" s="38"/>
      <c r="X113" s="30"/>
      <c r="Y113" s="30"/>
      <c r="AA113" s="16"/>
      <c r="AB113" s="16"/>
      <c r="AC113" s="16"/>
      <c r="AD113" s="16"/>
      <c r="AE113" s="16"/>
      <c r="AF113" s="16"/>
    </row>
    <row r="114" spans="1:32" ht="15" customHeight="1" x14ac:dyDescent="0.2">
      <c r="A114" s="38"/>
      <c r="B114" s="38"/>
      <c r="C114" s="38"/>
      <c r="D114" s="38"/>
      <c r="E114" s="37"/>
      <c r="F114" s="37"/>
      <c r="G114" s="37"/>
      <c r="H114" s="37"/>
      <c r="I114" s="37"/>
      <c r="J114" s="80"/>
      <c r="K114" s="80"/>
      <c r="L114" s="80"/>
      <c r="M114" s="80"/>
      <c r="N114" s="105"/>
      <c r="O114" s="80"/>
      <c r="P114" s="30"/>
      <c r="Q114" s="30"/>
      <c r="R114" s="38"/>
      <c r="S114" s="38"/>
      <c r="T114" s="38"/>
      <c r="U114" s="38"/>
      <c r="V114" s="38"/>
      <c r="W114" s="38"/>
      <c r="X114" s="30"/>
      <c r="Y114" s="30"/>
      <c r="AA114" s="16"/>
      <c r="AB114" s="16"/>
      <c r="AC114" s="16"/>
      <c r="AD114" s="16"/>
      <c r="AE114" s="16"/>
      <c r="AF114" s="16"/>
    </row>
    <row r="115" spans="1:32" ht="15" customHeight="1" x14ac:dyDescent="0.2">
      <c r="A115" s="38"/>
      <c r="B115" s="38"/>
      <c r="C115" s="38"/>
      <c r="D115" s="38"/>
      <c r="E115" s="37"/>
      <c r="F115" s="37"/>
      <c r="G115" s="37"/>
      <c r="H115" s="37"/>
      <c r="I115" s="37"/>
      <c r="J115" s="80"/>
      <c r="K115" s="80"/>
      <c r="L115" s="80"/>
      <c r="M115" s="80"/>
      <c r="N115" s="105"/>
      <c r="O115" s="80"/>
      <c r="P115" s="30"/>
      <c r="Q115" s="30"/>
      <c r="R115" s="38"/>
      <c r="S115" s="38"/>
      <c r="T115" s="38"/>
      <c r="U115" s="38"/>
      <c r="V115" s="38"/>
      <c r="W115" s="38"/>
      <c r="X115" s="30"/>
      <c r="Y115" s="30"/>
      <c r="AA115" s="16"/>
      <c r="AB115" s="16"/>
      <c r="AC115" s="16"/>
      <c r="AD115" s="16"/>
      <c r="AE115" s="16"/>
      <c r="AF115" s="16"/>
    </row>
    <row r="116" spans="1:32" ht="15" customHeight="1" x14ac:dyDescent="0.2">
      <c r="E116" s="54"/>
      <c r="F116" s="54"/>
      <c r="G116" s="54"/>
      <c r="H116" s="54"/>
      <c r="I116" s="54"/>
      <c r="J116" s="82"/>
      <c r="K116" s="82"/>
      <c r="L116" s="82"/>
      <c r="M116" s="82"/>
      <c r="N116" s="106"/>
      <c r="O116" s="82"/>
      <c r="P116" s="16"/>
      <c r="Q116" s="16"/>
      <c r="Y116" s="16"/>
      <c r="AA116" s="16"/>
      <c r="AB116" s="16"/>
      <c r="AC116" s="16"/>
      <c r="AD116" s="16"/>
      <c r="AE116" s="16"/>
      <c r="AF116" s="16"/>
    </row>
    <row r="117" spans="1:32" ht="15" customHeight="1" x14ac:dyDescent="0.2">
      <c r="E117" s="54"/>
      <c r="F117" s="54"/>
      <c r="G117" s="54"/>
      <c r="H117" s="54"/>
      <c r="I117" s="54"/>
      <c r="J117" s="82"/>
      <c r="K117" s="82"/>
      <c r="L117" s="82"/>
      <c r="M117" s="82"/>
      <c r="N117" s="106"/>
      <c r="O117" s="82"/>
      <c r="P117" s="16"/>
      <c r="Q117" s="16"/>
      <c r="Y117" s="16"/>
      <c r="AA117" s="16"/>
      <c r="AB117" s="16"/>
      <c r="AC117" s="16"/>
      <c r="AD117" s="16"/>
      <c r="AE117" s="16"/>
      <c r="AF117" s="16"/>
    </row>
    <row r="118" spans="1:32" ht="15" customHeight="1" x14ac:dyDescent="0.2">
      <c r="E118" s="107"/>
      <c r="F118" s="107"/>
      <c r="G118" s="107"/>
      <c r="H118" s="107"/>
      <c r="I118" s="107"/>
      <c r="J118" s="82"/>
      <c r="K118" s="82"/>
      <c r="L118" s="82"/>
      <c r="M118" s="82"/>
      <c r="N118" s="106"/>
      <c r="O118" s="82"/>
      <c r="P118" s="16"/>
      <c r="Q118" s="108"/>
      <c r="Y118" s="16"/>
      <c r="AA118" s="16"/>
      <c r="AB118" s="16"/>
      <c r="AC118" s="16"/>
      <c r="AD118" s="16"/>
      <c r="AE118" s="16"/>
      <c r="AF118" s="16"/>
    </row>
    <row r="119" spans="1:32" ht="15" customHeight="1" x14ac:dyDescent="0.2">
      <c r="E119" s="107"/>
      <c r="F119" s="107"/>
      <c r="G119" s="107"/>
      <c r="H119" s="107"/>
      <c r="I119" s="107"/>
      <c r="J119" s="82"/>
      <c r="K119" s="82"/>
      <c r="L119" s="82"/>
      <c r="M119" s="82"/>
      <c r="N119" s="106"/>
      <c r="O119" s="82"/>
      <c r="P119" s="16"/>
      <c r="Q119" s="16"/>
      <c r="Y119" s="16"/>
      <c r="AA119" s="16"/>
      <c r="AB119" s="16"/>
      <c r="AC119" s="16"/>
      <c r="AD119" s="16"/>
      <c r="AE119" s="16"/>
      <c r="AF119" s="16"/>
    </row>
    <row r="120" spans="1:32" ht="15" customHeight="1" x14ac:dyDescent="0.2">
      <c r="E120" s="107"/>
      <c r="F120" s="107"/>
      <c r="G120" s="107"/>
      <c r="H120" s="107"/>
      <c r="I120" s="107"/>
      <c r="J120" s="82"/>
      <c r="K120" s="82"/>
      <c r="L120" s="82"/>
      <c r="M120" s="82"/>
      <c r="N120" s="106"/>
      <c r="O120" s="82"/>
      <c r="P120" s="16"/>
      <c r="Q120" s="16"/>
      <c r="Y120" s="16"/>
      <c r="AA120" s="16"/>
      <c r="AB120" s="16"/>
      <c r="AC120" s="16"/>
      <c r="AD120" s="16"/>
      <c r="AE120" s="16"/>
      <c r="AF120" s="16"/>
    </row>
    <row r="121" spans="1:32" ht="15" customHeight="1" x14ac:dyDescent="0.2">
      <c r="E121" s="107"/>
      <c r="F121" s="107"/>
      <c r="G121" s="107"/>
      <c r="H121" s="107"/>
      <c r="I121" s="107"/>
      <c r="J121" s="82"/>
      <c r="K121" s="82"/>
      <c r="L121" s="82"/>
      <c r="M121" s="82"/>
      <c r="N121" s="106"/>
      <c r="O121" s="82"/>
      <c r="P121" s="16"/>
      <c r="Q121" s="16"/>
      <c r="Y121" s="16"/>
      <c r="AA121" s="16"/>
      <c r="AB121" s="16"/>
      <c r="AC121" s="16"/>
      <c r="AD121" s="16"/>
      <c r="AE121" s="16"/>
      <c r="AF121" s="16"/>
    </row>
    <row r="122" spans="1:32" ht="15" customHeight="1" x14ac:dyDescent="0.2">
      <c r="A122" s="19"/>
      <c r="E122" s="83"/>
      <c r="N122" s="15" t="s">
        <v>24</v>
      </c>
      <c r="O122" s="16"/>
      <c r="P122" s="21"/>
      <c r="Q122" s="21"/>
      <c r="R122" s="21"/>
      <c r="S122" s="21"/>
      <c r="T122" s="21"/>
      <c r="U122" s="21"/>
      <c r="V122" s="21"/>
      <c r="W122" s="21"/>
      <c r="Y122" s="16"/>
      <c r="AA122" s="16"/>
      <c r="AB122" s="16"/>
      <c r="AC122" s="16"/>
      <c r="AD122" s="16"/>
      <c r="AE122" s="16"/>
      <c r="AF122" s="16"/>
    </row>
    <row r="123" spans="1:32" ht="15" customHeight="1" x14ac:dyDescent="0.2">
      <c r="E123" s="83"/>
      <c r="O123" s="16"/>
      <c r="P123" s="18"/>
      <c r="Q123" s="18"/>
      <c r="R123" s="16"/>
      <c r="S123" s="16"/>
      <c r="X123" s="18"/>
      <c r="Y123" s="18"/>
      <c r="Z123" s="18"/>
      <c r="AA123" s="16"/>
      <c r="AB123" s="16"/>
      <c r="AC123" s="16"/>
      <c r="AD123" s="16"/>
      <c r="AE123" s="16"/>
      <c r="AF123" s="16"/>
    </row>
  </sheetData>
  <mergeCells count="20">
    <mergeCell ref="A1:Z1"/>
    <mergeCell ref="U3:W3"/>
    <mergeCell ref="Q11:R11"/>
    <mergeCell ref="B30:E30"/>
    <mergeCell ref="G30:I30"/>
    <mergeCell ref="U4:W4"/>
    <mergeCell ref="A32:E32"/>
    <mergeCell ref="G32:I32"/>
    <mergeCell ref="A35:W35"/>
    <mergeCell ref="A66:Y66"/>
    <mergeCell ref="U68:W68"/>
    <mergeCell ref="U105:X105"/>
    <mergeCell ref="U107:X107"/>
    <mergeCell ref="U109:X109"/>
    <mergeCell ref="T111:W111"/>
    <mergeCell ref="B96:E96"/>
    <mergeCell ref="G96:I96"/>
    <mergeCell ref="A98:E98"/>
    <mergeCell ref="G98:I98"/>
    <mergeCell ref="A101:W101"/>
  </mergeCells>
  <printOptions horizontalCentered="1"/>
  <pageMargins left="0.47244094488188981" right="0.47244094488188981" top="0.51181102362204722" bottom="0.51181102362204722" header="0.51181102362204722" footer="0.51181102362204722"/>
  <pageSetup paperSize="9" scale="58" fitToHeight="5" orientation="portrait"/>
  <rowBreaks count="1" manualBreakCount="1"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 &amp; PK</vt:lpstr>
      <vt:lpstr>'IV &amp; PK'!Print_Area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Nguyễn</cp:lastModifiedBy>
  <dcterms:modified xsi:type="dcterms:W3CDTF">2022-05-26T06:29:27Z</dcterms:modified>
</cp:coreProperties>
</file>