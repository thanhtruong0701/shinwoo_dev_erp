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0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nhhu\Desktop\"/>
    </mc:Choice>
  </mc:AlternateContent>
  <xr:revisionPtr revIDLastSave="0" documentId="13_ncr:1_{FF95A65F-6040-4708-9446-A045EE84A6A8}" xr6:coauthVersionLast="47" xr6:coauthVersionMax="47" xr10:uidLastSave="{00000000-0000-0000-0000-000000000000}"/>
  <bookViews>
    <workbookView xWindow="-120" yWindow="-120" windowWidth="29040" windowHeight="15990" xr2:uid="{00000000-000D-0000-FFFF-FFFF00000000}"/>
  </bookViews>
  <sheets>
    <sheet name="IV &amp; PK" sheetId="1" r:id="rId1"/>
  </sheets>
  <definedNames>
    <definedName name="_xlnm.Print_Area" localSheetId="0">'IV &amp; PK'!$A$1:$AA$121</definedName>
  </definedNames>
  <calcPr calcId="191029"/>
</workbook>
</file>

<file path=xl/calcChain.xml><?xml version="1.0" encoding="utf-8"?>
<calcChain xmlns="http://schemas.openxmlformats.org/spreadsheetml/2006/main">
  <c r="Q103" i="1" l="1"/>
  <c r="U103" i="1"/>
  <c r="X104" i="1"/>
  <c r="X105" i="1"/>
  <c r="X106" i="1"/>
  <c r="X103" i="1"/>
  <c r="G107" i="1" l="1"/>
  <c r="I107" i="1"/>
  <c r="N107" i="1"/>
  <c r="Q107" i="1"/>
  <c r="U107" i="1"/>
  <c r="X107" i="1"/>
  <c r="Q106" i="1"/>
  <c r="U106" i="1" s="1"/>
  <c r="U105" i="1"/>
  <c r="Q105" i="1"/>
  <c r="Q104" i="1"/>
  <c r="U104" i="1" s="1"/>
  <c r="V42" i="1"/>
  <c r="V44" i="1"/>
  <c r="S46" i="1"/>
  <c r="T46" i="1"/>
  <c r="R46" i="1"/>
  <c r="V45" i="1"/>
  <c r="V43" i="1"/>
  <c r="X93" i="1" l="1"/>
  <c r="X94" i="1" l="1"/>
  <c r="V41" i="1"/>
  <c r="V46" i="1" s="1"/>
  <c r="B72" i="1" l="1"/>
  <c r="B73" i="1"/>
  <c r="B74" i="1"/>
  <c r="B75" i="1"/>
  <c r="B76" i="1"/>
  <c r="B71" i="1"/>
  <c r="F96" i="1"/>
  <c r="A96" i="1"/>
  <c r="A94" i="1"/>
  <c r="F94" i="1"/>
  <c r="B88" i="1"/>
  <c r="B89" i="1"/>
  <c r="B90" i="1"/>
  <c r="B91" i="1"/>
  <c r="B87" i="1"/>
  <c r="B80" i="1"/>
  <c r="B81" i="1"/>
  <c r="B82" i="1"/>
  <c r="B83" i="1"/>
  <c r="B84" i="1"/>
  <c r="B79" i="1"/>
  <c r="L89" i="1"/>
  <c r="K76" i="1"/>
  <c r="W71" i="1"/>
  <c r="K71" i="1"/>
  <c r="Z19" i="1"/>
</calcChain>
</file>

<file path=xl/sharedStrings.xml><?xml version="1.0" encoding="utf-8"?>
<sst xmlns="http://schemas.openxmlformats.org/spreadsheetml/2006/main" count="89" uniqueCount="63">
  <si>
    <t xml:space="preserve">  T O T A L</t>
  </si>
  <si>
    <t>:</t>
  </si>
  <si>
    <t>7)Sailing on or about</t>
  </si>
  <si>
    <t>6)Carrier</t>
  </si>
  <si>
    <t>5)Final destination</t>
  </si>
  <si>
    <t>4)Port of loading</t>
  </si>
  <si>
    <t>※</t>
  </si>
  <si>
    <t>2)For Account &amp; Risk of Messrs.</t>
  </si>
  <si>
    <t>TEL: +84 2513 569 066</t>
  </si>
  <si>
    <t>Dong Nai Province, Vietnam</t>
  </si>
  <si>
    <t>9)Remarks :</t>
  </si>
  <si>
    <t>Nhon Trach 6 IZ, Long Tho Commune, Nhon Trach Dist</t>
  </si>
  <si>
    <t xml:space="preserve">Lot No B-3.1, Nhon Trach 6B Subdivision of IZ, </t>
  </si>
  <si>
    <t>OT MOTOR VINA CO.,LTD</t>
  </si>
  <si>
    <t>8)No. &amp; date of invoice</t>
  </si>
  <si>
    <t>1)Shipper/Exporter</t>
  </si>
  <si>
    <t>- Swift code : IBKOKRSE</t>
  </si>
  <si>
    <t xml:space="preserve">* BANK INFORMATION </t>
  </si>
  <si>
    <t>18)Signed By</t>
  </si>
  <si>
    <t>//////////////////////////////////</t>
  </si>
  <si>
    <t>MADE IN VIET NAM</t>
  </si>
  <si>
    <t xml:space="preserve">11) Consignee </t>
  </si>
  <si>
    <t>10) Country of Origin of Goods                   VIET NAM</t>
  </si>
  <si>
    <t>9) Terms of delivery and payment</t>
  </si>
  <si>
    <t>1)Shipper/Exporter/Manufacturer</t>
  </si>
  <si>
    <t>RELIANCE FINISHING</t>
  </si>
  <si>
    <t>1236 Judd Ave., S.W.</t>
  </si>
  <si>
    <t>Grand Rapids Mi. 49509 USA</t>
  </si>
  <si>
    <t>Attn: Pat Cell</t>
  </si>
  <si>
    <t>Tel: 616-241-4436</t>
  </si>
  <si>
    <t>GENTEX CORPORATION</t>
  </si>
  <si>
    <t xml:space="preserve">600 N. Centennial Street. </t>
  </si>
  <si>
    <t>ATTN : Mr. Douglas L. Dozeman</t>
  </si>
  <si>
    <t>Tel. 616-403-4846</t>
  </si>
  <si>
    <t>U.S.A</t>
  </si>
  <si>
    <t>NO</t>
  </si>
  <si>
    <t>PART#</t>
  </si>
  <si>
    <t>REV.</t>
  </si>
  <si>
    <t>PO#</t>
  </si>
  <si>
    <t>LINE</t>
  </si>
  <si>
    <t>SUPPLIER CODE: 26427</t>
  </si>
  <si>
    <t>LOT#</t>
  </si>
  <si>
    <t>CTN#</t>
  </si>
  <si>
    <t>1 SKID SIZE</t>
  </si>
  <si>
    <t>TOTAL :</t>
  </si>
  <si>
    <t>1 SKID CBM</t>
  </si>
  <si>
    <t>SUPPLIER CODE:  26427</t>
  </si>
  <si>
    <t>10) No.      11) Part#                    12)Q'ty/Unit             13)CTN/Q'ty             14) Skid/Q'ty           15)Net Weight           16)Gross Weight             17)CBM</t>
  </si>
  <si>
    <t xml:space="preserve">  T O T A L:</t>
  </si>
  <si>
    <t>13) No.     14) Part#                    15)Description of goods              16)PO#          17) Line#       18)Quantity/Unit       19)Unit Price     20)Amount</t>
  </si>
  <si>
    <t>21)Signed By</t>
  </si>
  <si>
    <t>3)Ship to</t>
    <phoneticPr fontId="72" type="noConversion"/>
  </si>
  <si>
    <t>SKID#</t>
    <phoneticPr fontId="72" type="noConversion"/>
  </si>
  <si>
    <t>12)Remarks :</t>
    <phoneticPr fontId="72" type="noConversion"/>
  </si>
  <si>
    <t>SHIP TO RFC</t>
  </si>
  <si>
    <t>125x115x110 cm</t>
  </si>
  <si>
    <t>PACKING LIST</t>
  </si>
  <si>
    <t>HS CODE: 8302.30.3060 (MOUNT, ALUMINUM, FOR MOTOR VEHICLE)</t>
  </si>
  <si>
    <t>COMMERCIAL INVOICE</t>
  </si>
  <si>
    <t>Zeeland, Michigan 49464 USA</t>
  </si>
  <si>
    <t>- Bank Name : Industrial Bank of Korea - Ho Chi Minh City Branch</t>
  </si>
  <si>
    <t>- Address : Unit 604, Diamond Plaza, 34 Le Duan Blvd., Dist. 1, HCMC, Vietnam</t>
  </si>
  <si>
    <t>- Bank Account Number/SWIFT: 0764-0054-932-0001 // IBKOVNVX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</si>
</sst>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9">
    <numFmt numFmtId="164" formatCode="_-&quot;₩&quot;* #,##0_-;\-&quot;₩&quot;* #,##0_-;_-&quot;₩&quot;* &quot;-&quot;_-;_-@_-"/>
    <numFmt numFmtId="165" formatCode="_-* #,##0_-;\-* #,##0_-;_-* &quot;-&quot;_-;_-@_-"/>
    <numFmt numFmtId="166" formatCode="_-* #,##0.00_-;\-* #,##0.00_-;_-* &quot;-&quot;??_-;_-@_-"/>
    <numFmt numFmtId="167" formatCode="0.00\ &quot;CBM&quot;"/>
    <numFmt numFmtId="168" formatCode="#,##0\ &quot;kgs&quot;"/>
    <numFmt numFmtId="169" formatCode="0.000\ &quot;CBM&quot;"/>
    <numFmt numFmtId="170" formatCode="#,##0\ &quot;PCS&quot;"/>
    <numFmt numFmtId="171" formatCode="[$-409]d&quot;-&quot;mmm&quot;-&quot;yy;@"/>
    <numFmt numFmtId="172" formatCode="\(#\ &quot;BOXES)&quot;"/>
    <numFmt numFmtId="173" formatCode="&quot;(&quot;#\ &quot;SKIDS)&quot;"/>
    <numFmt numFmtId="174" formatCode="&quot;(&quot;#\ &quot;SKID)&quot;"/>
    <numFmt numFmtId="175" formatCode="&quot;0&quot;00#"/>
    <numFmt numFmtId="176" formatCode="&quot;I-000&quot;##&quot;,&quot;"/>
    <numFmt numFmtId="177" formatCode="&quot;￦ &quot;#,##0"/>
    <numFmt numFmtId="178" formatCode="&quot;US$&quot;\ #,##0.00"/>
    <numFmt numFmtId="179" formatCode="&quot;￦ &quot;#,##0.00"/>
    <numFmt numFmtId="180" formatCode="&quot;@$ &quot;0.0000"/>
    <numFmt numFmtId="181" formatCode="&quot;US$&quot;#,##0.00"/>
    <numFmt numFmtId="182" formatCode="m&quot;/&quot;d&quot;/&quot;yy;@"/>
    <numFmt numFmtId="183" formatCode="&quot;(0&quot;.0#\ &quot;SKID)&quot;"/>
    <numFmt numFmtId="184" formatCode="mm&quot;월&quot;\ dd&quot;일&quot;"/>
    <numFmt numFmtId="185" formatCode="_(* #,##0_);_(* \(#,##0\);_(* &quot;-&quot;??_);_(@_)"/>
    <numFmt numFmtId="186" formatCode="&quot;₩&quot;#,##0.00\ ;\(&quot;₩&quot;#,##0.00\)"/>
    <numFmt numFmtId="187" formatCode="&quot;₩&quot;#,##0;&quot;₩&quot;\-#,##0"/>
    <numFmt numFmtId="188" formatCode="&quot;$&quot;\ #,##0.00"/>
    <numFmt numFmtId="189" formatCode="#,##0\ &quot;Skids&quot;"/>
    <numFmt numFmtId="190" formatCode="#,##0\ &quot;Ctns&quot;"/>
    <numFmt numFmtId="191" formatCode="&quot;$ &quot;0.0000"/>
    <numFmt numFmtId="192" formatCode="0.0\ &quot;CBM&quot;"/>
  </numFmts>
  <fonts count="76">
    <font>
      <sz val="10"/>
      <name val="MS Sans Serif"/>
      <family val="2"/>
    </font>
    <font>
      <sz val="10"/>
      <name val="MS Sans Serif"/>
      <family val="2"/>
    </font>
    <font>
      <sz val="10"/>
      <name val="Tahoma"/>
      <family val="2"/>
    </font>
    <font>
      <sz val="10"/>
      <color indexed="8"/>
      <name val="Tahoma"/>
      <family val="2"/>
    </font>
    <font>
      <b/>
      <sz val="10"/>
      <name val="Tahoma"/>
      <family val="2"/>
    </font>
    <font>
      <i/>
      <sz val="10"/>
      <name val="Tahoma"/>
      <family val="2"/>
    </font>
    <font>
      <b/>
      <sz val="10"/>
      <color indexed="8"/>
      <name val="Tahoma"/>
      <family val="2"/>
    </font>
    <font>
      <b/>
      <sz val="20"/>
      <name val="Tahoma"/>
      <family val="2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17"/>
      <name val="Calibri"/>
      <family val="2"/>
    </font>
    <font>
      <b/>
      <sz val="11"/>
      <color indexed="52"/>
      <name val="Calibri"/>
      <family val="2"/>
    </font>
    <font>
      <b/>
      <sz val="10"/>
      <name val="Helv"/>
      <family val="2"/>
    </font>
    <font>
      <b/>
      <sz val="11"/>
      <color indexed="9"/>
      <name val="Calibri"/>
      <family val="2"/>
    </font>
    <font>
      <sz val="11"/>
      <color indexed="52"/>
      <name val="Calibri"/>
      <family val="2"/>
    </font>
    <font>
      <b/>
      <sz val="11"/>
      <color indexed="56"/>
      <name val="Calibri"/>
      <family val="2"/>
    </font>
    <font>
      <sz val="11"/>
      <color indexed="62"/>
      <name val="Calibri"/>
      <family val="2"/>
    </font>
    <font>
      <sz val="8"/>
      <name val="Arial"/>
      <family val="2"/>
    </font>
    <font>
      <b/>
      <sz val="12"/>
      <name val="Helv"/>
      <family val="2"/>
    </font>
    <font>
      <b/>
      <sz val="12"/>
      <name val="Arial"/>
      <family val="2"/>
    </font>
    <font>
      <sz val="11"/>
      <color indexed="20"/>
      <name val="Calibri"/>
      <family val="2"/>
    </font>
    <font>
      <b/>
      <sz val="11"/>
      <name val="Helv"/>
      <family val="2"/>
    </font>
    <font>
      <sz val="12"/>
      <name val="굴림체"/>
      <family val="3"/>
      <charset val="129"/>
    </font>
    <font>
      <sz val="10"/>
      <name val="Arial"/>
      <family val="2"/>
    </font>
    <font>
      <b/>
      <sz val="11"/>
      <color indexed="63"/>
      <name val="Calibri"/>
      <family val="2"/>
    </font>
    <font>
      <sz val="11"/>
      <color indexed="10"/>
      <name val="Calibri"/>
      <family val="2"/>
    </font>
    <font>
      <i/>
      <sz val="11"/>
      <color indexed="23"/>
      <name val="Calibri"/>
      <family val="2"/>
    </font>
    <font>
      <b/>
      <sz val="18"/>
      <color indexed="56"/>
      <name val="Cambria"/>
      <family val="1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sz val="12"/>
      <color indexed="24"/>
      <name val="바탕체"/>
      <family val="1"/>
      <charset val="129"/>
    </font>
    <font>
      <b/>
      <sz val="18"/>
      <color indexed="24"/>
      <name val="바탕체"/>
      <family val="1"/>
      <charset val="129"/>
    </font>
    <font>
      <b/>
      <sz val="15"/>
      <color indexed="24"/>
      <name val="바탕체"/>
      <family val="1"/>
      <charset val="129"/>
    </font>
    <font>
      <sz val="11"/>
      <name val="돋움"/>
      <family val="3"/>
      <charset val="129"/>
    </font>
    <font>
      <sz val="11"/>
      <color indexed="8"/>
      <name val="맑은 고딕"/>
      <family val="3"/>
      <charset val="129"/>
    </font>
    <font>
      <sz val="12"/>
      <name val="宋体"/>
      <family val="3"/>
      <charset val="129"/>
    </font>
    <font>
      <sz val="12"/>
      <name val="宋体"/>
      <charset val="129"/>
    </font>
    <font>
      <sz val="13"/>
      <name val="돋움"/>
      <family val="3"/>
      <charset val="129"/>
    </font>
    <font>
      <sz val="12"/>
      <name val="돋움"/>
      <family val="3"/>
      <charset val="129"/>
    </font>
    <font>
      <b/>
      <sz val="14"/>
      <name val="돋움"/>
      <family val="3"/>
      <charset val="129"/>
    </font>
    <font>
      <sz val="11"/>
      <color theme="1"/>
      <name val="Calibri"/>
      <family val="3"/>
      <charset val="129"/>
      <scheme val="minor"/>
    </font>
    <font>
      <sz val="11"/>
      <color theme="1"/>
      <name val="Calibri"/>
      <family val="2"/>
      <charset val="129"/>
      <scheme val="minor"/>
    </font>
    <font>
      <sz val="12"/>
      <color theme="1"/>
      <name val="Calibri"/>
      <family val="3"/>
      <charset val="129"/>
      <scheme val="minor"/>
    </font>
    <font>
      <sz val="10"/>
      <color theme="1"/>
      <name val="Arial"/>
      <family val="2"/>
    </font>
    <font>
      <sz val="11"/>
      <color theme="1"/>
      <name val="Calibri"/>
      <family val="2"/>
    </font>
    <font>
      <sz val="9"/>
      <name val="굴림체"/>
      <family val="3"/>
      <charset val="129"/>
    </font>
    <font>
      <sz val="11"/>
      <color indexed="9"/>
      <name val="맑은 고딕"/>
      <family val="3"/>
      <charset val="129"/>
    </font>
    <font>
      <sz val="11"/>
      <color indexed="10"/>
      <name val="맑은 고딕"/>
      <family val="3"/>
      <charset val="129"/>
    </font>
    <font>
      <b/>
      <sz val="11"/>
      <color indexed="10"/>
      <name val="맑은 고딕"/>
      <family val="3"/>
      <charset val="129"/>
    </font>
    <font>
      <sz val="11"/>
      <color indexed="20"/>
      <name val="맑은 고딕"/>
      <family val="3"/>
      <charset val="129"/>
    </font>
    <font>
      <sz val="11"/>
      <color indexed="19"/>
      <name val="맑은 고딕"/>
      <family val="3"/>
      <charset val="129"/>
    </font>
    <font>
      <i/>
      <sz val="11"/>
      <color indexed="23"/>
      <name val="맑은 고딕"/>
      <family val="3"/>
      <charset val="129"/>
    </font>
    <font>
      <b/>
      <sz val="11"/>
      <color indexed="9"/>
      <name val="맑은 고딕"/>
      <family val="3"/>
      <charset val="129"/>
    </font>
    <font>
      <b/>
      <sz val="11"/>
      <color indexed="8"/>
      <name val="맑은 고딕"/>
      <family val="3"/>
      <charset val="129"/>
    </font>
    <font>
      <sz val="11"/>
      <color indexed="62"/>
      <name val="맑은 고딕"/>
      <family val="3"/>
      <charset val="129"/>
    </font>
    <font>
      <b/>
      <sz val="18"/>
      <color indexed="62"/>
      <name val="맑은 고딕"/>
      <family val="3"/>
      <charset val="129"/>
    </font>
    <font>
      <b/>
      <sz val="15"/>
      <color indexed="62"/>
      <name val="맑은 고딕"/>
      <family val="3"/>
      <charset val="129"/>
    </font>
    <font>
      <b/>
      <sz val="13"/>
      <color indexed="62"/>
      <name val="맑은 고딕"/>
      <family val="3"/>
      <charset val="129"/>
    </font>
    <font>
      <b/>
      <sz val="11"/>
      <color indexed="62"/>
      <name val="맑은 고딕"/>
      <family val="3"/>
      <charset val="129"/>
    </font>
    <font>
      <sz val="11"/>
      <color indexed="17"/>
      <name val="맑은 고딕"/>
      <family val="3"/>
      <charset val="129"/>
    </font>
    <font>
      <b/>
      <sz val="11"/>
      <color indexed="63"/>
      <name val="맑은 고딕"/>
      <family val="3"/>
      <charset val="129"/>
    </font>
    <font>
      <b/>
      <sz val="11"/>
      <color theme="0"/>
      <name val="Calibri"/>
      <family val="3"/>
      <charset val="129"/>
      <scheme val="minor"/>
    </font>
    <font>
      <u/>
      <sz val="11"/>
      <color theme="10"/>
      <name val="맑은 고딕"/>
      <family val="3"/>
      <charset val="129"/>
    </font>
    <font>
      <sz val="12"/>
      <color indexed="8"/>
      <name val="맑은 고딕"/>
      <family val="3"/>
      <charset val="129"/>
    </font>
    <font>
      <sz val="11"/>
      <color indexed="8"/>
      <name val="Calibri"/>
      <family val="2"/>
      <scheme val="minor"/>
    </font>
    <font>
      <sz val="10.5"/>
      <name val="Tahoma"/>
      <family val="2"/>
    </font>
    <font>
      <b/>
      <sz val="10.5"/>
      <name val="Tahoma"/>
      <family val="2"/>
    </font>
    <font>
      <sz val="10.5"/>
      <name val="MS Sans Serif"/>
      <family val="2"/>
    </font>
    <font>
      <sz val="10.5"/>
      <color indexed="8"/>
      <name val="Tahoma"/>
      <family val="2"/>
    </font>
    <font>
      <sz val="8"/>
      <name val="Tahoma"/>
      <family val="2"/>
    </font>
    <font>
      <b/>
      <sz val="10.5"/>
      <color indexed="8"/>
      <name val="Tahoma"/>
      <family val="2"/>
    </font>
    <font>
      <i/>
      <sz val="10.5"/>
      <name val="Tahoma"/>
      <family val="2"/>
    </font>
    <font>
      <sz val="8"/>
      <name val="돋움"/>
      <family val="3"/>
      <charset val="129"/>
    </font>
    <font>
      <b/>
      <sz val="17"/>
      <name val="Tahoma"/>
      <family val="2"/>
    </font>
    <font>
      <sz val="17"/>
      <name val="Tahoma"/>
      <family val="2"/>
    </font>
    <font>
      <b/>
      <sz val="9.5"/>
      <color indexed="8"/>
      <name val="Tahoma"/>
      <family val="2"/>
    </font>
  </fonts>
  <fills count="30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9"/>
        <bgColor indexed="64"/>
      </patternFill>
    </fill>
    <fill>
      <patternFill patternType="solid">
        <fgColor indexed="26"/>
      </patternFill>
    </fill>
    <fill>
      <patternFill patternType="solid">
        <fgColor rgb="FFA5A5A5"/>
      </patternFill>
    </fill>
    <fill>
      <patternFill patternType="solid">
        <fgColor indexed="43"/>
      </patternFill>
    </fill>
    <fill>
      <patternFill patternType="solid">
        <fgColor indexed="56"/>
      </patternFill>
    </fill>
    <fill>
      <patternFill patternType="solid">
        <fgColor indexed="54"/>
      </patternFill>
    </fill>
    <fill>
      <patternFill patternType="solid">
        <fgColor indexed="9"/>
      </patternFill>
    </fill>
  </fills>
  <borders count="34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double">
        <color indexed="52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 style="double">
        <color indexed="64"/>
      </top>
      <bottom/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indexed="10"/>
      </bottom>
      <diagonal/>
    </border>
    <border>
      <left/>
      <right/>
      <top style="thin">
        <color indexed="56"/>
      </top>
      <bottom style="double">
        <color indexed="56"/>
      </bottom>
      <diagonal/>
    </border>
    <border>
      <left/>
      <right/>
      <top/>
      <bottom style="thick">
        <color indexed="56"/>
      </bottom>
      <diagonal/>
    </border>
    <border>
      <left/>
      <right/>
      <top/>
      <bottom style="thick">
        <color indexed="27"/>
      </bottom>
      <diagonal/>
    </border>
    <border>
      <left/>
      <right/>
      <top/>
      <bottom style="medium">
        <color indexed="27"/>
      </bottom>
      <diagonal/>
    </border>
    <border>
      <left/>
      <right/>
      <top/>
      <bottom style="double">
        <color auto="1"/>
      </bottom>
      <diagonal/>
    </border>
    <border>
      <left style="double">
        <color indexed="64"/>
      </left>
      <right/>
      <top style="double">
        <color indexed="64"/>
      </top>
      <bottom/>
      <diagonal/>
    </border>
    <border>
      <left/>
      <right style="double">
        <color indexed="64"/>
      </right>
      <top style="double">
        <color indexed="64"/>
      </top>
      <bottom/>
      <diagonal/>
    </border>
    <border>
      <left style="double">
        <color indexed="64"/>
      </left>
      <right/>
      <top/>
      <bottom style="double">
        <color indexed="64"/>
      </bottom>
      <diagonal/>
    </border>
    <border>
      <left/>
      <right/>
      <top/>
      <bottom style="double">
        <color indexed="64"/>
      </bottom>
      <diagonal/>
    </border>
    <border>
      <left/>
      <right style="double">
        <color indexed="64"/>
      </right>
      <top/>
      <bottom style="double">
        <color indexed="64"/>
      </bottom>
      <diagonal/>
    </border>
  </borders>
  <cellStyleXfs count="951">
    <xf numFmtId="0" fontId="0" fillId="0" borderId="0"/>
    <xf numFmtId="0" fontId="8" fillId="3" borderId="0" applyNumberFormat="0" applyBorder="0" applyAlignment="0" applyProtection="0"/>
    <xf numFmtId="0" fontId="8" fillId="4" borderId="0" applyNumberFormat="0" applyBorder="0" applyAlignment="0" applyProtection="0"/>
    <xf numFmtId="0" fontId="8" fillId="5" borderId="0" applyNumberFormat="0" applyBorder="0" applyAlignment="0" applyProtection="0"/>
    <xf numFmtId="0" fontId="8" fillId="6" borderId="0" applyNumberFormat="0" applyBorder="0" applyAlignment="0" applyProtection="0"/>
    <xf numFmtId="0" fontId="8" fillId="7" borderId="0" applyNumberFormat="0" applyBorder="0" applyAlignment="0" applyProtection="0"/>
    <xf numFmtId="0" fontId="8" fillId="8" borderId="0" applyNumberFormat="0" applyBorder="0" applyAlignment="0" applyProtection="0"/>
    <xf numFmtId="0" fontId="8" fillId="9" borderId="0" applyNumberFormat="0" applyBorder="0" applyAlignment="0" applyProtection="0"/>
    <xf numFmtId="0" fontId="8" fillId="10" borderId="0" applyNumberFormat="0" applyBorder="0" applyAlignment="0" applyProtection="0"/>
    <xf numFmtId="0" fontId="8" fillId="11" borderId="0" applyNumberFormat="0" applyBorder="0" applyAlignment="0" applyProtection="0"/>
    <xf numFmtId="0" fontId="8" fillId="6" borderId="0" applyNumberFormat="0" applyBorder="0" applyAlignment="0" applyProtection="0"/>
    <xf numFmtId="0" fontId="8" fillId="9" borderId="0" applyNumberFormat="0" applyBorder="0" applyAlignment="0" applyProtection="0"/>
    <xf numFmtId="0" fontId="8" fillId="12" borderId="0" applyNumberFormat="0" applyBorder="0" applyAlignment="0" applyProtection="0"/>
    <xf numFmtId="0" fontId="9" fillId="13" borderId="0" applyNumberFormat="0" applyBorder="0" applyAlignment="0" applyProtection="0"/>
    <xf numFmtId="0" fontId="9" fillId="10" borderId="0" applyNumberFormat="0" applyBorder="0" applyAlignment="0" applyProtection="0"/>
    <xf numFmtId="0" fontId="9" fillId="11" borderId="0" applyNumberFormat="0" applyBorder="0" applyAlignment="0" applyProtection="0"/>
    <xf numFmtId="0" fontId="9" fillId="14" borderId="0" applyNumberFormat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10" fillId="5" borderId="0" applyNumberFormat="0" applyBorder="0" applyAlignment="0" applyProtection="0"/>
    <xf numFmtId="0" fontId="11" fillId="17" borderId="10" applyNumberFormat="0" applyAlignment="0" applyProtection="0"/>
    <xf numFmtId="0" fontId="12" fillId="0" borderId="0"/>
    <xf numFmtId="0" fontId="13" fillId="18" borderId="11" applyNumberFormat="0" applyAlignment="0" applyProtection="0"/>
    <xf numFmtId="0" fontId="14" fillId="0" borderId="12" applyNumberFormat="0" applyFill="0" applyAlignment="0" applyProtection="0"/>
    <xf numFmtId="0" fontId="15" fillId="0" borderId="0" applyNumberFormat="0" applyFill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14" borderId="0" applyNumberFormat="0" applyBorder="0" applyAlignment="0" applyProtection="0"/>
    <xf numFmtId="0" fontId="9" fillId="15" borderId="0" applyNumberFormat="0" applyBorder="0" applyAlignment="0" applyProtection="0"/>
    <xf numFmtId="0" fontId="9" fillId="22" borderId="0" applyNumberFormat="0" applyBorder="0" applyAlignment="0" applyProtection="0"/>
    <xf numFmtId="0" fontId="16" fillId="8" borderId="10" applyNumberFormat="0" applyAlignment="0" applyProtection="0"/>
    <xf numFmtId="38" fontId="17" fillId="23" borderId="0" applyNumberFormat="0" applyBorder="0" applyAlignment="0" applyProtection="0"/>
    <xf numFmtId="0" fontId="18" fillId="0" borderId="0">
      <alignment horizontal="left"/>
    </xf>
    <xf numFmtId="0" fontId="19" fillId="0" borderId="13" applyNumberFormat="0" applyAlignment="0" applyProtection="0">
      <alignment horizontal="left" vertical="center"/>
    </xf>
    <xf numFmtId="0" fontId="19" fillId="0" borderId="14">
      <alignment horizontal="left" vertical="center"/>
    </xf>
    <xf numFmtId="0" fontId="20" fillId="4" borderId="0" applyNumberFormat="0" applyBorder="0" applyAlignment="0" applyProtection="0"/>
    <xf numFmtId="10" fontId="17" fillId="23" borderId="15" applyNumberFormat="0" applyBorder="0" applyAlignment="0" applyProtection="0"/>
    <xf numFmtId="0" fontId="21" fillId="0" borderId="3"/>
    <xf numFmtId="185" fontId="22" fillId="0" borderId="0"/>
    <xf numFmtId="0" fontId="8" fillId="24" borderId="16" applyNumberFormat="0" applyFont="0" applyAlignment="0" applyProtection="0"/>
    <xf numFmtId="10" fontId="23" fillId="0" borderId="0" applyFont="0" applyFill="0" applyBorder="0" applyAlignment="0" applyProtection="0"/>
    <xf numFmtId="0" fontId="24" fillId="17" borderId="17" applyNumberFormat="0" applyAlignment="0" applyProtection="0"/>
    <xf numFmtId="0" fontId="21" fillId="0" borderId="0"/>
    <xf numFmtId="0" fontId="25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8" fillId="0" borderId="18" applyNumberFormat="0" applyFill="0" applyAlignment="0" applyProtection="0"/>
    <xf numFmtId="0" fontId="29" fillId="0" borderId="19" applyNumberFormat="0" applyFill="0" applyAlignment="0" applyProtection="0"/>
    <xf numFmtId="0" fontId="15" fillId="0" borderId="20" applyNumberFormat="0" applyFill="0" applyAlignment="0" applyProtection="0"/>
    <xf numFmtId="2" fontId="30" fillId="0" borderId="0" applyFont="0" applyFill="0" applyBorder="0" applyAlignment="0" applyProtection="0"/>
    <xf numFmtId="0" fontId="31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0" fillId="0" borderId="0" applyFont="0" applyFill="0" applyBorder="0" applyAlignment="0" applyProtection="0"/>
    <xf numFmtId="0" fontId="30" fillId="0" borderId="0" applyFont="0" applyFill="0" applyBorder="0" applyAlignment="0" applyProtection="0"/>
    <xf numFmtId="165" fontId="33" fillId="0" borderId="0" applyFont="0" applyFill="0" applyBorder="0" applyAlignment="0" applyProtection="0"/>
    <xf numFmtId="165" fontId="33" fillId="0" borderId="0" applyFont="0" applyFill="0" applyBorder="0" applyAlignment="0" applyProtection="0"/>
    <xf numFmtId="165" fontId="33" fillId="0" borderId="0" applyFont="0" applyFill="0" applyBorder="0" applyAlignment="0" applyProtection="0"/>
    <xf numFmtId="165" fontId="33" fillId="0" borderId="0" applyFont="0" applyFill="0" applyBorder="0" applyAlignment="0" applyProtection="0"/>
    <xf numFmtId="165" fontId="33" fillId="0" borderId="0" applyFont="0" applyFill="0" applyBorder="0" applyAlignment="0" applyProtection="0"/>
    <xf numFmtId="165" fontId="33" fillId="0" borderId="0" applyFont="0" applyFill="0" applyBorder="0" applyAlignment="0" applyProtection="0"/>
    <xf numFmtId="165" fontId="33" fillId="0" borderId="0" applyFont="0" applyFill="0" applyBorder="0" applyAlignment="0" applyProtection="0"/>
    <xf numFmtId="165" fontId="33" fillId="0" borderId="0" applyFont="0" applyFill="0" applyBorder="0" applyAlignment="0" applyProtection="0"/>
    <xf numFmtId="165" fontId="34" fillId="0" borderId="0" applyFont="0" applyFill="0" applyBorder="0" applyAlignment="0" applyProtection="0">
      <alignment vertical="center"/>
    </xf>
    <xf numFmtId="165" fontId="34" fillId="0" borderId="0" applyFont="0" applyFill="0" applyBorder="0" applyAlignment="0" applyProtection="0">
      <alignment vertical="center"/>
    </xf>
    <xf numFmtId="165" fontId="34" fillId="0" borderId="0" applyFont="0" applyFill="0" applyBorder="0" applyAlignment="0" applyProtection="0">
      <alignment vertical="center"/>
    </xf>
    <xf numFmtId="165" fontId="34" fillId="0" borderId="0" applyFont="0" applyFill="0" applyBorder="0" applyAlignment="0" applyProtection="0">
      <alignment vertical="center"/>
    </xf>
    <xf numFmtId="165" fontId="33" fillId="0" borderId="0" applyFont="0" applyFill="0" applyBorder="0" applyAlignment="0" applyProtection="0"/>
    <xf numFmtId="165" fontId="33" fillId="0" borderId="0" applyFont="0" applyFill="0" applyBorder="0" applyAlignment="0" applyProtection="0">
      <alignment vertical="center"/>
    </xf>
    <xf numFmtId="166" fontId="34" fillId="0" borderId="0" applyFont="0" applyFill="0" applyBorder="0" applyAlignment="0" applyProtection="0">
      <alignment vertical="center"/>
    </xf>
    <xf numFmtId="166" fontId="34" fillId="0" borderId="0" applyFont="0" applyFill="0" applyBorder="0" applyAlignment="0" applyProtection="0">
      <alignment vertical="center"/>
    </xf>
    <xf numFmtId="166" fontId="34" fillId="0" borderId="0" applyFont="0" applyFill="0" applyBorder="0" applyAlignment="0" applyProtection="0">
      <alignment vertical="center"/>
    </xf>
    <xf numFmtId="166" fontId="34" fillId="0" borderId="0" applyFont="0" applyFill="0" applyBorder="0" applyAlignment="0" applyProtection="0">
      <alignment vertical="center"/>
    </xf>
    <xf numFmtId="166" fontId="34" fillId="0" borderId="0" applyFont="0" applyFill="0" applyBorder="0" applyAlignment="0" applyProtection="0">
      <alignment vertical="center"/>
    </xf>
    <xf numFmtId="166" fontId="34" fillId="0" borderId="0" applyFont="0" applyFill="0" applyBorder="0" applyAlignment="0" applyProtection="0">
      <alignment vertical="center"/>
    </xf>
    <xf numFmtId="166" fontId="34" fillId="0" borderId="0" applyFont="0" applyFill="0" applyBorder="0" applyAlignment="0" applyProtection="0">
      <alignment vertical="center"/>
    </xf>
    <xf numFmtId="0" fontId="35" fillId="0" borderId="0"/>
    <xf numFmtId="0" fontId="35" fillId="0" borderId="0"/>
    <xf numFmtId="0" fontId="35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5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5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5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5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5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5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5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5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5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5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5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5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5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5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5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5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5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5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5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5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5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5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5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5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5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5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5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5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5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5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5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5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5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5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5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5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5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5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5" fillId="0" borderId="0"/>
    <xf numFmtId="0" fontId="35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5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5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5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5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5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5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5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5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5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5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5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5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5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5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5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5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5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5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5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5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5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5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5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5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5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5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5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5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5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5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5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5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5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5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5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5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5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5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4" fontId="30" fillId="0" borderId="0" applyFont="0" applyFill="0" applyBorder="0" applyAlignment="0" applyProtection="0"/>
    <xf numFmtId="3" fontId="30" fillId="0" borderId="0" applyFont="0" applyFill="0" applyBorder="0" applyAlignment="0" applyProtection="0"/>
    <xf numFmtId="0" fontId="37" fillId="0" borderId="0" applyNumberFormat="0" applyFill="0" applyBorder="0" applyAlignment="0" applyProtection="0">
      <alignment vertical="center"/>
    </xf>
    <xf numFmtId="49" fontId="38" fillId="0" borderId="0" applyNumberFormat="0" applyFill="0" applyBorder="0" applyAlignment="0" applyProtection="0"/>
    <xf numFmtId="49" fontId="33" fillId="0" borderId="0" applyNumberFormat="0" applyFill="0" applyBorder="0" applyAlignment="0" applyProtection="0"/>
    <xf numFmtId="165" fontId="33" fillId="0" borderId="0" applyFont="0" applyFill="0" applyBorder="0" applyAlignment="0" applyProtection="0"/>
    <xf numFmtId="166" fontId="33" fillId="0" borderId="0" applyFont="0" applyFill="0" applyBorder="0" applyAlignment="0" applyProtection="0"/>
    <xf numFmtId="49" fontId="39" fillId="0" borderId="0" applyNumberFormat="0" applyFill="0" applyBorder="0" applyAlignment="0" applyProtection="0"/>
    <xf numFmtId="10" fontId="30" fillId="0" borderId="0" applyFont="0" applyFill="0" applyBorder="0" applyAlignment="0" applyProtection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40" fillId="0" borderId="0">
      <alignment vertical="center"/>
    </xf>
    <xf numFmtId="0" fontId="40" fillId="0" borderId="0">
      <alignment vertical="center"/>
    </xf>
    <xf numFmtId="0" fontId="40" fillId="0" borderId="0">
      <alignment vertical="center"/>
    </xf>
    <xf numFmtId="0" fontId="40" fillId="0" borderId="0">
      <alignment vertical="center"/>
    </xf>
    <xf numFmtId="0" fontId="33" fillId="0" borderId="0"/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1" fillId="0" borderId="0"/>
    <xf numFmtId="0" fontId="30" fillId="0" borderId="21" applyNumberFormat="0" applyFont="0" applyFill="0" applyAlignment="0" applyProtection="0"/>
    <xf numFmtId="186" fontId="30" fillId="0" borderId="0" applyFont="0" applyFill="0" applyBorder="0" applyAlignment="0" applyProtection="0"/>
    <xf numFmtId="187" fontId="30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41" fillId="0" borderId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165" fontId="41" fillId="0" borderId="0" applyFont="0" applyFill="0" applyBorder="0" applyAlignment="0" applyProtection="0">
      <alignment vertical="center"/>
    </xf>
    <xf numFmtId="165" fontId="41" fillId="0" borderId="0" applyFont="0" applyFill="0" applyBorder="0" applyAlignment="0" applyProtection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0" fontId="40" fillId="0" borderId="0">
      <alignment vertical="center"/>
    </xf>
    <xf numFmtId="0" fontId="1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33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33" fillId="0" borderId="0"/>
    <xf numFmtId="0" fontId="40" fillId="0" borderId="0">
      <alignment vertical="center"/>
    </xf>
    <xf numFmtId="0" fontId="44" fillId="0" borderId="0"/>
    <xf numFmtId="0" fontId="44" fillId="0" borderId="0"/>
    <xf numFmtId="0" fontId="44" fillId="0" borderId="0"/>
    <xf numFmtId="0" fontId="33" fillId="0" borderId="0"/>
    <xf numFmtId="0" fontId="44" fillId="0" borderId="0"/>
    <xf numFmtId="0" fontId="42" fillId="0" borderId="0"/>
    <xf numFmtId="0" fontId="23" fillId="0" borderId="0"/>
    <xf numFmtId="0" fontId="40" fillId="0" borderId="0">
      <alignment vertical="center"/>
    </xf>
    <xf numFmtId="0" fontId="40" fillId="0" borderId="0">
      <alignment vertical="center"/>
    </xf>
    <xf numFmtId="0" fontId="40" fillId="0" borderId="0">
      <alignment vertical="center"/>
    </xf>
    <xf numFmtId="0" fontId="40" fillId="0" borderId="0">
      <alignment vertical="center"/>
    </xf>
    <xf numFmtId="0" fontId="40" fillId="0" borderId="0">
      <alignment vertical="center"/>
    </xf>
    <xf numFmtId="0" fontId="40" fillId="0" borderId="0">
      <alignment vertical="center"/>
    </xf>
    <xf numFmtId="0" fontId="40" fillId="0" borderId="0">
      <alignment vertical="center"/>
    </xf>
    <xf numFmtId="0" fontId="40" fillId="0" borderId="0">
      <alignment vertical="center"/>
    </xf>
    <xf numFmtId="0" fontId="40" fillId="0" borderId="0">
      <alignment vertical="center"/>
    </xf>
    <xf numFmtId="0" fontId="40" fillId="0" borderId="0">
      <alignment vertical="center"/>
    </xf>
    <xf numFmtId="0" fontId="40" fillId="0" borderId="0">
      <alignment vertical="center"/>
    </xf>
    <xf numFmtId="0" fontId="40" fillId="0" borderId="0">
      <alignment vertical="center"/>
    </xf>
    <xf numFmtId="0" fontId="40" fillId="0" borderId="0">
      <alignment vertical="center"/>
    </xf>
    <xf numFmtId="0" fontId="40" fillId="0" borderId="0">
      <alignment vertical="center"/>
    </xf>
    <xf numFmtId="0" fontId="40" fillId="0" borderId="0">
      <alignment vertical="center"/>
    </xf>
    <xf numFmtId="0" fontId="40" fillId="0" borderId="0">
      <alignment vertical="center"/>
    </xf>
    <xf numFmtId="0" fontId="40" fillId="0" borderId="0">
      <alignment vertical="center"/>
    </xf>
    <xf numFmtId="0" fontId="1" fillId="0" borderId="0"/>
    <xf numFmtId="0" fontId="40" fillId="0" borderId="0">
      <alignment vertical="center"/>
    </xf>
    <xf numFmtId="0" fontId="40" fillId="0" borderId="0">
      <alignment vertical="center"/>
    </xf>
    <xf numFmtId="0" fontId="40" fillId="0" borderId="0">
      <alignment vertical="center"/>
    </xf>
    <xf numFmtId="0" fontId="40" fillId="0" borderId="0">
      <alignment vertical="center"/>
    </xf>
    <xf numFmtId="0" fontId="40" fillId="0" borderId="0">
      <alignment vertical="center"/>
    </xf>
    <xf numFmtId="0" fontId="40" fillId="0" borderId="0">
      <alignment vertical="center"/>
    </xf>
    <xf numFmtId="0" fontId="40" fillId="0" borderId="0">
      <alignment vertical="center"/>
    </xf>
    <xf numFmtId="0" fontId="60" fillId="29" borderId="17" applyNumberFormat="0" applyAlignment="0" applyProtection="0">
      <alignment vertical="center"/>
    </xf>
    <xf numFmtId="0" fontId="60" fillId="29" borderId="17" applyNumberFormat="0" applyAlignment="0" applyProtection="0">
      <alignment vertical="center"/>
    </xf>
    <xf numFmtId="0" fontId="60" fillId="29" borderId="17" applyNumberFormat="0" applyAlignment="0" applyProtection="0">
      <alignment vertical="center"/>
    </xf>
    <xf numFmtId="0" fontId="60" fillId="29" borderId="17" applyNumberFormat="0" applyAlignment="0" applyProtection="0">
      <alignment vertical="center"/>
    </xf>
    <xf numFmtId="0" fontId="54" fillId="26" borderId="10" applyNumberFormat="0" applyAlignment="0" applyProtection="0">
      <alignment vertical="center"/>
    </xf>
    <xf numFmtId="0" fontId="54" fillId="26" borderId="10" applyNumberFormat="0" applyAlignment="0" applyProtection="0">
      <alignment vertical="center"/>
    </xf>
    <xf numFmtId="0" fontId="54" fillId="26" borderId="10" applyNumberFormat="0" applyAlignment="0" applyProtection="0">
      <alignment vertical="center"/>
    </xf>
    <xf numFmtId="0" fontId="54" fillId="26" borderId="10" applyNumberFormat="0" applyAlignment="0" applyProtection="0">
      <alignment vertical="center"/>
    </xf>
    <xf numFmtId="0" fontId="53" fillId="0" borderId="24" applyNumberFormat="0" applyFill="0" applyAlignment="0" applyProtection="0">
      <alignment vertical="center"/>
    </xf>
    <xf numFmtId="0" fontId="53" fillId="0" borderId="24" applyNumberFormat="0" applyFill="0" applyAlignment="0" applyProtection="0">
      <alignment vertical="center"/>
    </xf>
    <xf numFmtId="0" fontId="53" fillId="0" borderId="24" applyNumberFormat="0" applyFill="0" applyAlignment="0" applyProtection="0">
      <alignment vertical="center"/>
    </xf>
    <xf numFmtId="0" fontId="53" fillId="0" borderId="24" applyNumberFormat="0" applyFill="0" applyAlignment="0" applyProtection="0">
      <alignment vertical="center"/>
    </xf>
    <xf numFmtId="165" fontId="42" fillId="0" borderId="0" applyFont="0" applyFill="0" applyBorder="0" applyAlignment="0" applyProtection="0">
      <alignment vertical="center"/>
    </xf>
    <xf numFmtId="38" fontId="1" fillId="0" borderId="0" applyFont="0" applyFill="0" applyBorder="0" applyAlignment="0" applyProtection="0"/>
    <xf numFmtId="165" fontId="63" fillId="0" borderId="0" applyFont="0" applyFill="0" applyBorder="0" applyAlignment="0" applyProtection="0">
      <alignment vertical="center"/>
    </xf>
    <xf numFmtId="165" fontId="63" fillId="0" borderId="0" applyFont="0" applyFill="0" applyBorder="0" applyAlignment="0" applyProtection="0">
      <alignment vertical="center"/>
    </xf>
    <xf numFmtId="165" fontId="63" fillId="0" borderId="0" applyFont="0" applyFill="0" applyBorder="0" applyAlignment="0" applyProtection="0">
      <alignment vertical="center"/>
    </xf>
    <xf numFmtId="165" fontId="63" fillId="0" borderId="0" applyFont="0" applyFill="0" applyBorder="0" applyAlignment="0" applyProtection="0">
      <alignment vertical="center"/>
    </xf>
    <xf numFmtId="165" fontId="34" fillId="0" borderId="0" applyFont="0" applyFill="0" applyBorder="0" applyAlignment="0" applyProtection="0">
      <alignment vertical="center"/>
    </xf>
    <xf numFmtId="165" fontId="34" fillId="0" borderId="0" applyFont="0" applyFill="0" applyBorder="0" applyAlignment="0" applyProtection="0">
      <alignment vertical="center"/>
    </xf>
    <xf numFmtId="165" fontId="34" fillId="0" borderId="0" applyFont="0" applyFill="0" applyBorder="0" applyAlignment="0" applyProtection="0">
      <alignment vertical="center"/>
    </xf>
    <xf numFmtId="165" fontId="34" fillId="0" borderId="0" applyFont="0" applyFill="0" applyBorder="0" applyAlignment="0" applyProtection="0">
      <alignment vertical="center"/>
    </xf>
    <xf numFmtId="165" fontId="34" fillId="0" borderId="0" applyFont="0" applyFill="0" applyBorder="0" applyAlignment="0" applyProtection="0">
      <alignment vertical="center"/>
    </xf>
    <xf numFmtId="165" fontId="40" fillId="0" borderId="0" applyFont="0" applyFill="0" applyBorder="0" applyAlignment="0" applyProtection="0">
      <alignment vertical="center"/>
    </xf>
    <xf numFmtId="165" fontId="33" fillId="0" borderId="0" applyFont="0" applyFill="0" applyBorder="0" applyAlignment="0" applyProtection="0"/>
    <xf numFmtId="165" fontId="63" fillId="0" borderId="0" applyFont="0" applyFill="0" applyBorder="0" applyAlignment="0" applyProtection="0">
      <alignment vertical="center"/>
    </xf>
    <xf numFmtId="165" fontId="63" fillId="0" borderId="0" applyFont="0" applyFill="0" applyBorder="0" applyAlignment="0" applyProtection="0">
      <alignment vertical="center"/>
    </xf>
    <xf numFmtId="165" fontId="63" fillId="0" borderId="0" applyFont="0" applyFill="0" applyBorder="0" applyAlignment="0" applyProtection="0">
      <alignment vertical="center"/>
    </xf>
    <xf numFmtId="165" fontId="63" fillId="0" borderId="0" applyFont="0" applyFill="0" applyBorder="0" applyAlignment="0" applyProtection="0">
      <alignment vertical="center"/>
    </xf>
    <xf numFmtId="165" fontId="42" fillId="0" borderId="0" applyFont="0" applyFill="0" applyBorder="0" applyAlignment="0" applyProtection="0">
      <alignment vertical="center"/>
    </xf>
    <xf numFmtId="165" fontId="40" fillId="0" borderId="0" applyFont="0" applyFill="0" applyBorder="0" applyAlignment="0" applyProtection="0">
      <alignment vertical="center"/>
    </xf>
    <xf numFmtId="0" fontId="52" fillId="18" borderId="11" applyNumberFormat="0" applyAlignment="0" applyProtection="0">
      <alignment vertical="center"/>
    </xf>
    <xf numFmtId="9" fontId="42" fillId="0" borderId="0" applyFont="0" applyFill="0" applyBorder="0" applyAlignment="0" applyProtection="0">
      <alignment vertical="center"/>
    </xf>
    <xf numFmtId="9" fontId="42" fillId="0" borderId="0" applyFont="0" applyFill="0" applyBorder="0" applyAlignment="0" applyProtection="0">
      <alignment vertical="center"/>
    </xf>
    <xf numFmtId="9" fontId="63" fillId="0" borderId="0" applyFont="0" applyFill="0" applyBorder="0" applyAlignment="0" applyProtection="0">
      <alignment vertical="center"/>
    </xf>
    <xf numFmtId="9" fontId="42" fillId="0" borderId="0" applyFont="0" applyFill="0" applyBorder="0" applyAlignment="0" applyProtection="0">
      <alignment vertical="center"/>
    </xf>
    <xf numFmtId="9" fontId="42" fillId="0" borderId="0" applyFont="0" applyFill="0" applyBorder="0" applyAlignment="0" applyProtection="0">
      <alignment vertical="center"/>
    </xf>
    <xf numFmtId="9" fontId="63" fillId="0" borderId="0" applyFont="0" applyFill="0" applyBorder="0" applyAlignment="0" applyProtection="0">
      <alignment vertical="center"/>
    </xf>
    <xf numFmtId="9" fontId="42" fillId="0" borderId="0" applyFont="0" applyFill="0" applyBorder="0" applyAlignment="0" applyProtection="0">
      <alignment vertical="center"/>
    </xf>
    <xf numFmtId="0" fontId="1" fillId="24" borderId="16" applyNumberFormat="0" applyFont="0" applyAlignment="0" applyProtection="0">
      <alignment vertical="center"/>
    </xf>
    <xf numFmtId="0" fontId="1" fillId="24" borderId="16" applyNumberFormat="0" applyFont="0" applyAlignment="0" applyProtection="0">
      <alignment vertical="center"/>
    </xf>
    <xf numFmtId="0" fontId="1" fillId="24" borderId="16" applyNumberFormat="0" applyFont="0" applyAlignment="0" applyProtection="0">
      <alignment vertical="center"/>
    </xf>
    <xf numFmtId="0" fontId="1" fillId="24" borderId="16" applyNumberFormat="0" applyFont="0" applyAlignment="0" applyProtection="0">
      <alignment vertical="center"/>
    </xf>
    <xf numFmtId="0" fontId="48" fillId="29" borderId="10" applyNumberFormat="0" applyAlignment="0" applyProtection="0">
      <alignment vertical="center"/>
    </xf>
    <xf numFmtId="0" fontId="48" fillId="29" borderId="10" applyNumberFormat="0" applyAlignment="0" applyProtection="0">
      <alignment vertical="center"/>
    </xf>
    <xf numFmtId="0" fontId="48" fillId="29" borderId="10" applyNumberFormat="0" applyAlignment="0" applyProtection="0">
      <alignment vertical="center"/>
    </xf>
    <xf numFmtId="0" fontId="48" fillId="29" borderId="10" applyNumberFormat="0" applyAlignment="0" applyProtection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164" fontId="40" fillId="0" borderId="0" applyFont="0" applyFill="0" applyBorder="0" applyAlignment="0" applyProtection="0">
      <alignment vertical="center"/>
    </xf>
    <xf numFmtId="0" fontId="62" fillId="0" borderId="0" applyNumberFormat="0" applyFill="0" applyBorder="0" applyAlignment="0" applyProtection="0">
      <alignment vertical="top"/>
      <protection locked="0"/>
    </xf>
    <xf numFmtId="0" fontId="42" fillId="0" borderId="0"/>
    <xf numFmtId="0" fontId="40" fillId="0" borderId="0">
      <alignment vertical="center"/>
    </xf>
    <xf numFmtId="0" fontId="42" fillId="0" borderId="0"/>
    <xf numFmtId="0" fontId="42" fillId="0" borderId="0"/>
    <xf numFmtId="0" fontId="42" fillId="0" borderId="0"/>
    <xf numFmtId="0" fontId="33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60" fillId="29" borderId="17" applyNumberFormat="0" applyAlignment="0" applyProtection="0">
      <alignment vertical="center"/>
    </xf>
    <xf numFmtId="0" fontId="60" fillId="29" borderId="17" applyNumberFormat="0" applyAlignment="0" applyProtection="0">
      <alignment vertical="center"/>
    </xf>
    <xf numFmtId="0" fontId="59" fillId="7" borderId="0" applyNumberFormat="0" applyBorder="0" applyAlignment="0" applyProtection="0">
      <alignment vertical="center"/>
    </xf>
    <xf numFmtId="0" fontId="59" fillId="7" borderId="0" applyNumberFormat="0" applyBorder="0" applyAlignment="0" applyProtection="0">
      <alignment vertical="center"/>
    </xf>
    <xf numFmtId="0" fontId="55" fillId="0" borderId="0" applyNumberFormat="0" applyFill="0" applyBorder="0" applyAlignment="0" applyProtection="0">
      <alignment vertical="center"/>
    </xf>
    <xf numFmtId="0" fontId="55" fillId="0" borderId="0" applyNumberFormat="0" applyFill="0" applyBorder="0" applyAlignment="0" applyProtection="0">
      <alignment vertical="center"/>
    </xf>
    <xf numFmtId="0" fontId="58" fillId="0" borderId="0" applyNumberFormat="0" applyFill="0" applyBorder="0" applyAlignment="0" applyProtection="0">
      <alignment vertical="center"/>
    </xf>
    <xf numFmtId="0" fontId="58" fillId="0" borderId="0" applyNumberFormat="0" applyFill="0" applyBorder="0" applyAlignment="0" applyProtection="0">
      <alignment vertical="center"/>
    </xf>
    <xf numFmtId="0" fontId="58" fillId="0" borderId="27" applyNumberFormat="0" applyFill="0" applyAlignment="0" applyProtection="0">
      <alignment vertical="center"/>
    </xf>
    <xf numFmtId="0" fontId="58" fillId="0" borderId="27" applyNumberFormat="0" applyFill="0" applyAlignment="0" applyProtection="0">
      <alignment vertical="center"/>
    </xf>
    <xf numFmtId="0" fontId="57" fillId="0" borderId="26" applyNumberFormat="0" applyFill="0" applyAlignment="0" applyProtection="0">
      <alignment vertical="center"/>
    </xf>
    <xf numFmtId="0" fontId="57" fillId="0" borderId="26" applyNumberFormat="0" applyFill="0" applyAlignment="0" applyProtection="0">
      <alignment vertical="center"/>
    </xf>
    <xf numFmtId="0" fontId="56" fillId="0" borderId="25" applyNumberFormat="0" applyFill="0" applyAlignment="0" applyProtection="0">
      <alignment vertical="center"/>
    </xf>
    <xf numFmtId="0" fontId="56" fillId="0" borderId="25" applyNumberFormat="0" applyFill="0" applyAlignment="0" applyProtection="0">
      <alignment vertical="center"/>
    </xf>
    <xf numFmtId="0" fontId="54" fillId="26" borderId="10" applyNumberFormat="0" applyAlignment="0" applyProtection="0">
      <alignment vertical="center"/>
    </xf>
    <xf numFmtId="0" fontId="54" fillId="26" borderId="10" applyNumberFormat="0" applyAlignment="0" applyProtection="0">
      <alignment vertical="center"/>
    </xf>
    <xf numFmtId="0" fontId="53" fillId="0" borderId="24" applyNumberFormat="0" applyFill="0" applyAlignment="0" applyProtection="0">
      <alignment vertical="center"/>
    </xf>
    <xf numFmtId="0" fontId="53" fillId="0" borderId="24" applyNumberFormat="0" applyFill="0" applyAlignment="0" applyProtection="0">
      <alignment vertical="center"/>
    </xf>
    <xf numFmtId="0" fontId="47" fillId="0" borderId="23" applyNumberFormat="0" applyFill="0" applyAlignment="0" applyProtection="0">
      <alignment vertical="center"/>
    </xf>
    <xf numFmtId="0" fontId="47" fillId="0" borderId="23" applyNumberFormat="0" applyFill="0" applyAlignment="0" applyProtection="0">
      <alignment vertical="center"/>
    </xf>
    <xf numFmtId="165" fontId="42" fillId="0" borderId="0" applyFont="0" applyFill="0" applyBorder="0" applyAlignment="0" applyProtection="0">
      <alignment vertical="center"/>
    </xf>
    <xf numFmtId="165" fontId="40" fillId="0" borderId="0" applyFont="0" applyFill="0" applyBorder="0" applyAlignment="0" applyProtection="0">
      <alignment vertical="center"/>
    </xf>
    <xf numFmtId="165" fontId="42" fillId="0" borderId="0" applyFont="0" applyFill="0" applyBorder="0" applyAlignment="0" applyProtection="0">
      <alignment vertical="center"/>
    </xf>
    <xf numFmtId="38" fontId="1" fillId="0" borderId="0" applyFont="0" applyFill="0" applyBorder="0" applyAlignment="0" applyProtection="0"/>
    <xf numFmtId="0" fontId="52" fillId="18" borderId="11" applyNumberFormat="0" applyAlignment="0" applyProtection="0">
      <alignment vertical="center"/>
    </xf>
    <xf numFmtId="0" fontId="61" fillId="25" borderId="22" applyNumberFormat="0" applyAlignment="0" applyProtection="0">
      <alignment vertical="center"/>
    </xf>
    <xf numFmtId="0" fontId="52" fillId="18" borderId="11" applyNumberFormat="0" applyAlignment="0" applyProtection="0">
      <alignment vertical="center"/>
    </xf>
    <xf numFmtId="0" fontId="51" fillId="0" borderId="0" applyNumberFormat="0" applyFill="0" applyBorder="0" applyAlignment="0" applyProtection="0">
      <alignment vertical="center"/>
    </xf>
    <xf numFmtId="0" fontId="51" fillId="0" borderId="0" applyNumberFormat="0" applyFill="0" applyBorder="0" applyAlignment="0" applyProtection="0">
      <alignment vertical="center"/>
    </xf>
    <xf numFmtId="0" fontId="50" fillId="26" borderId="0" applyNumberFormat="0" applyBorder="0" applyAlignment="0" applyProtection="0">
      <alignment vertical="center"/>
    </xf>
    <xf numFmtId="0" fontId="50" fillId="26" borderId="0" applyNumberFormat="0" applyBorder="0" applyAlignment="0" applyProtection="0">
      <alignment vertical="center"/>
    </xf>
    <xf numFmtId="0" fontId="1" fillId="24" borderId="16" applyNumberFormat="0" applyFont="0" applyAlignment="0" applyProtection="0">
      <alignment vertical="center"/>
    </xf>
    <xf numFmtId="0" fontId="1" fillId="24" borderId="16" applyNumberFormat="0" applyFont="0" applyAlignment="0" applyProtection="0">
      <alignment vertical="center"/>
    </xf>
    <xf numFmtId="0" fontId="49" fillId="6" borderId="0" applyNumberFormat="0" applyBorder="0" applyAlignment="0" applyProtection="0">
      <alignment vertical="center"/>
    </xf>
    <xf numFmtId="0" fontId="49" fillId="6" borderId="0" applyNumberFormat="0" applyBorder="0" applyAlignment="0" applyProtection="0">
      <alignment vertical="center"/>
    </xf>
    <xf numFmtId="0" fontId="48" fillId="29" borderId="10" applyNumberFormat="0" applyAlignment="0" applyProtection="0">
      <alignment vertical="center"/>
    </xf>
    <xf numFmtId="0" fontId="48" fillId="29" borderId="10" applyNumberFormat="0" applyAlignment="0" applyProtection="0">
      <alignment vertical="center"/>
    </xf>
    <xf numFmtId="0" fontId="47" fillId="0" borderId="0" applyNumberFormat="0" applyFill="0" applyBorder="0" applyAlignment="0" applyProtection="0">
      <alignment vertical="center"/>
    </xf>
    <xf numFmtId="0" fontId="47" fillId="0" borderId="0" applyNumberFormat="0" applyFill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15" borderId="0" applyNumberFormat="0" applyBorder="0" applyAlignment="0" applyProtection="0">
      <alignment vertical="center"/>
    </xf>
    <xf numFmtId="0" fontId="46" fillId="15" borderId="0" applyNumberFormat="0" applyBorder="0" applyAlignment="0" applyProtection="0">
      <alignment vertical="center"/>
    </xf>
    <xf numFmtId="0" fontId="46" fillId="28" borderId="0" applyNumberFormat="0" applyBorder="0" applyAlignment="0" applyProtection="0">
      <alignment vertical="center"/>
    </xf>
    <xf numFmtId="0" fontId="46" fillId="28" borderId="0" applyNumberFormat="0" applyBorder="0" applyAlignment="0" applyProtection="0">
      <alignment vertical="center"/>
    </xf>
    <xf numFmtId="0" fontId="46" fillId="12" borderId="0" applyNumberFormat="0" applyBorder="0" applyAlignment="0" applyProtection="0">
      <alignment vertical="center"/>
    </xf>
    <xf numFmtId="0" fontId="46" fillId="12" borderId="0" applyNumberFormat="0" applyBorder="0" applyAlignment="0" applyProtection="0">
      <alignment vertical="center"/>
    </xf>
    <xf numFmtId="0" fontId="46" fillId="22" borderId="0" applyNumberFormat="0" applyBorder="0" applyAlignment="0" applyProtection="0">
      <alignment vertical="center"/>
    </xf>
    <xf numFmtId="0" fontId="46" fillId="22" borderId="0" applyNumberFormat="0" applyBorder="0" applyAlignment="0" applyProtection="0">
      <alignment vertical="center"/>
    </xf>
    <xf numFmtId="0" fontId="46" fillId="27" borderId="0" applyNumberFormat="0" applyBorder="0" applyAlignment="0" applyProtection="0">
      <alignment vertical="center"/>
    </xf>
    <xf numFmtId="0" fontId="46" fillId="27" borderId="0" applyNumberFormat="0" applyBorder="0" applyAlignment="0" applyProtection="0">
      <alignment vertical="center"/>
    </xf>
    <xf numFmtId="0" fontId="40" fillId="0" borderId="0"/>
    <xf numFmtId="0" fontId="23" fillId="0" borderId="0"/>
    <xf numFmtId="0" fontId="23" fillId="0" borderId="0"/>
    <xf numFmtId="0" fontId="43" fillId="0" borderId="0"/>
    <xf numFmtId="0" fontId="23" fillId="0" borderId="0"/>
    <xf numFmtId="0" fontId="40" fillId="0" borderId="0"/>
    <xf numFmtId="0" fontId="46" fillId="10" borderId="0" applyNumberFormat="0" applyBorder="0" applyAlignment="0" applyProtection="0">
      <alignment vertical="center"/>
    </xf>
    <xf numFmtId="0" fontId="46" fillId="10" borderId="0" applyNumberFormat="0" applyBorder="0" applyAlignment="0" applyProtection="0">
      <alignment vertical="center"/>
    </xf>
    <xf numFmtId="0" fontId="46" fillId="7" borderId="0" applyNumberFormat="0" applyBorder="0" applyAlignment="0" applyProtection="0">
      <alignment vertical="center"/>
    </xf>
    <xf numFmtId="0" fontId="46" fillId="7" borderId="0" applyNumberFormat="0" applyBorder="0" applyAlignment="0" applyProtection="0">
      <alignment vertical="center"/>
    </xf>
    <xf numFmtId="0" fontId="46" fillId="4" borderId="0" applyNumberFormat="0" applyBorder="0" applyAlignment="0" applyProtection="0">
      <alignment vertical="center"/>
    </xf>
    <xf numFmtId="0" fontId="46" fillId="4" borderId="0" applyNumberFormat="0" applyBorder="0" applyAlignment="0" applyProtection="0">
      <alignment vertical="center"/>
    </xf>
    <xf numFmtId="0" fontId="46" fillId="12" borderId="0" applyNumberFormat="0" applyBorder="0" applyAlignment="0" applyProtection="0">
      <alignment vertical="center"/>
    </xf>
    <xf numFmtId="0" fontId="46" fillId="12" borderId="0" applyNumberFormat="0" applyBorder="0" applyAlignment="0" applyProtection="0">
      <alignment vertical="center"/>
    </xf>
    <xf numFmtId="0" fontId="46" fillId="22" borderId="0" applyNumberFormat="0" applyBorder="0" applyAlignment="0" applyProtection="0">
      <alignment vertical="center"/>
    </xf>
    <xf numFmtId="0" fontId="46" fillId="22" borderId="0" applyNumberFormat="0" applyBorder="0" applyAlignment="0" applyProtection="0">
      <alignment vertical="center"/>
    </xf>
    <xf numFmtId="0" fontId="46" fillId="7" borderId="0" applyNumberFormat="0" applyBorder="0" applyAlignment="0" applyProtection="0">
      <alignment vertical="center"/>
    </xf>
    <xf numFmtId="0" fontId="46" fillId="7" borderId="0" applyNumberFormat="0" applyBorder="0" applyAlignment="0" applyProtection="0">
      <alignment vertical="center"/>
    </xf>
    <xf numFmtId="0" fontId="34" fillId="24" borderId="0" applyNumberFormat="0" applyBorder="0" applyAlignment="0" applyProtection="0">
      <alignment vertical="center"/>
    </xf>
    <xf numFmtId="0" fontId="34" fillId="24" borderId="0" applyNumberFormat="0" applyBorder="0" applyAlignment="0" applyProtection="0">
      <alignment vertical="center"/>
    </xf>
    <xf numFmtId="0" fontId="34" fillId="7" borderId="0" applyNumberFormat="0" applyBorder="0" applyAlignment="0" applyProtection="0">
      <alignment vertical="center"/>
    </xf>
    <xf numFmtId="0" fontId="34" fillId="7" borderId="0" applyNumberFormat="0" applyBorder="0" applyAlignment="0" applyProtection="0">
      <alignment vertical="center"/>
    </xf>
    <xf numFmtId="0" fontId="34" fillId="4" borderId="0" applyNumberFormat="0" applyBorder="0" applyAlignment="0" applyProtection="0">
      <alignment vertical="center"/>
    </xf>
    <xf numFmtId="0" fontId="34" fillId="4" borderId="0" applyNumberFormat="0" applyBorder="0" applyAlignment="0" applyProtection="0">
      <alignment vertical="center"/>
    </xf>
    <xf numFmtId="0" fontId="34" fillId="26" borderId="0" applyNumberFormat="0" applyBorder="0" applyAlignment="0" applyProtection="0">
      <alignment vertical="center"/>
    </xf>
    <xf numFmtId="0" fontId="34" fillId="26" borderId="0" applyNumberFormat="0" applyBorder="0" applyAlignment="0" applyProtection="0">
      <alignment vertical="center"/>
    </xf>
    <xf numFmtId="0" fontId="34" fillId="10" borderId="0" applyNumberFormat="0" applyBorder="0" applyAlignment="0" applyProtection="0">
      <alignment vertical="center"/>
    </xf>
    <xf numFmtId="0" fontId="34" fillId="10" borderId="0" applyNumberFormat="0" applyBorder="0" applyAlignment="0" applyProtection="0">
      <alignment vertical="center"/>
    </xf>
    <xf numFmtId="0" fontId="34" fillId="7" borderId="0" applyNumberFormat="0" applyBorder="0" applyAlignment="0" applyProtection="0">
      <alignment vertical="center"/>
    </xf>
    <xf numFmtId="0" fontId="34" fillId="7" borderId="0" applyNumberFormat="0" applyBorder="0" applyAlignment="0" applyProtection="0">
      <alignment vertical="center"/>
    </xf>
    <xf numFmtId="0" fontId="34" fillId="24" borderId="0" applyNumberFormat="0" applyBorder="0" applyAlignment="0" applyProtection="0">
      <alignment vertical="center"/>
    </xf>
    <xf numFmtId="0" fontId="34" fillId="24" borderId="0" applyNumberFormat="0" applyBorder="0" applyAlignment="0" applyProtection="0">
      <alignment vertical="center"/>
    </xf>
    <xf numFmtId="0" fontId="34" fillId="7" borderId="0" applyNumberFormat="0" applyBorder="0" applyAlignment="0" applyProtection="0">
      <alignment vertical="center"/>
    </xf>
    <xf numFmtId="0" fontId="34" fillId="7" borderId="0" applyNumberFormat="0" applyBorder="0" applyAlignment="0" applyProtection="0">
      <alignment vertical="center"/>
    </xf>
    <xf numFmtId="0" fontId="34" fillId="8" borderId="0" applyNumberFormat="0" applyBorder="0" applyAlignment="0" applyProtection="0">
      <alignment vertical="center"/>
    </xf>
    <xf numFmtId="0" fontId="34" fillId="8" borderId="0" applyNumberFormat="0" applyBorder="0" applyAlignment="0" applyProtection="0">
      <alignment vertical="center"/>
    </xf>
    <xf numFmtId="0" fontId="34" fillId="24" borderId="0" applyNumberFormat="0" applyBorder="0" applyAlignment="0" applyProtection="0">
      <alignment vertical="center"/>
    </xf>
    <xf numFmtId="0" fontId="34" fillId="24" borderId="0" applyNumberFormat="0" applyBorder="0" applyAlignment="0" applyProtection="0">
      <alignment vertical="center"/>
    </xf>
    <xf numFmtId="0" fontId="34" fillId="10" borderId="0" applyNumberFormat="0" applyBorder="0" applyAlignment="0" applyProtection="0">
      <alignment vertical="center"/>
    </xf>
    <xf numFmtId="0" fontId="34" fillId="10" borderId="0" applyNumberFormat="0" applyBorder="0" applyAlignment="0" applyProtection="0">
      <alignment vertical="center"/>
    </xf>
    <xf numFmtId="0" fontId="34" fillId="9" borderId="0" applyNumberFormat="0" applyBorder="0" applyAlignment="0" applyProtection="0">
      <alignment vertical="center"/>
    </xf>
    <xf numFmtId="0" fontId="34" fillId="9" borderId="0" applyNumberFormat="0" applyBorder="0" applyAlignment="0" applyProtection="0">
      <alignment vertical="center"/>
    </xf>
    <xf numFmtId="0" fontId="1" fillId="0" borderId="0"/>
    <xf numFmtId="0" fontId="42" fillId="0" borderId="0"/>
    <xf numFmtId="0" fontId="1" fillId="0" borderId="0"/>
    <xf numFmtId="38" fontId="1" fillId="0" borderId="0" applyFont="0" applyFill="0" applyBorder="0" applyAlignment="0" applyProtection="0"/>
    <xf numFmtId="0" fontId="45" fillId="0" borderId="0"/>
    <xf numFmtId="0" fontId="44" fillId="0" borderId="0"/>
    <xf numFmtId="165" fontId="34" fillId="0" borderId="0" applyFont="0" applyFill="0" applyBorder="0" applyAlignment="0" applyProtection="0">
      <alignment vertical="center"/>
    </xf>
    <xf numFmtId="0" fontId="40" fillId="0" borderId="0">
      <alignment vertical="center"/>
    </xf>
    <xf numFmtId="0" fontId="40" fillId="0" borderId="0">
      <alignment vertical="center"/>
    </xf>
    <xf numFmtId="0" fontId="40" fillId="0" borderId="0">
      <alignment vertical="center"/>
    </xf>
    <xf numFmtId="0" fontId="40" fillId="0" borderId="0">
      <alignment vertical="center"/>
    </xf>
    <xf numFmtId="0" fontId="40" fillId="0" borderId="0">
      <alignment vertical="center"/>
    </xf>
    <xf numFmtId="0" fontId="40" fillId="0" borderId="0">
      <alignment vertical="center"/>
    </xf>
    <xf numFmtId="0" fontId="40" fillId="0" borderId="0">
      <alignment vertical="center"/>
    </xf>
    <xf numFmtId="0" fontId="40" fillId="0" borderId="0">
      <alignment vertical="center"/>
    </xf>
    <xf numFmtId="0" fontId="40" fillId="0" borderId="0">
      <alignment vertical="center"/>
    </xf>
    <xf numFmtId="0" fontId="33" fillId="0" borderId="0"/>
    <xf numFmtId="0" fontId="45" fillId="0" borderId="0"/>
    <xf numFmtId="0" fontId="45" fillId="0" borderId="0"/>
    <xf numFmtId="0" fontId="45" fillId="0" borderId="0"/>
    <xf numFmtId="0" fontId="33" fillId="0" borderId="0"/>
    <xf numFmtId="165" fontId="33" fillId="0" borderId="0" applyFont="0" applyFill="0" applyBorder="0" applyAlignment="0" applyProtection="0"/>
    <xf numFmtId="165" fontId="34" fillId="0" borderId="0" applyFont="0" applyFill="0" applyBorder="0" applyAlignment="0" applyProtection="0">
      <alignment vertical="center"/>
    </xf>
    <xf numFmtId="165" fontId="34" fillId="0" borderId="0" applyFont="0" applyFill="0" applyBorder="0" applyAlignment="0" applyProtection="0">
      <alignment vertical="center"/>
    </xf>
    <xf numFmtId="0" fontId="40" fillId="0" borderId="0">
      <alignment vertical="center"/>
    </xf>
    <xf numFmtId="9" fontId="42" fillId="0" borderId="0" applyFont="0" applyFill="0" applyBorder="0" applyAlignment="0" applyProtection="0">
      <alignment vertical="center"/>
    </xf>
    <xf numFmtId="38" fontId="1" fillId="0" borderId="0" applyFont="0" applyFill="0" applyBorder="0" applyAlignment="0" applyProtection="0"/>
    <xf numFmtId="0" fontId="1" fillId="0" borderId="0"/>
    <xf numFmtId="9" fontId="42" fillId="0" borderId="0" applyFont="0" applyFill="0" applyBorder="0" applyAlignment="0" applyProtection="0">
      <alignment vertical="center"/>
    </xf>
    <xf numFmtId="165" fontId="42" fillId="0" borderId="0" applyFont="0" applyFill="0" applyBorder="0" applyAlignment="0" applyProtection="0">
      <alignment vertical="center"/>
    </xf>
    <xf numFmtId="0" fontId="42" fillId="0" borderId="0"/>
    <xf numFmtId="165" fontId="42" fillId="0" borderId="0" applyFont="0" applyFill="0" applyBorder="0" applyAlignment="0" applyProtection="0">
      <alignment vertical="center"/>
    </xf>
    <xf numFmtId="165" fontId="33" fillId="0" borderId="0" applyFont="0" applyFill="0" applyBorder="0" applyAlignment="0" applyProtection="0"/>
    <xf numFmtId="0" fontId="45" fillId="0" borderId="0"/>
    <xf numFmtId="0" fontId="45" fillId="0" borderId="0"/>
    <xf numFmtId="0" fontId="45" fillId="0" borderId="0"/>
    <xf numFmtId="0" fontId="40" fillId="0" borderId="0">
      <alignment vertical="center"/>
    </xf>
    <xf numFmtId="38" fontId="1" fillId="0" borderId="0" applyFont="0" applyFill="0" applyBorder="0" applyAlignment="0" applyProtection="0"/>
    <xf numFmtId="0" fontId="40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165" fontId="42" fillId="0" borderId="0" applyFont="0" applyFill="0" applyBorder="0" applyAlignment="0" applyProtection="0">
      <alignment vertical="center"/>
    </xf>
    <xf numFmtId="0" fontId="64" fillId="0" borderId="0">
      <alignment vertical="center"/>
    </xf>
    <xf numFmtId="0" fontId="40" fillId="0" borderId="0">
      <alignment vertical="center"/>
    </xf>
    <xf numFmtId="165" fontId="42" fillId="0" borderId="0" applyFont="0" applyFill="0" applyBorder="0" applyAlignment="0" applyProtection="0">
      <alignment vertical="center"/>
    </xf>
    <xf numFmtId="0" fontId="33" fillId="0" borderId="0"/>
    <xf numFmtId="165" fontId="42" fillId="0" borderId="0" applyFont="0" applyFill="0" applyBorder="0" applyAlignment="0" applyProtection="0">
      <alignment vertical="center"/>
    </xf>
    <xf numFmtId="0" fontId="44" fillId="0" borderId="0"/>
    <xf numFmtId="38" fontId="1" fillId="0" borderId="0" applyFont="0" applyFill="0" applyBorder="0" applyAlignment="0" applyProtection="0"/>
    <xf numFmtId="165" fontId="34" fillId="0" borderId="0" applyFont="0" applyFill="0" applyBorder="0" applyAlignment="0" applyProtection="0">
      <alignment vertical="center"/>
    </xf>
    <xf numFmtId="0" fontId="42" fillId="0" borderId="0"/>
    <xf numFmtId="0" fontId="42" fillId="0" borderId="0"/>
    <xf numFmtId="0" fontId="40" fillId="0" borderId="0">
      <alignment vertical="center"/>
    </xf>
    <xf numFmtId="0" fontId="42" fillId="0" borderId="0"/>
    <xf numFmtId="165" fontId="40" fillId="0" borderId="0" applyFont="0" applyFill="0" applyBorder="0" applyAlignment="0" applyProtection="0">
      <alignment vertical="center"/>
    </xf>
    <xf numFmtId="165" fontId="33" fillId="0" borderId="0" applyFont="0" applyFill="0" applyBorder="0" applyAlignment="0" applyProtection="0"/>
    <xf numFmtId="165" fontId="40" fillId="0" borderId="0" applyFont="0" applyFill="0" applyBorder="0" applyAlignment="0" applyProtection="0">
      <alignment vertical="center"/>
    </xf>
    <xf numFmtId="165" fontId="34" fillId="0" borderId="0" applyFont="0" applyFill="0" applyBorder="0" applyAlignment="0" applyProtection="0">
      <alignment vertical="center"/>
    </xf>
    <xf numFmtId="38" fontId="1" fillId="0" borderId="0" applyFont="0" applyFill="0" applyBorder="0" applyAlignment="0" applyProtection="0"/>
    <xf numFmtId="165" fontId="34" fillId="0" borderId="0" applyFont="0" applyFill="0" applyBorder="0" applyAlignment="0" applyProtection="0">
      <alignment vertical="center"/>
    </xf>
    <xf numFmtId="165" fontId="40" fillId="0" borderId="0" applyFont="0" applyFill="0" applyBorder="0" applyAlignment="0" applyProtection="0">
      <alignment vertical="center"/>
    </xf>
    <xf numFmtId="165" fontId="33" fillId="0" borderId="0" applyFont="0" applyFill="0" applyBorder="0" applyAlignment="0" applyProtection="0"/>
    <xf numFmtId="0" fontId="44" fillId="0" borderId="0"/>
    <xf numFmtId="0" fontId="33" fillId="0" borderId="0"/>
    <xf numFmtId="0" fontId="44" fillId="0" borderId="0"/>
    <xf numFmtId="0" fontId="44" fillId="0" borderId="0"/>
    <xf numFmtId="0" fontId="40" fillId="0" borderId="0">
      <alignment vertical="center"/>
    </xf>
    <xf numFmtId="0" fontId="33" fillId="0" borderId="0"/>
    <xf numFmtId="0" fontId="42" fillId="0" borderId="0"/>
    <xf numFmtId="0" fontId="42" fillId="0" borderId="0"/>
    <xf numFmtId="165" fontId="42" fillId="0" borderId="0" applyFont="0" applyFill="0" applyBorder="0" applyAlignment="0" applyProtection="0">
      <alignment vertical="center"/>
    </xf>
    <xf numFmtId="0" fontId="64" fillId="0" borderId="0">
      <alignment vertical="center"/>
    </xf>
    <xf numFmtId="165" fontId="33" fillId="0" borderId="0" applyFont="0" applyFill="0" applyBorder="0" applyAlignment="0" applyProtection="0"/>
    <xf numFmtId="0" fontId="1" fillId="0" borderId="0"/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40" fillId="0" borderId="0">
      <alignment vertical="center"/>
    </xf>
    <xf numFmtId="0" fontId="40" fillId="0" borderId="0">
      <alignment vertical="center"/>
    </xf>
    <xf numFmtId="0" fontId="45" fillId="0" borderId="0"/>
    <xf numFmtId="0" fontId="44" fillId="0" borderId="0"/>
    <xf numFmtId="0" fontId="33" fillId="0" borderId="0"/>
    <xf numFmtId="165" fontId="40" fillId="0" borderId="0" applyFont="0" applyFill="0" applyBorder="0" applyAlignment="0" applyProtection="0">
      <alignment vertical="center"/>
    </xf>
    <xf numFmtId="0" fontId="40" fillId="0" borderId="0">
      <alignment vertical="center"/>
    </xf>
    <xf numFmtId="0" fontId="42" fillId="0" borderId="0"/>
    <xf numFmtId="0" fontId="42" fillId="0" borderId="0"/>
    <xf numFmtId="165" fontId="42" fillId="0" borderId="0" applyFont="0" applyFill="0" applyBorder="0" applyAlignment="0" applyProtection="0">
      <alignment vertical="center"/>
    </xf>
    <xf numFmtId="0" fontId="45" fillId="0" borderId="0"/>
  </cellStyleXfs>
  <cellXfs count="287">
    <xf numFmtId="0" fontId="0" fillId="0" borderId="0" xfId="0"/>
    <xf numFmtId="0" fontId="2" fillId="2" borderId="0" xfId="0" applyFont="1" applyFill="1" applyAlignment="1">
      <alignment vertical="center"/>
    </xf>
    <xf numFmtId="0" fontId="2" fillId="2" borderId="0" xfId="0" applyFont="1" applyFill="1" applyBorder="1" applyAlignment="1">
      <alignment vertical="center"/>
    </xf>
    <xf numFmtId="0" fontId="2" fillId="2" borderId="1" xfId="0" applyFont="1" applyFill="1" applyBorder="1" applyAlignment="1">
      <alignment vertical="center"/>
    </xf>
    <xf numFmtId="0" fontId="3" fillId="2" borderId="0" xfId="0" applyFont="1" applyFill="1" applyAlignment="1">
      <alignment vertical="center"/>
    </xf>
    <xf numFmtId="167" fontId="2" fillId="2" borderId="0" xfId="0" applyNumberFormat="1" applyFont="1" applyFill="1" applyBorder="1" applyAlignment="1">
      <alignment horizontal="right" vertical="center"/>
    </xf>
    <xf numFmtId="168" fontId="3" fillId="2" borderId="0" xfId="0" applyNumberFormat="1" applyFont="1" applyFill="1" applyBorder="1" applyAlignment="1">
      <alignment horizontal="right" vertical="center"/>
    </xf>
    <xf numFmtId="0" fontId="2" fillId="2" borderId="0" xfId="0" applyFont="1" applyFill="1" applyBorder="1" applyAlignment="1">
      <alignment horizontal="right" vertical="center"/>
    </xf>
    <xf numFmtId="0" fontId="2" fillId="2" borderId="0" xfId="0" applyFont="1" applyFill="1" applyBorder="1" applyAlignment="1">
      <alignment horizontal="centerContinuous" vertical="center"/>
    </xf>
    <xf numFmtId="0" fontId="5" fillId="2" borderId="0" xfId="0" applyFont="1" applyFill="1" applyBorder="1" applyAlignment="1">
      <alignment vertical="center"/>
    </xf>
    <xf numFmtId="0" fontId="2" fillId="0" borderId="0" xfId="0" applyFont="1" applyFill="1" applyBorder="1" applyAlignment="1">
      <alignment vertical="center"/>
    </xf>
    <xf numFmtId="0" fontId="2" fillId="0" borderId="0" xfId="0" applyFont="1" applyFill="1" applyAlignment="1">
      <alignment vertical="center"/>
    </xf>
    <xf numFmtId="0" fontId="4" fillId="0" borderId="1" xfId="0" applyFont="1" applyFill="1" applyBorder="1" applyAlignment="1">
      <alignment vertical="center"/>
    </xf>
    <xf numFmtId="0" fontId="2" fillId="0" borderId="0" xfId="0" applyFont="1"/>
    <xf numFmtId="0" fontId="2" fillId="2" borderId="0" xfId="0" applyFont="1" applyFill="1" applyBorder="1" applyAlignment="1">
      <alignment horizontal="center" vertical="center"/>
    </xf>
    <xf numFmtId="0" fontId="3" fillId="0" borderId="0" xfId="0" applyFont="1" applyFill="1" applyBorder="1" applyAlignment="1">
      <alignment vertical="center"/>
    </xf>
    <xf numFmtId="0" fontId="2" fillId="0" borderId="1" xfId="0" applyFont="1" applyFill="1" applyBorder="1" applyAlignment="1">
      <alignment vertical="center"/>
    </xf>
    <xf numFmtId="0" fontId="2" fillId="0" borderId="0" xfId="0" applyFont="1" applyFill="1" applyAlignment="1">
      <alignment horizontal="center" vertical="center"/>
    </xf>
    <xf numFmtId="0" fontId="2" fillId="0" borderId="0" xfId="0" applyFont="1" applyFill="1" applyAlignment="1">
      <alignment horizontal="left" vertical="center"/>
    </xf>
    <xf numFmtId="0" fontId="3" fillId="2" borderId="0" xfId="0" applyFont="1" applyFill="1" applyBorder="1" applyAlignment="1">
      <alignment vertical="center"/>
    </xf>
    <xf numFmtId="0" fontId="7" fillId="2" borderId="0" xfId="0" applyFont="1" applyFill="1" applyBorder="1" applyAlignment="1">
      <alignment horizontal="center" vertical="center"/>
    </xf>
    <xf numFmtId="0" fontId="2" fillId="2" borderId="0" xfId="0" quotePrefix="1" applyFont="1" applyFill="1" applyAlignment="1">
      <alignment vertical="center"/>
    </xf>
    <xf numFmtId="0" fontId="3" fillId="2" borderId="0" xfId="0" quotePrefix="1" applyFont="1" applyFill="1" applyBorder="1" applyAlignment="1">
      <alignment vertical="center"/>
    </xf>
    <xf numFmtId="177" fontId="2" fillId="2" borderId="0" xfId="0" applyNumberFormat="1" applyFont="1" applyFill="1" applyBorder="1" applyAlignment="1">
      <alignment vertical="center"/>
    </xf>
    <xf numFmtId="170" fontId="2" fillId="2" borderId="0" xfId="0" applyNumberFormat="1" applyFont="1" applyFill="1" applyBorder="1" applyAlignment="1">
      <alignment horizontal="right" vertical="center"/>
    </xf>
    <xf numFmtId="0" fontId="2" fillId="2" borderId="0" xfId="0" applyNumberFormat="1" applyFont="1" applyFill="1" applyBorder="1" applyAlignment="1">
      <alignment horizontal="left" vertical="center"/>
    </xf>
    <xf numFmtId="178" fontId="2" fillId="2" borderId="0" xfId="0" applyNumberFormat="1" applyFont="1" applyFill="1" applyBorder="1" applyAlignment="1">
      <alignment horizontal="right" vertical="center"/>
    </xf>
    <xf numFmtId="4" fontId="2" fillId="2" borderId="0" xfId="0" applyNumberFormat="1" applyFont="1" applyFill="1" applyBorder="1" applyAlignment="1">
      <alignment vertical="center"/>
    </xf>
    <xf numFmtId="177" fontId="2" fillId="0" borderId="0" xfId="0" applyNumberFormat="1" applyFont="1" applyFill="1" applyBorder="1" applyAlignment="1">
      <alignment vertical="center"/>
    </xf>
    <xf numFmtId="178" fontId="2" fillId="0" borderId="0" xfId="0" applyNumberFormat="1" applyFont="1" applyFill="1" applyBorder="1" applyAlignment="1">
      <alignment horizontal="right" vertical="center"/>
    </xf>
    <xf numFmtId="4" fontId="2" fillId="0" borderId="0" xfId="0" applyNumberFormat="1" applyFont="1" applyFill="1" applyBorder="1" applyAlignment="1">
      <alignment vertical="center"/>
    </xf>
    <xf numFmtId="170" fontId="2" fillId="0" borderId="0" xfId="0" applyNumberFormat="1" applyFont="1" applyFill="1" applyBorder="1" applyAlignment="1">
      <alignment horizontal="right" vertical="center"/>
    </xf>
    <xf numFmtId="0" fontId="2" fillId="0" borderId="0" xfId="0" applyNumberFormat="1" applyFont="1" applyFill="1" applyBorder="1" applyAlignment="1">
      <alignment horizontal="left" vertical="center"/>
    </xf>
    <xf numFmtId="0" fontId="2" fillId="0" borderId="0" xfId="0" applyFont="1" applyFill="1"/>
    <xf numFmtId="0" fontId="2" fillId="0" borderId="0" xfId="0" quotePrefix="1" applyFont="1" applyFill="1" applyAlignment="1">
      <alignment vertical="center"/>
    </xf>
    <xf numFmtId="178" fontId="2" fillId="0" borderId="0" xfId="0" applyNumberFormat="1" applyFont="1" applyFill="1" applyBorder="1" applyAlignment="1">
      <alignment vertical="center"/>
    </xf>
    <xf numFmtId="4" fontId="4" fillId="0" borderId="1" xfId="0" applyNumberFormat="1" applyFont="1" applyFill="1" applyBorder="1" applyAlignment="1">
      <alignment vertical="center"/>
    </xf>
    <xf numFmtId="0" fontId="4" fillId="0" borderId="1" xfId="0" applyNumberFormat="1" applyFont="1" applyFill="1" applyBorder="1" applyAlignment="1">
      <alignment horizontal="left" vertical="center"/>
    </xf>
    <xf numFmtId="178" fontId="2" fillId="0" borderId="2" xfId="0" applyNumberFormat="1" applyFont="1" applyFill="1" applyBorder="1" applyAlignment="1">
      <alignment vertical="center"/>
    </xf>
    <xf numFmtId="181" fontId="2" fillId="2" borderId="0" xfId="0" applyNumberFormat="1" applyFont="1" applyFill="1" applyAlignment="1">
      <alignment vertical="center"/>
    </xf>
    <xf numFmtId="182" fontId="2" fillId="0" borderId="0" xfId="0" applyNumberFormat="1" applyFont="1" applyFill="1" applyBorder="1" applyAlignment="1">
      <alignment horizontal="center" vertical="center"/>
    </xf>
    <xf numFmtId="170" fontId="2" fillId="0" borderId="0" xfId="0" applyNumberFormat="1" applyFont="1" applyFill="1" applyBorder="1" applyAlignment="1">
      <alignment horizontal="right" vertical="center"/>
    </xf>
    <xf numFmtId="170" fontId="2" fillId="2" borderId="0" xfId="0" applyNumberFormat="1" applyFont="1" applyFill="1" applyBorder="1" applyAlignment="1">
      <alignment horizontal="right" vertical="center"/>
    </xf>
    <xf numFmtId="0" fontId="2" fillId="0" borderId="0" xfId="0" applyFont="1" applyFill="1" applyAlignment="1">
      <alignment horizontal="center" vertical="center"/>
    </xf>
    <xf numFmtId="178" fontId="4" fillId="0" borderId="1" xfId="0" applyNumberFormat="1" applyFont="1" applyFill="1" applyBorder="1" applyAlignment="1">
      <alignment vertical="center"/>
    </xf>
    <xf numFmtId="0" fontId="0" fillId="0" borderId="0" xfId="0"/>
    <xf numFmtId="0" fontId="2" fillId="2" borderId="0" xfId="0" applyFont="1" applyFill="1" applyAlignment="1">
      <alignment vertical="center"/>
    </xf>
    <xf numFmtId="0" fontId="2" fillId="2" borderId="0" xfId="0" applyFont="1" applyFill="1" applyBorder="1" applyAlignment="1">
      <alignment vertical="center"/>
    </xf>
    <xf numFmtId="0" fontId="4" fillId="2" borderId="0" xfId="0" applyFont="1" applyFill="1" applyBorder="1" applyAlignment="1">
      <alignment vertical="center"/>
    </xf>
    <xf numFmtId="0" fontId="4" fillId="2" borderId="0" xfId="0" applyFont="1" applyFill="1" applyAlignment="1">
      <alignment vertical="center"/>
    </xf>
    <xf numFmtId="0" fontId="2" fillId="0" borderId="0" xfId="0" applyFont="1" applyFill="1" applyBorder="1" applyAlignment="1">
      <alignment vertical="center"/>
    </xf>
    <xf numFmtId="0" fontId="2" fillId="0" borderId="0" xfId="0" applyFont="1" applyFill="1" applyAlignment="1">
      <alignment vertical="center"/>
    </xf>
    <xf numFmtId="167" fontId="2" fillId="0" borderId="0" xfId="0" applyNumberFormat="1" applyFont="1" applyFill="1" applyBorder="1" applyAlignment="1">
      <alignment horizontal="right" vertical="center"/>
    </xf>
    <xf numFmtId="169" fontId="4" fillId="2" borderId="0" xfId="0" applyNumberFormat="1" applyFont="1" applyFill="1" applyBorder="1" applyAlignment="1">
      <alignment horizontal="right" vertical="center"/>
    </xf>
    <xf numFmtId="167" fontId="4" fillId="0" borderId="0" xfId="0" applyNumberFormat="1" applyFont="1" applyFill="1" applyBorder="1" applyAlignment="1">
      <alignment horizontal="right" vertical="center"/>
    </xf>
    <xf numFmtId="0" fontId="4" fillId="0" borderId="0" xfId="0" applyFont="1" applyFill="1" applyBorder="1" applyAlignment="1">
      <alignment vertical="center"/>
    </xf>
    <xf numFmtId="0" fontId="6" fillId="0" borderId="0" xfId="0" applyFont="1" applyFill="1" applyBorder="1" applyAlignment="1">
      <alignment vertical="center"/>
    </xf>
    <xf numFmtId="169" fontId="2" fillId="2" borderId="0" xfId="0" applyNumberFormat="1" applyFont="1" applyFill="1" applyBorder="1" applyAlignment="1">
      <alignment horizontal="right" vertical="center"/>
    </xf>
    <xf numFmtId="169" fontId="2" fillId="0" borderId="0" xfId="0" applyNumberFormat="1" applyFont="1" applyFill="1" applyBorder="1" applyAlignment="1">
      <alignment horizontal="right" vertical="center"/>
    </xf>
    <xf numFmtId="0" fontId="2" fillId="0" borderId="0" xfId="0" applyFont="1" applyFill="1" applyBorder="1" applyAlignment="1">
      <alignment horizontal="center" vertical="center"/>
    </xf>
    <xf numFmtId="169" fontId="2" fillId="0" borderId="0" xfId="0" applyNumberFormat="1" applyFont="1" applyFill="1" applyBorder="1" applyAlignment="1">
      <alignment vertical="center"/>
    </xf>
    <xf numFmtId="0" fontId="4" fillId="0" borderId="1" xfId="0" applyFont="1" applyFill="1" applyBorder="1" applyAlignment="1">
      <alignment vertical="center"/>
    </xf>
    <xf numFmtId="0" fontId="2" fillId="0" borderId="0" xfId="0" applyFont="1"/>
    <xf numFmtId="0" fontId="2" fillId="2" borderId="0" xfId="0" applyFont="1" applyFill="1" applyBorder="1" applyAlignment="1">
      <alignment horizontal="center" vertical="center"/>
    </xf>
    <xf numFmtId="0" fontId="3" fillId="0" borderId="0" xfId="0" applyFont="1" applyFill="1" applyBorder="1" applyAlignment="1">
      <alignment vertical="center"/>
    </xf>
    <xf numFmtId="0" fontId="2" fillId="0" borderId="1" xfId="0" applyFont="1" applyFill="1" applyBorder="1" applyAlignment="1">
      <alignment vertical="center"/>
    </xf>
    <xf numFmtId="0" fontId="3" fillId="2" borderId="0" xfId="0" applyFont="1" applyFill="1" applyBorder="1" applyAlignment="1">
      <alignment vertical="center"/>
    </xf>
    <xf numFmtId="0" fontId="7" fillId="2" borderId="0" xfId="0" applyFont="1" applyFill="1" applyBorder="1" applyAlignment="1">
      <alignment horizontal="center" vertical="center"/>
    </xf>
    <xf numFmtId="177" fontId="2" fillId="2" borderId="0" xfId="0" applyNumberFormat="1" applyFont="1" applyFill="1" applyBorder="1" applyAlignment="1">
      <alignment vertical="center"/>
    </xf>
    <xf numFmtId="177" fontId="2" fillId="0" borderId="0" xfId="0" applyNumberFormat="1" applyFont="1" applyFill="1" applyBorder="1" applyAlignment="1">
      <alignment vertical="center"/>
    </xf>
    <xf numFmtId="178" fontId="2" fillId="0" borderId="0" xfId="0" applyNumberFormat="1" applyFont="1" applyFill="1" applyBorder="1" applyAlignment="1">
      <alignment horizontal="right" vertical="center"/>
    </xf>
    <xf numFmtId="4" fontId="2" fillId="0" borderId="0" xfId="0" applyNumberFormat="1" applyFont="1" applyFill="1" applyBorder="1" applyAlignment="1">
      <alignment vertical="center"/>
    </xf>
    <xf numFmtId="170" fontId="2" fillId="0" borderId="0" xfId="0" applyNumberFormat="1" applyFont="1" applyFill="1" applyBorder="1" applyAlignment="1">
      <alignment horizontal="right" vertical="center"/>
    </xf>
    <xf numFmtId="0" fontId="2" fillId="0" borderId="0" xfId="0" applyNumberFormat="1" applyFont="1" applyFill="1" applyBorder="1" applyAlignment="1">
      <alignment horizontal="left" vertical="center"/>
    </xf>
    <xf numFmtId="179" fontId="2" fillId="0" borderId="0" xfId="0" applyNumberFormat="1" applyFont="1" applyFill="1" applyBorder="1" applyAlignment="1">
      <alignment vertical="center"/>
    </xf>
    <xf numFmtId="181" fontId="2" fillId="2" borderId="0" xfId="0" applyNumberFormat="1" applyFont="1" applyFill="1" applyAlignment="1">
      <alignment vertical="center"/>
    </xf>
    <xf numFmtId="182" fontId="2" fillId="0" borderId="0" xfId="0" applyNumberFormat="1" applyFont="1" applyFill="1" applyBorder="1" applyAlignment="1">
      <alignment horizontal="center" vertical="center"/>
    </xf>
    <xf numFmtId="170" fontId="4" fillId="0" borderId="1" xfId="0" applyNumberFormat="1" applyFont="1" applyFill="1" applyBorder="1" applyAlignment="1">
      <alignment vertical="center"/>
    </xf>
    <xf numFmtId="0" fontId="65" fillId="2" borderId="0" xfId="0" applyFont="1" applyFill="1" applyBorder="1" applyAlignment="1">
      <alignment vertical="center"/>
    </xf>
    <xf numFmtId="188" fontId="65" fillId="0" borderId="0" xfId="516" applyNumberFormat="1" applyFont="1" applyFill="1" applyAlignment="1">
      <alignment horizontal="right" vertical="center"/>
    </xf>
    <xf numFmtId="169" fontId="65" fillId="2" borderId="0" xfId="0" applyNumberFormat="1" applyFont="1" applyFill="1" applyBorder="1" applyAlignment="1">
      <alignment horizontal="right" vertical="center"/>
    </xf>
    <xf numFmtId="170" fontId="66" fillId="0" borderId="1" xfId="0" applyNumberFormat="1" applyFont="1" applyFill="1" applyBorder="1" applyAlignment="1">
      <alignment vertical="center"/>
    </xf>
    <xf numFmtId="0" fontId="65" fillId="0" borderId="0" xfId="0" applyFont="1" applyFill="1" applyBorder="1" applyAlignment="1">
      <alignment vertical="center"/>
    </xf>
    <xf numFmtId="169" fontId="66" fillId="0" borderId="1" xfId="0" applyNumberFormat="1" applyFont="1" applyFill="1" applyBorder="1" applyAlignment="1">
      <alignment vertical="center"/>
    </xf>
    <xf numFmtId="0" fontId="69" fillId="0" borderId="0" xfId="0" applyFont="1" applyFill="1" applyAlignment="1">
      <alignment horizontal="left" vertical="center"/>
    </xf>
    <xf numFmtId="0" fontId="2" fillId="2" borderId="28" xfId="0" applyFont="1" applyFill="1" applyBorder="1" applyAlignment="1">
      <alignment vertical="center"/>
    </xf>
    <xf numFmtId="0" fontId="65" fillId="0" borderId="0" xfId="0" applyFont="1" applyFill="1" applyBorder="1" applyAlignment="1">
      <alignment horizontal="center" vertical="center"/>
    </xf>
    <xf numFmtId="0" fontId="66" fillId="0" borderId="0" xfId="0" applyFont="1" applyFill="1" applyBorder="1" applyAlignment="1">
      <alignment vertical="center"/>
    </xf>
    <xf numFmtId="170" fontId="65" fillId="2" borderId="0" xfId="0" applyNumberFormat="1" applyFont="1" applyFill="1" applyAlignment="1">
      <alignment vertical="center"/>
    </xf>
    <xf numFmtId="168" fontId="65" fillId="0" borderId="0" xfId="0" applyNumberFormat="1" applyFont="1" applyFill="1" applyBorder="1" applyAlignment="1">
      <alignment vertical="center"/>
    </xf>
    <xf numFmtId="169" fontId="65" fillId="0" borderId="0" xfId="0" applyNumberFormat="1" applyFont="1" applyFill="1" applyBorder="1" applyAlignment="1">
      <alignment vertical="center"/>
    </xf>
    <xf numFmtId="0" fontId="65" fillId="0" borderId="0" xfId="0" applyFont="1" applyFill="1" applyAlignment="1">
      <alignment horizontal="center" vertical="center"/>
    </xf>
    <xf numFmtId="0" fontId="67" fillId="0" borderId="0" xfId="0" applyFont="1"/>
    <xf numFmtId="168" fontId="65" fillId="2" borderId="0" xfId="0" applyNumberFormat="1" applyFont="1" applyFill="1" applyAlignment="1">
      <alignment vertical="center"/>
    </xf>
    <xf numFmtId="0" fontId="65" fillId="0" borderId="0" xfId="0" applyFont="1" applyFill="1" applyAlignment="1">
      <alignment horizontal="left" vertical="center"/>
    </xf>
    <xf numFmtId="0" fontId="66" fillId="0" borderId="1" xfId="0" applyFont="1" applyFill="1" applyBorder="1" applyAlignment="1">
      <alignment horizontal="left" vertical="center"/>
    </xf>
    <xf numFmtId="0" fontId="66" fillId="0" borderId="1" xfId="0" applyFont="1" applyFill="1" applyBorder="1" applyAlignment="1">
      <alignment vertical="center"/>
    </xf>
    <xf numFmtId="0" fontId="65" fillId="2" borderId="0" xfId="0" applyFont="1" applyFill="1" applyAlignment="1">
      <alignment vertical="center"/>
    </xf>
    <xf numFmtId="167" fontId="65" fillId="0" borderId="0" xfId="0" applyNumberFormat="1" applyFont="1" applyFill="1" applyBorder="1" applyAlignment="1">
      <alignment horizontal="right" vertical="center"/>
    </xf>
    <xf numFmtId="0" fontId="65" fillId="0" borderId="0" xfId="0" applyFont="1" applyFill="1" applyBorder="1" applyAlignment="1">
      <alignment horizontal="left" vertical="center"/>
    </xf>
    <xf numFmtId="0" fontId="66" fillId="2" borderId="0" xfId="0" applyFont="1" applyFill="1" applyBorder="1" applyAlignment="1">
      <alignment vertical="center"/>
    </xf>
    <xf numFmtId="0" fontId="65" fillId="2" borderId="8" xfId="0" applyFont="1" applyFill="1" applyBorder="1" applyAlignment="1">
      <alignment vertical="center"/>
    </xf>
    <xf numFmtId="0" fontId="66" fillId="2" borderId="0" xfId="0" applyFont="1" applyFill="1" applyAlignment="1">
      <alignment vertical="center"/>
    </xf>
    <xf numFmtId="0" fontId="65" fillId="2" borderId="7" xfId="0" applyFont="1" applyFill="1" applyBorder="1" applyAlignment="1">
      <alignment vertical="center"/>
    </xf>
    <xf numFmtId="0" fontId="65" fillId="2" borderId="2" xfId="0" applyFont="1" applyFill="1" applyBorder="1" applyAlignment="1">
      <alignment vertical="center"/>
    </xf>
    <xf numFmtId="184" fontId="65" fillId="2" borderId="2" xfId="0" applyNumberFormat="1" applyFont="1" applyFill="1" applyBorder="1" applyAlignment="1">
      <alignment vertical="center"/>
    </xf>
    <xf numFmtId="15" fontId="65" fillId="2" borderId="2" xfId="0" applyNumberFormat="1" applyFont="1" applyFill="1" applyBorder="1" applyAlignment="1">
      <alignment vertical="center"/>
    </xf>
    <xf numFmtId="0" fontId="66" fillId="2" borderId="1" xfId="0" applyFont="1" applyFill="1" applyBorder="1" applyAlignment="1">
      <alignment vertical="center"/>
    </xf>
    <xf numFmtId="0" fontId="65" fillId="2" borderId="1" xfId="0" applyFont="1" applyFill="1" applyBorder="1" applyAlignment="1">
      <alignment vertical="center"/>
    </xf>
    <xf numFmtId="0" fontId="65" fillId="2" borderId="5" xfId="0" applyFont="1" applyFill="1" applyBorder="1" applyAlignment="1">
      <alignment vertical="center"/>
    </xf>
    <xf numFmtId="0" fontId="65" fillId="0" borderId="1" xfId="0" applyFont="1" applyFill="1" applyBorder="1" applyAlignment="1">
      <alignment vertical="center"/>
    </xf>
    <xf numFmtId="0" fontId="65" fillId="0" borderId="4" xfId="0" applyFont="1" applyFill="1" applyBorder="1" applyAlignment="1">
      <alignment vertical="center"/>
    </xf>
    <xf numFmtId="0" fontId="65" fillId="0" borderId="0" xfId="0" applyFont="1" applyFill="1" applyAlignment="1">
      <alignment vertical="center"/>
    </xf>
    <xf numFmtId="0" fontId="65" fillId="0" borderId="0" xfId="0" applyFont="1" applyAlignment="1"/>
    <xf numFmtId="0" fontId="65" fillId="0" borderId="0" xfId="0" applyFont="1"/>
    <xf numFmtId="0" fontId="66" fillId="0" borderId="4" xfId="0" applyFont="1" applyFill="1" applyBorder="1" applyAlignment="1">
      <alignment vertical="center"/>
    </xf>
    <xf numFmtId="0" fontId="66" fillId="0" borderId="0" xfId="0" applyFont="1" applyFill="1" applyAlignment="1">
      <alignment vertical="center"/>
    </xf>
    <xf numFmtId="0" fontId="65" fillId="2" borderId="0" xfId="0" applyFont="1" applyFill="1" applyBorder="1" applyAlignment="1">
      <alignment horizontal="left" vertical="center"/>
    </xf>
    <xf numFmtId="0" fontId="65" fillId="2" borderId="0" xfId="0" applyFont="1" applyFill="1" applyAlignment="1">
      <alignment horizontal="left" vertical="center"/>
    </xf>
    <xf numFmtId="0" fontId="65" fillId="0" borderId="0" xfId="0" quotePrefix="1" applyFont="1" applyFill="1" applyAlignment="1">
      <alignment horizontal="left" vertical="center"/>
    </xf>
    <xf numFmtId="0" fontId="65" fillId="0" borderId="0" xfId="0" applyFont="1" applyFill="1" applyBorder="1" applyAlignment="1">
      <alignment horizontal="left" vertical="center" wrapText="1"/>
    </xf>
    <xf numFmtId="173" fontId="65" fillId="0" borderId="0" xfId="0" applyNumberFormat="1" applyFont="1" applyFill="1" applyBorder="1" applyAlignment="1">
      <alignment horizontal="left" vertical="center"/>
    </xf>
    <xf numFmtId="174" fontId="65" fillId="0" borderId="0" xfId="0" applyNumberFormat="1" applyFont="1" applyFill="1" applyBorder="1" applyAlignment="1">
      <alignment horizontal="left" vertical="center"/>
    </xf>
    <xf numFmtId="49" fontId="65" fillId="0" borderId="0" xfId="0" applyNumberFormat="1" applyFont="1" applyFill="1" applyAlignment="1">
      <alignment horizontal="left" vertical="center"/>
    </xf>
    <xf numFmtId="175" fontId="65" fillId="0" borderId="0" xfId="0" quotePrefix="1" applyNumberFormat="1" applyFont="1" applyFill="1" applyBorder="1" applyAlignment="1">
      <alignment horizontal="left" vertical="center" wrapText="1"/>
    </xf>
    <xf numFmtId="170" fontId="68" fillId="0" borderId="0" xfId="0" applyNumberFormat="1" applyFont="1" applyFill="1" applyBorder="1" applyAlignment="1">
      <alignment horizontal="left" vertical="center"/>
    </xf>
    <xf numFmtId="0" fontId="65" fillId="0" borderId="0" xfId="0" quotePrefix="1" applyFont="1" applyFill="1" applyBorder="1" applyAlignment="1">
      <alignment horizontal="left" vertical="center"/>
    </xf>
    <xf numFmtId="0" fontId="66" fillId="2" borderId="4" xfId="0" applyFont="1" applyFill="1" applyBorder="1" applyAlignment="1">
      <alignment vertical="center"/>
    </xf>
    <xf numFmtId="0" fontId="65" fillId="2" borderId="0" xfId="0" applyFont="1" applyFill="1" applyBorder="1" applyAlignment="1">
      <alignment horizontal="center" vertical="center"/>
    </xf>
    <xf numFmtId="0" fontId="65" fillId="2" borderId="0" xfId="0" applyFont="1" applyFill="1" applyAlignment="1">
      <alignment horizontal="center" vertical="center"/>
    </xf>
    <xf numFmtId="0" fontId="65" fillId="2" borderId="0" xfId="0" quotePrefix="1" applyFont="1" applyFill="1" applyAlignment="1">
      <alignment horizontal="left" vertical="center"/>
    </xf>
    <xf numFmtId="0" fontId="66" fillId="0" borderId="7" xfId="0" applyFont="1" applyFill="1" applyBorder="1" applyAlignment="1">
      <alignment vertical="center"/>
    </xf>
    <xf numFmtId="172" fontId="65" fillId="0" borderId="0" xfId="0" applyNumberFormat="1" applyFont="1" applyFill="1" applyBorder="1" applyAlignment="1">
      <alignment horizontal="left" vertical="center"/>
    </xf>
    <xf numFmtId="0" fontId="66" fillId="2" borderId="0" xfId="0" applyFont="1" applyFill="1" applyBorder="1" applyAlignment="1">
      <alignment horizontal="left" vertical="center"/>
    </xf>
    <xf numFmtId="0" fontId="66" fillId="0" borderId="0" xfId="0" applyFont="1" applyFill="1" applyBorder="1" applyAlignment="1">
      <alignment horizontal="left" vertical="center"/>
    </xf>
    <xf numFmtId="0" fontId="66" fillId="0" borderId="7" xfId="0" applyFont="1" applyFill="1" applyBorder="1" applyAlignment="1">
      <alignment horizontal="left" vertical="center"/>
    </xf>
    <xf numFmtId="0" fontId="65" fillId="0" borderId="7" xfId="0" applyFont="1" applyFill="1" applyBorder="1" applyAlignment="1">
      <alignment vertical="center"/>
    </xf>
    <xf numFmtId="183" fontId="65" fillId="0" borderId="0" xfId="0" applyNumberFormat="1" applyFont="1" applyFill="1" applyBorder="1" applyAlignment="1">
      <alignment horizontal="left" vertical="center"/>
    </xf>
    <xf numFmtId="175" fontId="65" fillId="0" borderId="0" xfId="0" quotePrefix="1" applyNumberFormat="1" applyFont="1" applyFill="1" applyBorder="1" applyAlignment="1">
      <alignment horizontal="left" vertical="center"/>
    </xf>
    <xf numFmtId="173" fontId="65" fillId="0" borderId="0" xfId="0" applyNumberFormat="1" applyFont="1" applyFill="1" applyAlignment="1">
      <alignment horizontal="left" vertical="center"/>
    </xf>
    <xf numFmtId="173" fontId="65" fillId="2" borderId="0" xfId="0" applyNumberFormat="1" applyFont="1" applyFill="1" applyAlignment="1">
      <alignment horizontal="left" vertical="center"/>
    </xf>
    <xf numFmtId="170" fontId="65" fillId="0" borderId="0" xfId="0" applyNumberFormat="1" applyFont="1" applyFill="1" applyAlignment="1">
      <alignment horizontal="left" vertical="center"/>
    </xf>
    <xf numFmtId="170" fontId="68" fillId="0" borderId="0" xfId="0" applyNumberFormat="1" applyFont="1" applyFill="1" applyAlignment="1">
      <alignment horizontal="left" vertical="center"/>
    </xf>
    <xf numFmtId="0" fontId="65" fillId="0" borderId="0" xfId="0" applyFont="1" applyFill="1" applyAlignment="1">
      <alignment horizontal="left" vertical="center" wrapText="1"/>
    </xf>
    <xf numFmtId="183" fontId="65" fillId="0" borderId="2" xfId="0" applyNumberFormat="1" applyFont="1" applyFill="1" applyBorder="1" applyAlignment="1">
      <alignment horizontal="left" vertical="center"/>
    </xf>
    <xf numFmtId="0" fontId="65" fillId="0" borderId="2" xfId="0" applyFont="1" applyFill="1" applyBorder="1" applyAlignment="1">
      <alignment vertical="center"/>
    </xf>
    <xf numFmtId="0" fontId="65" fillId="0" borderId="5" xfId="0" applyFont="1" applyFill="1" applyBorder="1" applyAlignment="1">
      <alignment vertical="center"/>
    </xf>
    <xf numFmtId="175" fontId="65" fillId="0" borderId="0" xfId="0" applyNumberFormat="1" applyFont="1" applyFill="1" applyBorder="1" applyAlignment="1">
      <alignment horizontal="left" vertical="center"/>
    </xf>
    <xf numFmtId="175" fontId="65" fillId="0" borderId="0" xfId="0" quotePrefix="1" applyNumberFormat="1" applyFont="1" applyFill="1" applyAlignment="1">
      <alignment horizontal="left" vertical="center" wrapText="1"/>
    </xf>
    <xf numFmtId="0" fontId="66" fillId="0" borderId="0" xfId="0" applyNumberFormat="1" applyFont="1" applyFill="1" applyAlignment="1">
      <alignment vertical="center" wrapText="1"/>
    </xf>
    <xf numFmtId="0" fontId="66" fillId="0" borderId="0" xfId="0" applyFont="1" applyFill="1" applyBorder="1" applyAlignment="1">
      <alignment horizontal="left" vertical="center" wrapText="1"/>
    </xf>
    <xf numFmtId="0" fontId="66" fillId="0" borderId="0" xfId="0" applyNumberFormat="1" applyFont="1" applyFill="1" applyAlignment="1">
      <alignment horizontal="left" vertical="center" wrapText="1"/>
    </xf>
    <xf numFmtId="0" fontId="66" fillId="2" borderId="0" xfId="0" applyFont="1" applyFill="1" applyAlignment="1">
      <alignment horizontal="left" vertical="center"/>
    </xf>
    <xf numFmtId="170" fontId="70" fillId="0" borderId="0" xfId="0" applyNumberFormat="1" applyFont="1" applyFill="1" applyBorder="1" applyAlignment="1">
      <alignment horizontal="left" vertical="center"/>
    </xf>
    <xf numFmtId="0" fontId="65" fillId="0" borderId="0" xfId="0" applyFont="1" applyFill="1"/>
    <xf numFmtId="0" fontId="68" fillId="0" borderId="0" xfId="0" applyFont="1" applyFill="1" applyBorder="1" applyAlignment="1">
      <alignment vertical="center"/>
    </xf>
    <xf numFmtId="0" fontId="65" fillId="0" borderId="0" xfId="0" applyNumberFormat="1" applyFont="1" applyFill="1" applyBorder="1" applyAlignment="1">
      <alignment horizontal="left" vertical="center"/>
    </xf>
    <xf numFmtId="170" fontId="65" fillId="0" borderId="0" xfId="0" applyNumberFormat="1" applyFont="1" applyFill="1" applyBorder="1" applyAlignment="1">
      <alignment horizontal="right" vertical="center"/>
    </xf>
    <xf numFmtId="4" fontId="65" fillId="0" borderId="0" xfId="0" applyNumberFormat="1" applyFont="1" applyFill="1" applyBorder="1" applyAlignment="1">
      <alignment vertical="center"/>
    </xf>
    <xf numFmtId="178" fontId="65" fillId="0" borderId="0" xfId="0" applyNumberFormat="1" applyFont="1" applyFill="1" applyBorder="1" applyAlignment="1">
      <alignment horizontal="right" vertical="center"/>
    </xf>
    <xf numFmtId="177" fontId="65" fillId="0" borderId="0" xfId="0" applyNumberFormat="1" applyFont="1" applyFill="1" applyBorder="1" applyAlignment="1">
      <alignment vertical="center"/>
    </xf>
    <xf numFmtId="179" fontId="65" fillId="0" borderId="0" xfId="0" applyNumberFormat="1" applyFont="1" applyFill="1" applyBorder="1" applyAlignment="1">
      <alignment vertical="center"/>
    </xf>
    <xf numFmtId="177" fontId="65" fillId="2" borderId="0" xfId="0" applyNumberFormat="1" applyFont="1" applyFill="1" applyBorder="1" applyAlignment="1">
      <alignment vertical="center"/>
    </xf>
    <xf numFmtId="0" fontId="68" fillId="2" borderId="0" xfId="0" applyFont="1" applyFill="1" applyBorder="1" applyAlignment="1">
      <alignment vertical="center"/>
    </xf>
    <xf numFmtId="0" fontId="65" fillId="2" borderId="0" xfId="0" quotePrefix="1" applyFont="1" applyFill="1" applyAlignment="1">
      <alignment vertical="center"/>
    </xf>
    <xf numFmtId="0" fontId="68" fillId="2" borderId="0" xfId="0" quotePrefix="1" applyFont="1" applyFill="1" applyBorder="1" applyAlignment="1">
      <alignment vertical="center"/>
    </xf>
    <xf numFmtId="0" fontId="68" fillId="2" borderId="0" xfId="0" applyFont="1" applyFill="1" applyAlignment="1">
      <alignment vertical="center"/>
    </xf>
    <xf numFmtId="0" fontId="65" fillId="2" borderId="0" xfId="0" quotePrefix="1" applyFont="1" applyFill="1" applyBorder="1" applyAlignment="1">
      <alignment vertical="center"/>
    </xf>
    <xf numFmtId="0" fontId="71" fillId="2" borderId="0" xfId="0" applyFont="1" applyFill="1" applyBorder="1" applyAlignment="1">
      <alignment vertical="center"/>
    </xf>
    <xf numFmtId="0" fontId="66" fillId="2" borderId="0" xfId="0" applyFont="1" applyFill="1" applyBorder="1" applyAlignment="1">
      <alignment horizontal="centerContinuous" vertical="center"/>
    </xf>
    <xf numFmtId="0" fontId="65" fillId="2" borderId="6" xfId="0" applyFont="1" applyFill="1" applyBorder="1" applyAlignment="1">
      <alignment vertical="center"/>
    </xf>
    <xf numFmtId="176" fontId="66" fillId="2" borderId="2" xfId="0" applyNumberFormat="1" applyFont="1" applyFill="1" applyBorder="1" applyAlignment="1">
      <alignment horizontal="left" vertical="center"/>
    </xf>
    <xf numFmtId="0" fontId="66" fillId="2" borderId="2" xfId="0" applyFont="1" applyFill="1" applyBorder="1" applyAlignment="1">
      <alignment horizontal="center" vertical="center"/>
    </xf>
    <xf numFmtId="0" fontId="66" fillId="2" borderId="2" xfId="0" applyFont="1" applyFill="1" applyBorder="1" applyAlignment="1">
      <alignment vertical="center"/>
    </xf>
    <xf numFmtId="15" fontId="66" fillId="2" borderId="2" xfId="0" applyNumberFormat="1" applyFont="1" applyFill="1" applyBorder="1" applyAlignment="1">
      <alignment vertical="center"/>
    </xf>
    <xf numFmtId="174" fontId="65" fillId="2" borderId="0" xfId="0" applyNumberFormat="1" applyFont="1" applyFill="1" applyBorder="1" applyAlignment="1">
      <alignment horizontal="left" vertical="center"/>
    </xf>
    <xf numFmtId="170" fontId="68" fillId="2" borderId="0" xfId="0" applyNumberFormat="1" applyFont="1" applyFill="1" applyBorder="1" applyAlignment="1">
      <alignment horizontal="left" vertical="center"/>
    </xf>
    <xf numFmtId="169" fontId="68" fillId="0" borderId="0" xfId="0" applyNumberFormat="1" applyFont="1" applyFill="1" applyAlignment="1">
      <alignment vertical="center"/>
    </xf>
    <xf numFmtId="169" fontId="68" fillId="0" borderId="0" xfId="0" applyNumberFormat="1" applyFont="1" applyFill="1" applyAlignment="1">
      <alignment horizontal="left" vertical="center"/>
    </xf>
    <xf numFmtId="173" fontId="68" fillId="0" borderId="0" xfId="0" applyNumberFormat="1" applyFont="1" applyFill="1" applyBorder="1" applyAlignment="1">
      <alignment horizontal="left" vertical="center"/>
    </xf>
    <xf numFmtId="169" fontId="68" fillId="0" borderId="0" xfId="0" applyNumberFormat="1" applyFont="1" applyFill="1" applyBorder="1" applyAlignment="1">
      <alignment horizontal="left" vertical="center"/>
    </xf>
    <xf numFmtId="0" fontId="68" fillId="2" borderId="0" xfId="0" applyFont="1" applyFill="1" applyAlignment="1">
      <alignment horizontal="left" vertical="center"/>
    </xf>
    <xf numFmtId="169" fontId="68" fillId="2" borderId="0" xfId="0" applyNumberFormat="1" applyFont="1" applyFill="1" applyAlignment="1">
      <alignment horizontal="center" vertical="center"/>
    </xf>
    <xf numFmtId="0" fontId="66" fillId="2" borderId="9" xfId="0" applyFont="1" applyFill="1" applyBorder="1" applyAlignment="1">
      <alignment vertical="center"/>
    </xf>
    <xf numFmtId="0" fontId="66" fillId="2" borderId="8" xfId="0" applyFont="1" applyFill="1" applyBorder="1" applyAlignment="1">
      <alignment vertical="center"/>
    </xf>
    <xf numFmtId="169" fontId="70" fillId="0" borderId="0" xfId="0" applyNumberFormat="1" applyFont="1" applyFill="1" applyBorder="1" applyAlignment="1">
      <alignment horizontal="left" vertical="center"/>
    </xf>
    <xf numFmtId="0" fontId="66" fillId="2" borderId="7" xfId="0" applyFont="1" applyFill="1" applyBorder="1" applyAlignment="1">
      <alignment vertical="center"/>
    </xf>
    <xf numFmtId="0" fontId="65" fillId="2" borderId="4" xfId="0" applyFont="1" applyFill="1" applyBorder="1" applyAlignment="1">
      <alignment vertical="center"/>
    </xf>
    <xf numFmtId="168" fontId="65" fillId="0" borderId="0" xfId="0" applyNumberFormat="1" applyFont="1" applyFill="1" applyBorder="1" applyAlignment="1">
      <alignment horizontal="left" vertical="center"/>
    </xf>
    <xf numFmtId="169" fontId="68" fillId="2" borderId="0" xfId="0" quotePrefix="1" applyNumberFormat="1" applyFont="1" applyFill="1" applyAlignment="1">
      <alignment horizontal="left" vertical="center"/>
    </xf>
    <xf numFmtId="0" fontId="65" fillId="0" borderId="0" xfId="0" applyFont="1" applyFill="1" applyBorder="1" applyAlignment="1">
      <alignment horizontal="centerContinuous" vertical="center"/>
    </xf>
    <xf numFmtId="0" fontId="65" fillId="0" borderId="0" xfId="0" applyFont="1" applyFill="1" applyBorder="1" applyAlignment="1">
      <alignment horizontal="right" vertical="center"/>
    </xf>
    <xf numFmtId="168" fontId="68" fillId="0" borderId="0" xfId="0" applyNumberFormat="1" applyFont="1" applyFill="1" applyBorder="1" applyAlignment="1">
      <alignment horizontal="right" vertical="center"/>
    </xf>
    <xf numFmtId="0" fontId="65" fillId="2" borderId="0" xfId="0" applyFont="1" applyFill="1" applyBorder="1" applyAlignment="1">
      <alignment horizontal="centerContinuous" vertical="center"/>
    </xf>
    <xf numFmtId="0" fontId="65" fillId="2" borderId="0" xfId="0" applyFont="1" applyFill="1" applyBorder="1" applyAlignment="1">
      <alignment horizontal="right" vertical="center"/>
    </xf>
    <xf numFmtId="168" fontId="68" fillId="2" borderId="0" xfId="0" applyNumberFormat="1" applyFont="1" applyFill="1" applyBorder="1" applyAlignment="1">
      <alignment horizontal="right" vertical="center"/>
    </xf>
    <xf numFmtId="167" fontId="65" fillId="2" borderId="0" xfId="0" applyNumberFormat="1" applyFont="1" applyFill="1" applyBorder="1" applyAlignment="1">
      <alignment horizontal="right" vertical="center"/>
    </xf>
    <xf numFmtId="0" fontId="65" fillId="2" borderId="28" xfId="0" applyFont="1" applyFill="1" applyBorder="1" applyAlignment="1">
      <alignment vertical="center"/>
    </xf>
    <xf numFmtId="0" fontId="67" fillId="0" borderId="0" xfId="0" applyFont="1" applyBorder="1"/>
    <xf numFmtId="170" fontId="65" fillId="0" borderId="0" xfId="0" applyNumberFormat="1" applyFont="1" applyFill="1" applyAlignment="1">
      <alignment horizontal="right" vertical="center"/>
    </xf>
    <xf numFmtId="0" fontId="65" fillId="0" borderId="0" xfId="0" applyFont="1" applyFill="1" applyAlignment="1">
      <alignment horizontal="left" vertical="center"/>
    </xf>
    <xf numFmtId="1" fontId="65" fillId="0" borderId="0" xfId="0" applyNumberFormat="1" applyFont="1" applyFill="1" applyAlignment="1">
      <alignment horizontal="center" vertical="center"/>
    </xf>
    <xf numFmtId="0" fontId="68" fillId="0" borderId="0" xfId="0" applyFont="1" applyFill="1" applyBorder="1" applyAlignment="1">
      <alignment horizontal="center" vertical="center"/>
    </xf>
    <xf numFmtId="0" fontId="68" fillId="0" borderId="0" xfId="0" applyFont="1" applyFill="1" applyAlignment="1">
      <alignment horizontal="center" vertical="center"/>
    </xf>
    <xf numFmtId="175" fontId="65" fillId="2" borderId="0" xfId="0" applyNumberFormat="1" applyFont="1" applyFill="1" applyAlignment="1">
      <alignment horizontal="center" vertical="center"/>
    </xf>
    <xf numFmtId="49" fontId="65" fillId="0" borderId="0" xfId="0" applyNumberFormat="1" applyFont="1" applyFill="1" applyAlignment="1">
      <alignment horizontal="center" vertical="center"/>
    </xf>
    <xf numFmtId="0" fontId="66" fillId="2" borderId="6" xfId="0" applyFont="1" applyFill="1" applyBorder="1" applyAlignment="1">
      <alignment vertical="center"/>
    </xf>
    <xf numFmtId="0" fontId="66" fillId="0" borderId="6" xfId="0" applyFont="1" applyFill="1" applyBorder="1" applyAlignment="1">
      <alignment vertical="center"/>
    </xf>
    <xf numFmtId="0" fontId="66" fillId="0" borderId="0" xfId="0" applyFont="1" applyFill="1" applyAlignment="1">
      <alignment horizontal="center" vertical="center"/>
    </xf>
    <xf numFmtId="0" fontId="68" fillId="2" borderId="0" xfId="0" applyFont="1" applyFill="1" applyBorder="1" applyAlignment="1">
      <alignment horizontal="center" vertical="center"/>
    </xf>
    <xf numFmtId="0" fontId="65" fillId="2" borderId="0" xfId="0" applyNumberFormat="1" applyFont="1" applyFill="1" applyAlignment="1">
      <alignment horizontal="center" vertical="center"/>
    </xf>
    <xf numFmtId="0" fontId="67" fillId="2" borderId="0" xfId="0" applyFont="1" applyFill="1" applyAlignment="1">
      <alignment horizontal="center"/>
    </xf>
    <xf numFmtId="0" fontId="65" fillId="0" borderId="0" xfId="0" applyFont="1" applyFill="1" applyAlignment="1">
      <alignment horizontal="left" vertical="center"/>
    </xf>
    <xf numFmtId="1" fontId="65" fillId="0" borderId="0" xfId="0" applyNumberFormat="1" applyFont="1" applyFill="1" applyAlignment="1">
      <alignment horizontal="center" vertical="center"/>
    </xf>
    <xf numFmtId="0" fontId="65" fillId="0" borderId="0" xfId="0" applyFont="1" applyFill="1" applyBorder="1" applyAlignment="1">
      <alignment horizontal="left" vertical="center"/>
    </xf>
    <xf numFmtId="176" fontId="66" fillId="0" borderId="2" xfId="0" applyNumberFormat="1" applyFont="1" applyFill="1" applyBorder="1" applyAlignment="1">
      <alignment horizontal="left" vertical="center"/>
    </xf>
    <xf numFmtId="191" fontId="65" fillId="0" borderId="0" xfId="0" applyNumberFormat="1" applyFont="1" applyFill="1" applyAlignment="1">
      <alignment horizontal="left" vertical="center"/>
    </xf>
    <xf numFmtId="176" fontId="65" fillId="0" borderId="2" xfId="0" applyNumberFormat="1" applyFont="1" applyFill="1" applyBorder="1" applyAlignment="1">
      <alignment horizontal="center" vertical="center"/>
    </xf>
    <xf numFmtId="189" fontId="68" fillId="0" borderId="0" xfId="0" applyNumberFormat="1" applyFont="1" applyFill="1" applyBorder="1" applyAlignment="1">
      <alignment horizontal="left" vertical="center" shrinkToFit="1"/>
    </xf>
    <xf numFmtId="0" fontId="67" fillId="0" borderId="0" xfId="0" applyFont="1" applyFill="1"/>
    <xf numFmtId="1" fontId="65" fillId="0" borderId="0" xfId="0" applyNumberFormat="1" applyFont="1" applyFill="1" applyAlignment="1">
      <alignment horizontal="center" vertical="center"/>
    </xf>
    <xf numFmtId="0" fontId="65" fillId="0" borderId="0" xfId="0" applyFont="1" applyFill="1" applyAlignment="1">
      <alignment horizontal="left" vertical="center"/>
    </xf>
    <xf numFmtId="192" fontId="65" fillId="0" borderId="0" xfId="0" applyNumberFormat="1" applyFont="1" applyFill="1" applyBorder="1" applyAlignment="1">
      <alignment horizontal="left" vertical="center"/>
    </xf>
    <xf numFmtId="192" fontId="66" fillId="0" borderId="1" xfId="0" applyNumberFormat="1" applyFont="1" applyFill="1" applyBorder="1" applyAlignment="1">
      <alignment horizontal="left" vertical="center"/>
    </xf>
    <xf numFmtId="0" fontId="65" fillId="2" borderId="0" xfId="0" applyFont="1" applyFill="1" applyAlignment="1">
      <alignment horizontal="left" vertical="center" wrapText="1"/>
    </xf>
    <xf numFmtId="0" fontId="65" fillId="0" borderId="0" xfId="0" applyFont="1" applyFill="1" applyBorder="1" applyAlignment="1">
      <alignment horizontal="left" vertical="center"/>
    </xf>
    <xf numFmtId="170" fontId="4" fillId="0" borderId="1" xfId="0" applyNumberFormat="1" applyFont="1" applyFill="1" applyBorder="1" applyAlignment="1">
      <alignment vertical="center"/>
    </xf>
    <xf numFmtId="1" fontId="65" fillId="0" borderId="0" xfId="0" applyNumberFormat="1" applyFont="1" applyFill="1" applyAlignment="1">
      <alignment horizontal="center" vertical="center"/>
    </xf>
    <xf numFmtId="0" fontId="65" fillId="0" borderId="0" xfId="0" applyFont="1" applyFill="1" applyAlignment="1">
      <alignment horizontal="left" vertical="center"/>
    </xf>
    <xf numFmtId="168" fontId="66" fillId="0" borderId="1" xfId="0" applyNumberFormat="1" applyFont="1" applyFill="1" applyBorder="1" applyAlignment="1">
      <alignment horizontal="left" vertical="center"/>
    </xf>
    <xf numFmtId="49" fontId="65" fillId="2" borderId="0" xfId="0" applyNumberFormat="1" applyFont="1" applyFill="1" applyAlignment="1">
      <alignment horizontal="center" vertical="center"/>
    </xf>
    <xf numFmtId="1" fontId="65" fillId="0" borderId="0" xfId="0" applyNumberFormat="1" applyFont="1" applyFill="1" applyAlignment="1">
      <alignment horizontal="center" vertical="center"/>
    </xf>
    <xf numFmtId="188" fontId="4" fillId="0" borderId="1" xfId="0" applyNumberFormat="1" applyFont="1" applyFill="1" applyBorder="1" applyAlignment="1">
      <alignment vertical="center"/>
    </xf>
    <xf numFmtId="0" fontId="66" fillId="0" borderId="0" xfId="0" applyFont="1" applyFill="1" applyAlignment="1">
      <alignment horizontal="left" vertical="center"/>
    </xf>
    <xf numFmtId="0" fontId="7" fillId="2" borderId="2" xfId="0" applyFont="1" applyFill="1" applyBorder="1" applyAlignment="1">
      <alignment horizontal="center" vertical="center"/>
    </xf>
    <xf numFmtId="171" fontId="65" fillId="2" borderId="2" xfId="0" applyNumberFormat="1" applyFont="1" applyFill="1" applyBorder="1" applyAlignment="1">
      <alignment horizontal="right" vertical="center"/>
    </xf>
    <xf numFmtId="0" fontId="65" fillId="0" borderId="0" xfId="0" applyFont="1" applyFill="1" applyAlignment="1">
      <alignment vertical="center" wrapText="1"/>
    </xf>
    <xf numFmtId="0" fontId="65" fillId="0" borderId="0" xfId="0" applyFont="1" applyFill="1" applyAlignment="1">
      <alignment horizontal="left" vertical="center" wrapText="1"/>
    </xf>
    <xf numFmtId="0" fontId="65" fillId="0" borderId="0" xfId="0" applyFont="1" applyFill="1" applyBorder="1" applyAlignment="1">
      <alignment horizontal="left" vertical="center"/>
    </xf>
    <xf numFmtId="190" fontId="65" fillId="0" borderId="0" xfId="0" applyNumberFormat="1" applyFont="1" applyFill="1" applyBorder="1" applyAlignment="1">
      <alignment horizontal="center" vertical="center" shrinkToFit="1"/>
    </xf>
    <xf numFmtId="168" fontId="65" fillId="0" borderId="0" xfId="0" applyNumberFormat="1" applyFont="1" applyFill="1" applyBorder="1" applyAlignment="1">
      <alignment horizontal="right" vertical="center"/>
    </xf>
    <xf numFmtId="0" fontId="65" fillId="0" borderId="0" xfId="0" applyFont="1" applyFill="1" applyAlignment="1">
      <alignment horizontal="left" vertical="center"/>
    </xf>
    <xf numFmtId="0" fontId="65" fillId="0" borderId="2" xfId="0" applyFont="1" applyFill="1" applyBorder="1" applyAlignment="1">
      <alignment horizontal="left" vertical="center"/>
    </xf>
    <xf numFmtId="168" fontId="2" fillId="0" borderId="0" xfId="0" applyNumberFormat="1" applyFont="1" applyFill="1" applyBorder="1" applyAlignment="1">
      <alignment horizontal="center" vertical="center"/>
    </xf>
    <xf numFmtId="170" fontId="2" fillId="0" borderId="0" xfId="0" applyNumberFormat="1" applyFont="1" applyFill="1" applyBorder="1" applyAlignment="1">
      <alignment horizontal="right" vertical="center"/>
    </xf>
    <xf numFmtId="168" fontId="3" fillId="0" borderId="0" xfId="0" applyNumberFormat="1" applyFont="1" applyFill="1" applyBorder="1" applyAlignment="1">
      <alignment horizontal="right" vertical="center"/>
    </xf>
    <xf numFmtId="169" fontId="2" fillId="0" borderId="0" xfId="0" applyNumberFormat="1" applyFont="1" applyFill="1" applyBorder="1" applyAlignment="1">
      <alignment horizontal="center" vertical="center"/>
    </xf>
    <xf numFmtId="168" fontId="66" fillId="0" borderId="1" xfId="0" applyNumberFormat="1" applyFont="1" applyFill="1" applyBorder="1" applyAlignment="1">
      <alignment horizontal="right" vertical="center"/>
    </xf>
    <xf numFmtId="0" fontId="70" fillId="0" borderId="6" xfId="0" applyFont="1" applyFill="1" applyBorder="1" applyAlignment="1">
      <alignment horizontal="center" vertical="center"/>
    </xf>
    <xf numFmtId="0" fontId="70" fillId="0" borderId="2" xfId="0" applyFont="1" applyFill="1" applyBorder="1" applyAlignment="1">
      <alignment horizontal="center" vertical="center"/>
    </xf>
    <xf numFmtId="0" fontId="70" fillId="0" borderId="5" xfId="0" applyFont="1" applyFill="1" applyBorder="1" applyAlignment="1">
      <alignment horizontal="center" vertical="center"/>
    </xf>
    <xf numFmtId="190" fontId="66" fillId="0" borderId="1" xfId="0" applyNumberFormat="1" applyFont="1" applyFill="1" applyBorder="1" applyAlignment="1">
      <alignment horizontal="center" vertical="center"/>
    </xf>
    <xf numFmtId="170" fontId="2" fillId="0" borderId="0" xfId="0" applyNumberFormat="1" applyFont="1" applyFill="1" applyAlignment="1">
      <alignment horizontal="right" vertical="center"/>
    </xf>
    <xf numFmtId="180" fontId="2" fillId="0" borderId="0" xfId="0" quotePrefix="1" applyNumberFormat="1" applyFont="1" applyFill="1" applyAlignment="1">
      <alignment horizontal="center" vertical="center"/>
    </xf>
    <xf numFmtId="170" fontId="4" fillId="0" borderId="1" xfId="0" applyNumberFormat="1" applyFont="1" applyFill="1" applyBorder="1" applyAlignment="1">
      <alignment vertical="center"/>
    </xf>
    <xf numFmtId="171" fontId="4" fillId="2" borderId="6" xfId="0" applyNumberFormat="1" applyFont="1" applyFill="1" applyBorder="1" applyAlignment="1">
      <alignment horizontal="center" vertical="center"/>
    </xf>
    <xf numFmtId="171" fontId="4" fillId="2" borderId="2" xfId="0" applyNumberFormat="1" applyFont="1" applyFill="1" applyBorder="1" applyAlignment="1">
      <alignment horizontal="center" vertical="center"/>
    </xf>
    <xf numFmtId="171" fontId="4" fillId="2" borderId="5" xfId="0" applyNumberFormat="1" applyFont="1" applyFill="1" applyBorder="1" applyAlignment="1">
      <alignment horizontal="center" vertical="center"/>
    </xf>
    <xf numFmtId="1" fontId="65" fillId="0" borderId="0" xfId="0" applyNumberFormat="1" applyFont="1" applyFill="1" applyAlignment="1">
      <alignment horizontal="center" vertical="center"/>
    </xf>
    <xf numFmtId="0" fontId="65" fillId="2" borderId="0" xfId="0" applyFont="1" applyFill="1" applyAlignment="1">
      <alignment horizontal="left" vertical="center" wrapText="1"/>
    </xf>
    <xf numFmtId="0" fontId="73" fillId="2" borderId="29" xfId="0" applyFont="1" applyFill="1" applyBorder="1" applyAlignment="1">
      <alignment horizontal="center" vertical="center"/>
    </xf>
    <xf numFmtId="0" fontId="74" fillId="2" borderId="21" xfId="0" applyFont="1" applyFill="1" applyBorder="1" applyAlignment="1">
      <alignment horizontal="center" vertical="center"/>
    </xf>
    <xf numFmtId="0" fontId="74" fillId="2" borderId="30" xfId="0" applyFont="1" applyFill="1" applyBorder="1" applyAlignment="1">
      <alignment horizontal="center" vertical="center"/>
    </xf>
    <xf numFmtId="0" fontId="74" fillId="2" borderId="31" xfId="0" applyFont="1" applyFill="1" applyBorder="1" applyAlignment="1">
      <alignment horizontal="center" vertical="center"/>
    </xf>
    <xf numFmtId="0" fontId="74" fillId="2" borderId="32" xfId="0" applyFont="1" applyFill="1" applyBorder="1" applyAlignment="1">
      <alignment horizontal="center" vertical="center"/>
    </xf>
    <xf numFmtId="0" fontId="74" fillId="2" borderId="33" xfId="0" applyFont="1" applyFill="1" applyBorder="1" applyAlignment="1">
      <alignment horizontal="center" vertical="center"/>
    </xf>
    <xf numFmtId="0" fontId="70" fillId="2" borderId="2" xfId="0" applyFont="1" applyFill="1" applyBorder="1" applyAlignment="1">
      <alignment horizontal="center" vertical="center"/>
    </xf>
    <xf numFmtId="0" fontId="70" fillId="2" borderId="5" xfId="0" applyFont="1" applyFill="1" applyBorder="1" applyAlignment="1">
      <alignment horizontal="center" vertical="center"/>
    </xf>
    <xf numFmtId="0" fontId="7" fillId="0" borderId="2" xfId="0" applyFont="1" applyFill="1" applyBorder="1" applyAlignment="1">
      <alignment horizontal="center" vertical="center"/>
    </xf>
    <xf numFmtId="0" fontId="6" fillId="2" borderId="0" xfId="0" applyFont="1" applyFill="1" applyBorder="1" applyAlignment="1">
      <alignment horizontal="center" vertical="center"/>
    </xf>
    <xf numFmtId="0" fontId="6" fillId="2" borderId="7" xfId="0" applyFont="1" applyFill="1" applyBorder="1" applyAlignment="1">
      <alignment horizontal="center" vertical="center"/>
    </xf>
    <xf numFmtId="171" fontId="66" fillId="2" borderId="6" xfId="0" applyNumberFormat="1" applyFont="1" applyFill="1" applyBorder="1" applyAlignment="1">
      <alignment horizontal="center" vertical="center"/>
    </xf>
    <xf numFmtId="171" fontId="66" fillId="2" borderId="2" xfId="0" applyNumberFormat="1" applyFont="1" applyFill="1" applyBorder="1" applyAlignment="1">
      <alignment horizontal="center" vertical="center"/>
    </xf>
    <xf numFmtId="171" fontId="66" fillId="2" borderId="5" xfId="0" applyNumberFormat="1" applyFont="1" applyFill="1" applyBorder="1" applyAlignment="1">
      <alignment horizontal="center" vertical="center"/>
    </xf>
    <xf numFmtId="0" fontId="66" fillId="2" borderId="6" xfId="0" applyFont="1" applyFill="1" applyBorder="1" applyAlignment="1">
      <alignment horizontal="center" vertical="center"/>
    </xf>
    <xf numFmtId="0" fontId="66" fillId="2" borderId="2" xfId="0" applyFont="1" applyFill="1" applyBorder="1" applyAlignment="1">
      <alignment horizontal="center" vertical="center"/>
    </xf>
    <xf numFmtId="0" fontId="66" fillId="2" borderId="5" xfId="0" applyFont="1" applyFill="1" applyBorder="1" applyAlignment="1">
      <alignment horizontal="center" vertical="center"/>
    </xf>
    <xf numFmtId="0" fontId="73" fillId="0" borderId="29" xfId="0" applyFont="1" applyFill="1" applyBorder="1" applyAlignment="1">
      <alignment horizontal="center" vertical="center"/>
    </xf>
    <xf numFmtId="0" fontId="73" fillId="0" borderId="21" xfId="0" applyFont="1" applyFill="1" applyBorder="1" applyAlignment="1">
      <alignment horizontal="center" vertical="center"/>
    </xf>
    <xf numFmtId="0" fontId="73" fillId="0" borderId="30" xfId="0" applyFont="1" applyFill="1" applyBorder="1" applyAlignment="1">
      <alignment horizontal="center" vertical="center"/>
    </xf>
    <xf numFmtId="0" fontId="73" fillId="0" borderId="31" xfId="0" applyFont="1" applyFill="1" applyBorder="1" applyAlignment="1">
      <alignment horizontal="center" vertical="center"/>
    </xf>
    <xf numFmtId="0" fontId="73" fillId="0" borderId="32" xfId="0" applyFont="1" applyFill="1" applyBorder="1" applyAlignment="1">
      <alignment horizontal="center" vertical="center"/>
    </xf>
    <xf numFmtId="0" fontId="73" fillId="0" borderId="33" xfId="0" applyFont="1" applyFill="1" applyBorder="1" applyAlignment="1">
      <alignment horizontal="center" vertical="center"/>
    </xf>
    <xf numFmtId="178" fontId="2" fillId="0" borderId="0" xfId="0" applyNumberFormat="1" applyFont="1" applyFill="1" applyBorder="1" applyAlignment="1">
      <alignment horizontal="center" vertical="center"/>
    </xf>
    <xf numFmtId="0" fontId="75" fillId="2" borderId="2" xfId="0" applyFont="1" applyFill="1" applyBorder="1" applyAlignment="1">
      <alignment horizontal="center" vertical="center" wrapText="1"/>
    </xf>
    <xf numFmtId="0" fontId="75" fillId="2" borderId="5" xfId="0" applyFont="1" applyFill="1" applyBorder="1" applyAlignment="1">
      <alignment horizontal="center" vertical="center" wrapText="1"/>
    </xf>
    <xf numFmtId="0" fontId="3" fillId="2" borderId="0" xfId="0" quotePrefix="1" applyFont="1" applyFill="1" applyAlignment="1">
      <alignment vertical="center"/>
    </xf>
  </cellXfs>
  <cellStyles count="951">
    <cellStyle name="20% - Énfasis1" xfId="1" xr:uid="{00000000-0005-0000-0000-000000000000}"/>
    <cellStyle name="20% - Énfasis2" xfId="2" xr:uid="{00000000-0005-0000-0000-000001000000}"/>
    <cellStyle name="20% - Énfasis3" xfId="3" xr:uid="{00000000-0005-0000-0000-000002000000}"/>
    <cellStyle name="20% - Énfasis4" xfId="4" xr:uid="{00000000-0005-0000-0000-000003000000}"/>
    <cellStyle name="20% - Énfasis5" xfId="5" xr:uid="{00000000-0005-0000-0000-000004000000}"/>
    <cellStyle name="20% - Énfasis6" xfId="6" xr:uid="{00000000-0005-0000-0000-000005000000}"/>
    <cellStyle name="20% - 강조색1 2" xfId="861" xr:uid="{00000000-0005-0000-0000-000006000000}"/>
    <cellStyle name="20% - 강조색1 3" xfId="860" xr:uid="{00000000-0005-0000-0000-000007000000}"/>
    <cellStyle name="20% - 강조색2 2" xfId="859" xr:uid="{00000000-0005-0000-0000-000008000000}"/>
    <cellStyle name="20% - 강조색2 3" xfId="858" xr:uid="{00000000-0005-0000-0000-000009000000}"/>
    <cellStyle name="20% - 강조색3 2" xfId="857" xr:uid="{00000000-0005-0000-0000-00000A000000}"/>
    <cellStyle name="20% - 강조색3 3" xfId="856" xr:uid="{00000000-0005-0000-0000-00000B000000}"/>
    <cellStyle name="20% - 강조색4 2" xfId="855" xr:uid="{00000000-0005-0000-0000-00000C000000}"/>
    <cellStyle name="20% - 강조색4 3" xfId="854" xr:uid="{00000000-0005-0000-0000-00000D000000}"/>
    <cellStyle name="20% - 강조색5 2" xfId="853" xr:uid="{00000000-0005-0000-0000-00000E000000}"/>
    <cellStyle name="20% - 강조색5 3" xfId="852" xr:uid="{00000000-0005-0000-0000-00000F000000}"/>
    <cellStyle name="20% - 강조색6 2" xfId="851" xr:uid="{00000000-0005-0000-0000-000010000000}"/>
    <cellStyle name="20% - 강조색6 3" xfId="850" xr:uid="{00000000-0005-0000-0000-000011000000}"/>
    <cellStyle name="40% - Énfasis1" xfId="7" xr:uid="{00000000-0005-0000-0000-000012000000}"/>
    <cellStyle name="40% - Énfasis2" xfId="8" xr:uid="{00000000-0005-0000-0000-000013000000}"/>
    <cellStyle name="40% - Énfasis3" xfId="9" xr:uid="{00000000-0005-0000-0000-000014000000}"/>
    <cellStyle name="40% - Énfasis4" xfId="10" xr:uid="{00000000-0005-0000-0000-000015000000}"/>
    <cellStyle name="40% - Énfasis5" xfId="11" xr:uid="{00000000-0005-0000-0000-000016000000}"/>
    <cellStyle name="40% - Énfasis6" xfId="12" xr:uid="{00000000-0005-0000-0000-000017000000}"/>
    <cellStyle name="40% - 강조색1 2" xfId="849" xr:uid="{00000000-0005-0000-0000-000018000000}"/>
    <cellStyle name="40% - 강조색1 3" xfId="848" xr:uid="{00000000-0005-0000-0000-000019000000}"/>
    <cellStyle name="40% - 강조색2 2" xfId="847" xr:uid="{00000000-0005-0000-0000-00001A000000}"/>
    <cellStyle name="40% - 강조색2 3" xfId="846" xr:uid="{00000000-0005-0000-0000-00001B000000}"/>
    <cellStyle name="40% - 강조색3 2" xfId="845" xr:uid="{00000000-0005-0000-0000-00001C000000}"/>
    <cellStyle name="40% - 강조색3 3" xfId="844" xr:uid="{00000000-0005-0000-0000-00001D000000}"/>
    <cellStyle name="40% - 강조색4 2" xfId="843" xr:uid="{00000000-0005-0000-0000-00001E000000}"/>
    <cellStyle name="40% - 강조색4 3" xfId="842" xr:uid="{00000000-0005-0000-0000-00001F000000}"/>
    <cellStyle name="40% - 강조색5 2" xfId="841" xr:uid="{00000000-0005-0000-0000-000020000000}"/>
    <cellStyle name="40% - 강조색5 3" xfId="840" xr:uid="{00000000-0005-0000-0000-000021000000}"/>
    <cellStyle name="40% - 강조색6 2" xfId="839" xr:uid="{00000000-0005-0000-0000-000022000000}"/>
    <cellStyle name="40% - 강조색6 3" xfId="838" xr:uid="{00000000-0005-0000-0000-000023000000}"/>
    <cellStyle name="60% - Énfasis1" xfId="13" xr:uid="{00000000-0005-0000-0000-000024000000}"/>
    <cellStyle name="60% - Énfasis2" xfId="14" xr:uid="{00000000-0005-0000-0000-000025000000}"/>
    <cellStyle name="60% - Énfasis3" xfId="15" xr:uid="{00000000-0005-0000-0000-000026000000}"/>
    <cellStyle name="60% - Énfasis4" xfId="16" xr:uid="{00000000-0005-0000-0000-000027000000}"/>
    <cellStyle name="60% - Énfasis5" xfId="17" xr:uid="{00000000-0005-0000-0000-000028000000}"/>
    <cellStyle name="60% - Énfasis6" xfId="18" xr:uid="{00000000-0005-0000-0000-000029000000}"/>
    <cellStyle name="60% - 강조색1 2" xfId="837" xr:uid="{00000000-0005-0000-0000-00002A000000}"/>
    <cellStyle name="60% - 강조색1 3" xfId="836" xr:uid="{00000000-0005-0000-0000-00002B000000}"/>
    <cellStyle name="60% - 강조색2 2" xfId="835" xr:uid="{00000000-0005-0000-0000-00002C000000}"/>
    <cellStyle name="60% - 강조색2 3" xfId="834" xr:uid="{00000000-0005-0000-0000-00002D000000}"/>
    <cellStyle name="60% - 강조색3 2" xfId="833" xr:uid="{00000000-0005-0000-0000-00002E000000}"/>
    <cellStyle name="60% - 강조색3 3" xfId="832" xr:uid="{00000000-0005-0000-0000-00002F000000}"/>
    <cellStyle name="60% - 강조색4 2" xfId="831" xr:uid="{00000000-0005-0000-0000-000030000000}"/>
    <cellStyle name="60% - 강조색4 3" xfId="830" xr:uid="{00000000-0005-0000-0000-000031000000}"/>
    <cellStyle name="60% - 강조색5 2" xfId="829" xr:uid="{00000000-0005-0000-0000-000032000000}"/>
    <cellStyle name="60% - 강조색5 3" xfId="828" xr:uid="{00000000-0005-0000-0000-000033000000}"/>
    <cellStyle name="60% - 강조색6 2" xfId="827" xr:uid="{00000000-0005-0000-0000-000034000000}"/>
    <cellStyle name="60% - 강조색6 3" xfId="826" xr:uid="{00000000-0005-0000-0000-000035000000}"/>
    <cellStyle name="Buena" xfId="19" xr:uid="{00000000-0005-0000-0000-000036000000}"/>
    <cellStyle name="Cálculo" xfId="20" xr:uid="{00000000-0005-0000-0000-000037000000}"/>
    <cellStyle name="category" xfId="21" xr:uid="{00000000-0005-0000-0000-000038000000}"/>
    <cellStyle name="Celda de comprobación" xfId="22" xr:uid="{00000000-0005-0000-0000-000039000000}"/>
    <cellStyle name="Celda vinculada" xfId="23" xr:uid="{00000000-0005-0000-0000-00003A000000}"/>
    <cellStyle name="Comma [0]" xfId="516" builtinId="6"/>
    <cellStyle name="Encabezado 4" xfId="24" xr:uid="{00000000-0005-0000-0000-00003C000000}"/>
    <cellStyle name="Énfasis1" xfId="25" xr:uid="{00000000-0005-0000-0000-00003D000000}"/>
    <cellStyle name="Énfasis2" xfId="26" xr:uid="{00000000-0005-0000-0000-00003E000000}"/>
    <cellStyle name="Énfasis3" xfId="27" xr:uid="{00000000-0005-0000-0000-00003F000000}"/>
    <cellStyle name="Énfasis4" xfId="28" xr:uid="{00000000-0005-0000-0000-000040000000}"/>
    <cellStyle name="Énfasis5" xfId="29" xr:uid="{00000000-0005-0000-0000-000041000000}"/>
    <cellStyle name="Énfasis6" xfId="30" xr:uid="{00000000-0005-0000-0000-000042000000}"/>
    <cellStyle name="Entrada" xfId="31" xr:uid="{00000000-0005-0000-0000-000043000000}"/>
    <cellStyle name="Grey" xfId="32" xr:uid="{00000000-0005-0000-0000-000044000000}"/>
    <cellStyle name="HEADER" xfId="33" xr:uid="{00000000-0005-0000-0000-000045000000}"/>
    <cellStyle name="Header1" xfId="34" xr:uid="{00000000-0005-0000-0000-000046000000}"/>
    <cellStyle name="Header2" xfId="35" xr:uid="{00000000-0005-0000-0000-000047000000}"/>
    <cellStyle name="Incorrecto" xfId="36" xr:uid="{00000000-0005-0000-0000-000048000000}"/>
    <cellStyle name="Input [yellow]" xfId="37" xr:uid="{00000000-0005-0000-0000-000049000000}"/>
    <cellStyle name="Model" xfId="38" xr:uid="{00000000-0005-0000-0000-00004A000000}"/>
    <cellStyle name="Normal" xfId="0" builtinId="0"/>
    <cellStyle name="Normal - Style1" xfId="39" xr:uid="{00000000-0005-0000-0000-00004C000000}"/>
    <cellStyle name="Normal 2" xfId="825" xr:uid="{00000000-0005-0000-0000-00004D000000}"/>
    <cellStyle name="Normal 2 2" xfId="824" xr:uid="{00000000-0005-0000-0000-00004E000000}"/>
    <cellStyle name="Normal 3" xfId="823" xr:uid="{00000000-0005-0000-0000-00004F000000}"/>
    <cellStyle name="Normal 4" xfId="822" xr:uid="{00000000-0005-0000-0000-000050000000}"/>
    <cellStyle name="Normal 5" xfId="821" xr:uid="{00000000-0005-0000-0000-000051000000}"/>
    <cellStyle name="Normal 6" xfId="820" xr:uid="{00000000-0005-0000-0000-000052000000}"/>
    <cellStyle name="Notas" xfId="40" xr:uid="{00000000-0005-0000-0000-000053000000}"/>
    <cellStyle name="Percent [2]" xfId="41" xr:uid="{00000000-0005-0000-0000-000054000000}"/>
    <cellStyle name="Salida" xfId="42" xr:uid="{00000000-0005-0000-0000-000055000000}"/>
    <cellStyle name="subhead" xfId="43" xr:uid="{00000000-0005-0000-0000-000056000000}"/>
    <cellStyle name="Texto de advertencia" xfId="44" xr:uid="{00000000-0005-0000-0000-000057000000}"/>
    <cellStyle name="Texto explicativo" xfId="45" xr:uid="{00000000-0005-0000-0000-000058000000}"/>
    <cellStyle name="Título" xfId="46" xr:uid="{00000000-0005-0000-0000-000059000000}"/>
    <cellStyle name="Título 1" xfId="47" xr:uid="{00000000-0005-0000-0000-00005A000000}"/>
    <cellStyle name="Título 2" xfId="48" xr:uid="{00000000-0005-0000-0000-00005B000000}"/>
    <cellStyle name="Título 3" xfId="49" xr:uid="{00000000-0005-0000-0000-00005C000000}"/>
    <cellStyle name="강조색1 2" xfId="819" xr:uid="{00000000-0005-0000-0000-00005D000000}"/>
    <cellStyle name="강조색1 3" xfId="818" xr:uid="{00000000-0005-0000-0000-00005E000000}"/>
    <cellStyle name="강조색2 2" xfId="817" xr:uid="{00000000-0005-0000-0000-00005F000000}"/>
    <cellStyle name="강조색2 3" xfId="816" xr:uid="{00000000-0005-0000-0000-000060000000}"/>
    <cellStyle name="강조색3 2" xfId="815" xr:uid="{00000000-0005-0000-0000-000061000000}"/>
    <cellStyle name="강조색3 3" xfId="814" xr:uid="{00000000-0005-0000-0000-000062000000}"/>
    <cellStyle name="강조색4 2" xfId="813" xr:uid="{00000000-0005-0000-0000-000063000000}"/>
    <cellStyle name="강조색4 3" xfId="812" xr:uid="{00000000-0005-0000-0000-000064000000}"/>
    <cellStyle name="강조색5 2" xfId="811" xr:uid="{00000000-0005-0000-0000-000065000000}"/>
    <cellStyle name="강조색5 3" xfId="810" xr:uid="{00000000-0005-0000-0000-000066000000}"/>
    <cellStyle name="강조색6 2" xfId="809" xr:uid="{00000000-0005-0000-0000-000067000000}"/>
    <cellStyle name="강조색6 3" xfId="808" xr:uid="{00000000-0005-0000-0000-000068000000}"/>
    <cellStyle name="경고문 2" xfId="807" xr:uid="{00000000-0005-0000-0000-000069000000}"/>
    <cellStyle name="경고문 3" xfId="806" xr:uid="{00000000-0005-0000-0000-00006A000000}"/>
    <cellStyle name="계산 2" xfId="805" xr:uid="{00000000-0005-0000-0000-00006B000000}"/>
    <cellStyle name="계산 2 2" xfId="752" xr:uid="{00000000-0005-0000-0000-00006C000000}"/>
    <cellStyle name="계산 2 3" xfId="751" xr:uid="{00000000-0005-0000-0000-00006D000000}"/>
    <cellStyle name="계산 3" xfId="804" xr:uid="{00000000-0005-0000-0000-00006E000000}"/>
    <cellStyle name="계산 3 2" xfId="750" xr:uid="{00000000-0005-0000-0000-00006F000000}"/>
    <cellStyle name="계산 3 3" xfId="749" xr:uid="{00000000-0005-0000-0000-000070000000}"/>
    <cellStyle name="고정소숫점" xfId="50" xr:uid="{00000000-0005-0000-0000-000071000000}"/>
    <cellStyle name="고정출력1" xfId="51" xr:uid="{00000000-0005-0000-0000-000072000000}"/>
    <cellStyle name="고정출력2" xfId="52" xr:uid="{00000000-0005-0000-0000-000073000000}"/>
    <cellStyle name="나쁨 2" xfId="803" xr:uid="{00000000-0005-0000-0000-000074000000}"/>
    <cellStyle name="나쁨 3" xfId="802" xr:uid="{00000000-0005-0000-0000-000075000000}"/>
    <cellStyle name="날짜" xfId="53" xr:uid="{00000000-0005-0000-0000-000076000000}"/>
    <cellStyle name="달러" xfId="54" xr:uid="{00000000-0005-0000-0000-000077000000}"/>
    <cellStyle name="메모 2" xfId="801" xr:uid="{00000000-0005-0000-0000-000078000000}"/>
    <cellStyle name="메모 2 2" xfId="748" xr:uid="{00000000-0005-0000-0000-000079000000}"/>
    <cellStyle name="메모 2 3" xfId="747" xr:uid="{00000000-0005-0000-0000-00007A000000}"/>
    <cellStyle name="메모 3" xfId="800" xr:uid="{00000000-0005-0000-0000-00007B000000}"/>
    <cellStyle name="메모 3 2" xfId="746" xr:uid="{00000000-0005-0000-0000-00007C000000}"/>
    <cellStyle name="메모 3 3" xfId="745" xr:uid="{00000000-0005-0000-0000-00007D000000}"/>
    <cellStyle name="백분율 2" xfId="887" xr:uid="{00000000-0005-0000-0000-00007E000000}"/>
    <cellStyle name="백분율 2 2" xfId="744" xr:uid="{00000000-0005-0000-0000-00007F000000}"/>
    <cellStyle name="백분율 2 3" xfId="743" xr:uid="{00000000-0005-0000-0000-000080000000}"/>
    <cellStyle name="백분율 3" xfId="742" xr:uid="{00000000-0005-0000-0000-000081000000}"/>
    <cellStyle name="백분율 3 2" xfId="741" xr:uid="{00000000-0005-0000-0000-000082000000}"/>
    <cellStyle name="백분율 3 3" xfId="740" xr:uid="{00000000-0005-0000-0000-000083000000}"/>
    <cellStyle name="백분율 4" xfId="739" xr:uid="{00000000-0005-0000-0000-000084000000}"/>
    <cellStyle name="백분율 5" xfId="738" xr:uid="{00000000-0005-0000-0000-000085000000}"/>
    <cellStyle name="백분율 6" xfId="890" xr:uid="{00000000-0005-0000-0000-000086000000}"/>
    <cellStyle name="보통 2" xfId="799" xr:uid="{00000000-0005-0000-0000-000087000000}"/>
    <cellStyle name="보통 3" xfId="798" xr:uid="{00000000-0005-0000-0000-000088000000}"/>
    <cellStyle name="설명 텍스트 2" xfId="797" xr:uid="{00000000-0005-0000-0000-000089000000}"/>
    <cellStyle name="설명 텍스트 3" xfId="796" xr:uid="{00000000-0005-0000-0000-00008A000000}"/>
    <cellStyle name="셀 확인 2" xfId="795" xr:uid="{00000000-0005-0000-0000-00008B000000}"/>
    <cellStyle name="셀 확인 2 2" xfId="794" xr:uid="{00000000-0005-0000-0000-00008C000000}"/>
    <cellStyle name="셀 확인 2 3" xfId="737" xr:uid="{00000000-0005-0000-0000-00008D000000}"/>
    <cellStyle name="셀 확인 3" xfId="793" xr:uid="{00000000-0005-0000-0000-00008E000000}"/>
    <cellStyle name="쉼표 [0] 2" xfId="55" xr:uid="{00000000-0005-0000-0000-00008F000000}"/>
    <cellStyle name="쉼표 [0] 2 2" xfId="56" xr:uid="{00000000-0005-0000-0000-000090000000}"/>
    <cellStyle name="쉼표 [0] 2 2 2" xfId="57" xr:uid="{00000000-0005-0000-0000-000091000000}"/>
    <cellStyle name="쉼표 [0] 2 2 2 2" xfId="58" xr:uid="{00000000-0005-0000-0000-000092000000}"/>
    <cellStyle name="쉼표 [0] 2 2 2 2 2" xfId="59" xr:uid="{00000000-0005-0000-0000-000093000000}"/>
    <cellStyle name="쉼표 [0] 2 2 2 2 2 2" xfId="60" xr:uid="{00000000-0005-0000-0000-000094000000}"/>
    <cellStyle name="쉼표 [0] 2 2 2 2 2 2 2" xfId="61" xr:uid="{00000000-0005-0000-0000-000095000000}"/>
    <cellStyle name="쉼표 [0] 2 2 2 3" xfId="791" xr:uid="{00000000-0005-0000-0000-000096000000}"/>
    <cellStyle name="쉼표 [0] 2 2 2 4" xfId="907" xr:uid="{00000000-0005-0000-0000-000097000000}"/>
    <cellStyle name="쉼표 [0] 2 2 2 5" xfId="933" xr:uid="{00000000-0005-0000-0000-000098000000}"/>
    <cellStyle name="쉼표 [0] 2 2 3" xfId="735" xr:uid="{00000000-0005-0000-0000-000099000000}"/>
    <cellStyle name="쉼표 [0] 2 2 3 2" xfId="734" xr:uid="{00000000-0005-0000-0000-00009A000000}"/>
    <cellStyle name="쉼표 [0] 2 2 4" xfId="733" xr:uid="{00000000-0005-0000-0000-00009B000000}"/>
    <cellStyle name="쉼표 [0] 2 2 5" xfId="732" xr:uid="{00000000-0005-0000-0000-00009C000000}"/>
    <cellStyle name="쉼표 [0] 2 2 6" xfId="731" xr:uid="{00000000-0005-0000-0000-00009D000000}"/>
    <cellStyle name="쉼표 [0] 2 3" xfId="62" xr:uid="{00000000-0005-0000-0000-00009E000000}"/>
    <cellStyle name="쉼표 [0] 2 3 2" xfId="736" xr:uid="{00000000-0005-0000-0000-00009F000000}"/>
    <cellStyle name="쉼표 [0] 2 3 3" xfId="917" xr:uid="{00000000-0005-0000-0000-0000A0000000}"/>
    <cellStyle name="쉼표 [0] 2 3 4" xfId="945" xr:uid="{00000000-0005-0000-0000-0000A1000000}"/>
    <cellStyle name="쉼표 [0] 2 4" xfId="63" xr:uid="{00000000-0005-0000-0000-0000A2000000}"/>
    <cellStyle name="쉼표 [0] 2 4 2" xfId="64" xr:uid="{00000000-0005-0000-0000-0000A3000000}"/>
    <cellStyle name="쉼표 [0] 2 4 3" xfId="730" xr:uid="{00000000-0005-0000-0000-0000A4000000}"/>
    <cellStyle name="쉼표 [0] 2 4 4" xfId="918" xr:uid="{00000000-0005-0000-0000-0000A5000000}"/>
    <cellStyle name="쉼표 [0] 2 4 5" xfId="924" xr:uid="{00000000-0005-0000-0000-0000A6000000}"/>
    <cellStyle name="쉼표 [0] 2 5" xfId="891" xr:uid="{00000000-0005-0000-0000-0000A7000000}"/>
    <cellStyle name="쉼표 [0] 2 5 2" xfId="883" xr:uid="{00000000-0005-0000-0000-0000A8000000}"/>
    <cellStyle name="쉼표 [0] 2 5 3" xfId="894" xr:uid="{00000000-0005-0000-0000-0000A9000000}"/>
    <cellStyle name="쉼표 [0] 2 5 4" xfId="935" xr:uid="{00000000-0005-0000-0000-0000AA000000}"/>
    <cellStyle name="쉼표 [0] 2 6" xfId="893" xr:uid="{00000000-0005-0000-0000-0000AB000000}"/>
    <cellStyle name="쉼표 [0] 2 7" xfId="904" xr:uid="{00000000-0005-0000-0000-0000AC000000}"/>
    <cellStyle name="쉼표 [0] 3" xfId="65" xr:uid="{00000000-0005-0000-0000-0000AD000000}"/>
    <cellStyle name="쉼표 [0] 3 10" xfId="899" xr:uid="{00000000-0005-0000-0000-0000AE000000}"/>
    <cellStyle name="쉼표 [0] 3 2" xfId="66" xr:uid="{00000000-0005-0000-0000-0000AF000000}"/>
    <cellStyle name="쉼표 [0] 3 2 2" xfId="729" xr:uid="{00000000-0005-0000-0000-0000B0000000}"/>
    <cellStyle name="쉼표 [0] 3 2 3" xfId="919" xr:uid="{00000000-0005-0000-0000-0000B1000000}"/>
    <cellStyle name="쉼표 [0] 3 2 4" xfId="923" xr:uid="{00000000-0005-0000-0000-0000B2000000}"/>
    <cellStyle name="쉼표 [0] 3 3" xfId="888" xr:uid="{00000000-0005-0000-0000-0000B3000000}"/>
    <cellStyle name="쉼표 [0] 3 3 2" xfId="728" xr:uid="{00000000-0005-0000-0000-0000B4000000}"/>
    <cellStyle name="쉼표 [0] 3 3 3" xfId="920" xr:uid="{00000000-0005-0000-0000-0000B5000000}"/>
    <cellStyle name="쉼표 [0] 3 3 4" xfId="922" xr:uid="{00000000-0005-0000-0000-0000B6000000}"/>
    <cellStyle name="쉼표 [0] 3 4" xfId="727" xr:uid="{00000000-0005-0000-0000-0000B7000000}"/>
    <cellStyle name="쉼표 [0] 3 5" xfId="726" xr:uid="{00000000-0005-0000-0000-0000B8000000}"/>
    <cellStyle name="쉼표 [0] 3 6" xfId="725" xr:uid="{00000000-0005-0000-0000-0000B9000000}"/>
    <cellStyle name="쉼표 [0] 3 7" xfId="724" xr:uid="{00000000-0005-0000-0000-0000BA000000}"/>
    <cellStyle name="쉼표 [0] 3 8" xfId="790" xr:uid="{00000000-0005-0000-0000-0000BB000000}"/>
    <cellStyle name="쉼표 [0] 3 9" xfId="865" xr:uid="{00000000-0005-0000-0000-0000BC000000}"/>
    <cellStyle name="쉼표 [0] 4" xfId="67" xr:uid="{00000000-0005-0000-0000-0000BD000000}"/>
    <cellStyle name="쉼표 [0] 4 2" xfId="789" xr:uid="{00000000-0005-0000-0000-0000BE000000}"/>
    <cellStyle name="쉼표 [0] 4 3" xfId="723" xr:uid="{00000000-0005-0000-0000-0000BF000000}"/>
    <cellStyle name="쉼표 [0] 4 4" xfId="722" xr:uid="{00000000-0005-0000-0000-0000C0000000}"/>
    <cellStyle name="쉼표 [0] 4 5" xfId="721" xr:uid="{00000000-0005-0000-0000-0000C1000000}"/>
    <cellStyle name="쉼표 [0] 4 6" xfId="720" xr:uid="{00000000-0005-0000-0000-0000C2000000}"/>
    <cellStyle name="쉼표 [0] 4 7" xfId="909" xr:uid="{00000000-0005-0000-0000-0000C3000000}"/>
    <cellStyle name="쉼표 [0] 4 8" xfId="949" xr:uid="{00000000-0005-0000-0000-0000C4000000}"/>
    <cellStyle name="쉼표 [0] 5" xfId="68" xr:uid="{00000000-0005-0000-0000-0000C5000000}"/>
    <cellStyle name="쉼표 [0] 5 2" xfId="884" xr:uid="{00000000-0005-0000-0000-0000C6000000}"/>
    <cellStyle name="쉼표 [0] 5 2 2" xfId="719" xr:uid="{00000000-0005-0000-0000-0000C7000000}"/>
    <cellStyle name="쉼표 [0] 5 2 3" xfId="921" xr:uid="{00000000-0005-0000-0000-0000C8000000}"/>
    <cellStyle name="쉼표 [0] 5 2 4" xfId="911" xr:uid="{00000000-0005-0000-0000-0000C9000000}"/>
    <cellStyle name="쉼표 [0] 5 3" xfId="868" xr:uid="{00000000-0005-0000-0000-0000CA000000}"/>
    <cellStyle name="쉼표 [0] 5 4" xfId="912" xr:uid="{00000000-0005-0000-0000-0000CB000000}"/>
    <cellStyle name="쉼표 [0] 6" xfId="792" xr:uid="{00000000-0005-0000-0000-0000CC000000}"/>
    <cellStyle name="쉼표 [0] 6 2" xfId="718" xr:uid="{00000000-0005-0000-0000-0000CD000000}"/>
    <cellStyle name="쉼표 [0] 7" xfId="885" xr:uid="{00000000-0005-0000-0000-0000CE000000}"/>
    <cellStyle name="쉼표 [0] 8" xfId="577" xr:uid="{00000000-0005-0000-0000-0000CF000000}"/>
    <cellStyle name="쉼표 [0] 8 2" xfId="576" xr:uid="{00000000-0005-0000-0000-0000D0000000}"/>
    <cellStyle name="쉼표 2 2" xfId="69" xr:uid="{00000000-0005-0000-0000-0000D1000000}"/>
    <cellStyle name="쉼표 2 3" xfId="70" xr:uid="{00000000-0005-0000-0000-0000D2000000}"/>
    <cellStyle name="쉼표 2 4" xfId="71" xr:uid="{00000000-0005-0000-0000-0000D3000000}"/>
    <cellStyle name="쉼표 2 5" xfId="72" xr:uid="{00000000-0005-0000-0000-0000D4000000}"/>
    <cellStyle name="쉼표 2 6" xfId="73" xr:uid="{00000000-0005-0000-0000-0000D5000000}"/>
    <cellStyle name="쉼표 3" xfId="74" xr:uid="{00000000-0005-0000-0000-0000D6000000}"/>
    <cellStyle name="쉼표 4" xfId="75" xr:uid="{00000000-0005-0000-0000-0000D7000000}"/>
    <cellStyle name="스타일 1" xfId="76" xr:uid="{00000000-0005-0000-0000-0000D8000000}"/>
    <cellStyle name="스타일 1 2" xfId="77" xr:uid="{00000000-0005-0000-0000-0000D9000000}"/>
    <cellStyle name="스타일 1 2 10" xfId="78" xr:uid="{00000000-0005-0000-0000-0000DA000000}"/>
    <cellStyle name="스타일 1 2 10 2" xfId="79" xr:uid="{00000000-0005-0000-0000-0000DB000000}"/>
    <cellStyle name="스타일 1 2 10 3" xfId="80" xr:uid="{00000000-0005-0000-0000-0000DC000000}"/>
    <cellStyle name="스타일 1 2 10 4" xfId="81" xr:uid="{00000000-0005-0000-0000-0000DD000000}"/>
    <cellStyle name="스타일 1 2 10 5" xfId="82" xr:uid="{00000000-0005-0000-0000-0000DE000000}"/>
    <cellStyle name="스타일 1 2 11" xfId="83" xr:uid="{00000000-0005-0000-0000-0000DF000000}"/>
    <cellStyle name="스타일 1 2 11 2" xfId="84" xr:uid="{00000000-0005-0000-0000-0000E0000000}"/>
    <cellStyle name="스타일 1 2 11 3" xfId="85" xr:uid="{00000000-0005-0000-0000-0000E1000000}"/>
    <cellStyle name="스타일 1 2 11 4" xfId="86" xr:uid="{00000000-0005-0000-0000-0000E2000000}"/>
    <cellStyle name="스타일 1 2 11 5" xfId="87" xr:uid="{00000000-0005-0000-0000-0000E3000000}"/>
    <cellStyle name="스타일 1 2 12" xfId="88" xr:uid="{00000000-0005-0000-0000-0000E4000000}"/>
    <cellStyle name="스타일 1 2 12 2" xfId="89" xr:uid="{00000000-0005-0000-0000-0000E5000000}"/>
    <cellStyle name="스타일 1 2 12 3" xfId="90" xr:uid="{00000000-0005-0000-0000-0000E6000000}"/>
    <cellStyle name="스타일 1 2 12 4" xfId="91" xr:uid="{00000000-0005-0000-0000-0000E7000000}"/>
    <cellStyle name="스타일 1 2 12 5" xfId="92" xr:uid="{00000000-0005-0000-0000-0000E8000000}"/>
    <cellStyle name="스타일 1 2 13" xfId="93" xr:uid="{00000000-0005-0000-0000-0000E9000000}"/>
    <cellStyle name="스타일 1 2 13 2" xfId="94" xr:uid="{00000000-0005-0000-0000-0000EA000000}"/>
    <cellStyle name="스타일 1 2 13 3" xfId="95" xr:uid="{00000000-0005-0000-0000-0000EB000000}"/>
    <cellStyle name="스타일 1 2 13 4" xfId="96" xr:uid="{00000000-0005-0000-0000-0000EC000000}"/>
    <cellStyle name="스타일 1 2 13 5" xfId="97" xr:uid="{00000000-0005-0000-0000-0000ED000000}"/>
    <cellStyle name="스타일 1 2 14" xfId="98" xr:uid="{00000000-0005-0000-0000-0000EE000000}"/>
    <cellStyle name="스타일 1 2 14 2" xfId="99" xr:uid="{00000000-0005-0000-0000-0000EF000000}"/>
    <cellStyle name="스타일 1 2 14 3" xfId="100" xr:uid="{00000000-0005-0000-0000-0000F0000000}"/>
    <cellStyle name="스타일 1 2 14 4" xfId="101" xr:uid="{00000000-0005-0000-0000-0000F1000000}"/>
    <cellStyle name="스타일 1 2 14 5" xfId="102" xr:uid="{00000000-0005-0000-0000-0000F2000000}"/>
    <cellStyle name="스타일 1 2 15" xfId="103" xr:uid="{00000000-0005-0000-0000-0000F3000000}"/>
    <cellStyle name="스타일 1 2 15 2" xfId="104" xr:uid="{00000000-0005-0000-0000-0000F4000000}"/>
    <cellStyle name="스타일 1 2 15 3" xfId="105" xr:uid="{00000000-0005-0000-0000-0000F5000000}"/>
    <cellStyle name="스타일 1 2 15 4" xfId="106" xr:uid="{00000000-0005-0000-0000-0000F6000000}"/>
    <cellStyle name="스타일 1 2 15 5" xfId="107" xr:uid="{00000000-0005-0000-0000-0000F7000000}"/>
    <cellStyle name="스타일 1 2 16" xfId="108" xr:uid="{00000000-0005-0000-0000-0000F8000000}"/>
    <cellStyle name="스타일 1 2 16 2" xfId="109" xr:uid="{00000000-0005-0000-0000-0000F9000000}"/>
    <cellStyle name="스타일 1 2 16 3" xfId="110" xr:uid="{00000000-0005-0000-0000-0000FA000000}"/>
    <cellStyle name="스타일 1 2 16 4" xfId="111" xr:uid="{00000000-0005-0000-0000-0000FB000000}"/>
    <cellStyle name="스타일 1 2 16 5" xfId="112" xr:uid="{00000000-0005-0000-0000-0000FC000000}"/>
    <cellStyle name="스타일 1 2 17" xfId="113" xr:uid="{00000000-0005-0000-0000-0000FD000000}"/>
    <cellStyle name="스타일 1 2 17 2" xfId="114" xr:uid="{00000000-0005-0000-0000-0000FE000000}"/>
    <cellStyle name="스타일 1 2 17 3" xfId="115" xr:uid="{00000000-0005-0000-0000-0000FF000000}"/>
    <cellStyle name="스타일 1 2 17 4" xfId="116" xr:uid="{00000000-0005-0000-0000-000000010000}"/>
    <cellStyle name="스타일 1 2 17 5" xfId="117" xr:uid="{00000000-0005-0000-0000-000001010000}"/>
    <cellStyle name="스타일 1 2 18" xfId="118" xr:uid="{00000000-0005-0000-0000-000002010000}"/>
    <cellStyle name="스타일 1 2 18 2" xfId="119" xr:uid="{00000000-0005-0000-0000-000003010000}"/>
    <cellStyle name="스타일 1 2 18 3" xfId="120" xr:uid="{00000000-0005-0000-0000-000004010000}"/>
    <cellStyle name="스타일 1 2 18 4" xfId="121" xr:uid="{00000000-0005-0000-0000-000005010000}"/>
    <cellStyle name="스타일 1 2 18 5" xfId="122" xr:uid="{00000000-0005-0000-0000-000006010000}"/>
    <cellStyle name="스타일 1 2 19" xfId="123" xr:uid="{00000000-0005-0000-0000-000007010000}"/>
    <cellStyle name="스타일 1 2 19 2" xfId="124" xr:uid="{00000000-0005-0000-0000-000008010000}"/>
    <cellStyle name="스타일 1 2 19 3" xfId="125" xr:uid="{00000000-0005-0000-0000-000009010000}"/>
    <cellStyle name="스타일 1 2 19 4" xfId="126" xr:uid="{00000000-0005-0000-0000-00000A010000}"/>
    <cellStyle name="스타일 1 2 19 5" xfId="127" xr:uid="{00000000-0005-0000-0000-00000B010000}"/>
    <cellStyle name="스타일 1 2 2" xfId="128" xr:uid="{00000000-0005-0000-0000-00000C010000}"/>
    <cellStyle name="스타일 1 2 2 2" xfId="129" xr:uid="{00000000-0005-0000-0000-00000D010000}"/>
    <cellStyle name="스타일 1 2 2 3" xfId="130" xr:uid="{00000000-0005-0000-0000-00000E010000}"/>
    <cellStyle name="스타일 1 2 2 4" xfId="131" xr:uid="{00000000-0005-0000-0000-00000F010000}"/>
    <cellStyle name="스타일 1 2 2 5" xfId="132" xr:uid="{00000000-0005-0000-0000-000010010000}"/>
    <cellStyle name="스타일 1 2 20" xfId="133" xr:uid="{00000000-0005-0000-0000-000011010000}"/>
    <cellStyle name="스타일 1 2 20 2" xfId="134" xr:uid="{00000000-0005-0000-0000-000012010000}"/>
    <cellStyle name="스타일 1 2 20 3" xfId="135" xr:uid="{00000000-0005-0000-0000-000013010000}"/>
    <cellStyle name="스타일 1 2 20 4" xfId="136" xr:uid="{00000000-0005-0000-0000-000014010000}"/>
    <cellStyle name="스타일 1 2 20 5" xfId="137" xr:uid="{00000000-0005-0000-0000-000015010000}"/>
    <cellStyle name="스타일 1 2 21" xfId="138" xr:uid="{00000000-0005-0000-0000-000016010000}"/>
    <cellStyle name="스타일 1 2 21 2" xfId="139" xr:uid="{00000000-0005-0000-0000-000017010000}"/>
    <cellStyle name="스타일 1 2 21 3" xfId="140" xr:uid="{00000000-0005-0000-0000-000018010000}"/>
    <cellStyle name="스타일 1 2 21 4" xfId="141" xr:uid="{00000000-0005-0000-0000-000019010000}"/>
    <cellStyle name="스타일 1 2 21 5" xfId="142" xr:uid="{00000000-0005-0000-0000-00001A010000}"/>
    <cellStyle name="스타일 1 2 22" xfId="143" xr:uid="{00000000-0005-0000-0000-00001B010000}"/>
    <cellStyle name="스타일 1 2 22 2" xfId="144" xr:uid="{00000000-0005-0000-0000-00001C010000}"/>
    <cellStyle name="스타일 1 2 22 3" xfId="145" xr:uid="{00000000-0005-0000-0000-00001D010000}"/>
    <cellStyle name="스타일 1 2 22 4" xfId="146" xr:uid="{00000000-0005-0000-0000-00001E010000}"/>
    <cellStyle name="스타일 1 2 22 5" xfId="147" xr:uid="{00000000-0005-0000-0000-00001F010000}"/>
    <cellStyle name="스타일 1 2 23" xfId="148" xr:uid="{00000000-0005-0000-0000-000020010000}"/>
    <cellStyle name="스타일 1 2 23 2" xfId="149" xr:uid="{00000000-0005-0000-0000-000021010000}"/>
    <cellStyle name="스타일 1 2 23 3" xfId="150" xr:uid="{00000000-0005-0000-0000-000022010000}"/>
    <cellStyle name="스타일 1 2 23 4" xfId="151" xr:uid="{00000000-0005-0000-0000-000023010000}"/>
    <cellStyle name="스타일 1 2 23 5" xfId="152" xr:uid="{00000000-0005-0000-0000-000024010000}"/>
    <cellStyle name="스타일 1 2 24" xfId="153" xr:uid="{00000000-0005-0000-0000-000025010000}"/>
    <cellStyle name="스타일 1 2 24 2" xfId="154" xr:uid="{00000000-0005-0000-0000-000026010000}"/>
    <cellStyle name="스타일 1 2 24 3" xfId="155" xr:uid="{00000000-0005-0000-0000-000027010000}"/>
    <cellStyle name="스타일 1 2 24 4" xfId="156" xr:uid="{00000000-0005-0000-0000-000028010000}"/>
    <cellStyle name="스타일 1 2 24 5" xfId="157" xr:uid="{00000000-0005-0000-0000-000029010000}"/>
    <cellStyle name="스타일 1 2 25" xfId="158" xr:uid="{00000000-0005-0000-0000-00002A010000}"/>
    <cellStyle name="스타일 1 2 25 2" xfId="159" xr:uid="{00000000-0005-0000-0000-00002B010000}"/>
    <cellStyle name="스타일 1 2 25 3" xfId="160" xr:uid="{00000000-0005-0000-0000-00002C010000}"/>
    <cellStyle name="스타일 1 2 25 4" xfId="161" xr:uid="{00000000-0005-0000-0000-00002D010000}"/>
    <cellStyle name="스타일 1 2 25 5" xfId="162" xr:uid="{00000000-0005-0000-0000-00002E010000}"/>
    <cellStyle name="스타일 1 2 26" xfId="163" xr:uid="{00000000-0005-0000-0000-00002F010000}"/>
    <cellStyle name="스타일 1 2 26 2" xfId="164" xr:uid="{00000000-0005-0000-0000-000030010000}"/>
    <cellStyle name="스타일 1 2 26 3" xfId="165" xr:uid="{00000000-0005-0000-0000-000031010000}"/>
    <cellStyle name="스타일 1 2 26 4" xfId="166" xr:uid="{00000000-0005-0000-0000-000032010000}"/>
    <cellStyle name="스타일 1 2 26 5" xfId="167" xr:uid="{00000000-0005-0000-0000-000033010000}"/>
    <cellStyle name="스타일 1 2 27" xfId="168" xr:uid="{00000000-0005-0000-0000-000034010000}"/>
    <cellStyle name="스타일 1 2 27 2" xfId="169" xr:uid="{00000000-0005-0000-0000-000035010000}"/>
    <cellStyle name="스타일 1 2 27 3" xfId="170" xr:uid="{00000000-0005-0000-0000-000036010000}"/>
    <cellStyle name="스타일 1 2 27 4" xfId="171" xr:uid="{00000000-0005-0000-0000-000037010000}"/>
    <cellStyle name="스타일 1 2 27 5" xfId="172" xr:uid="{00000000-0005-0000-0000-000038010000}"/>
    <cellStyle name="스타일 1 2 28" xfId="173" xr:uid="{00000000-0005-0000-0000-000039010000}"/>
    <cellStyle name="스타일 1 2 28 2" xfId="174" xr:uid="{00000000-0005-0000-0000-00003A010000}"/>
    <cellStyle name="스타일 1 2 28 3" xfId="175" xr:uid="{00000000-0005-0000-0000-00003B010000}"/>
    <cellStyle name="스타일 1 2 28 4" xfId="176" xr:uid="{00000000-0005-0000-0000-00003C010000}"/>
    <cellStyle name="스타일 1 2 28 5" xfId="177" xr:uid="{00000000-0005-0000-0000-00003D010000}"/>
    <cellStyle name="스타일 1 2 29" xfId="178" xr:uid="{00000000-0005-0000-0000-00003E010000}"/>
    <cellStyle name="스타일 1 2 29 2" xfId="179" xr:uid="{00000000-0005-0000-0000-00003F010000}"/>
    <cellStyle name="스타일 1 2 29 3" xfId="180" xr:uid="{00000000-0005-0000-0000-000040010000}"/>
    <cellStyle name="스타일 1 2 29 4" xfId="181" xr:uid="{00000000-0005-0000-0000-000041010000}"/>
    <cellStyle name="스타일 1 2 29 5" xfId="182" xr:uid="{00000000-0005-0000-0000-000042010000}"/>
    <cellStyle name="스타일 1 2 3" xfId="183" xr:uid="{00000000-0005-0000-0000-000043010000}"/>
    <cellStyle name="스타일 1 2 3 2" xfId="184" xr:uid="{00000000-0005-0000-0000-000044010000}"/>
    <cellStyle name="스타일 1 2 3 3" xfId="185" xr:uid="{00000000-0005-0000-0000-000045010000}"/>
    <cellStyle name="스타일 1 2 3 4" xfId="186" xr:uid="{00000000-0005-0000-0000-000046010000}"/>
    <cellStyle name="스타일 1 2 3 5" xfId="187" xr:uid="{00000000-0005-0000-0000-000047010000}"/>
    <cellStyle name="스타일 1 2 30" xfId="188" xr:uid="{00000000-0005-0000-0000-000048010000}"/>
    <cellStyle name="스타일 1 2 30 2" xfId="189" xr:uid="{00000000-0005-0000-0000-000049010000}"/>
    <cellStyle name="스타일 1 2 30 3" xfId="190" xr:uid="{00000000-0005-0000-0000-00004A010000}"/>
    <cellStyle name="스타일 1 2 30 4" xfId="191" xr:uid="{00000000-0005-0000-0000-00004B010000}"/>
    <cellStyle name="스타일 1 2 30 5" xfId="192" xr:uid="{00000000-0005-0000-0000-00004C010000}"/>
    <cellStyle name="스타일 1 2 31" xfId="193" xr:uid="{00000000-0005-0000-0000-00004D010000}"/>
    <cellStyle name="스타일 1 2 31 2" xfId="194" xr:uid="{00000000-0005-0000-0000-00004E010000}"/>
    <cellStyle name="스타일 1 2 31 3" xfId="195" xr:uid="{00000000-0005-0000-0000-00004F010000}"/>
    <cellStyle name="스타일 1 2 31 4" xfId="196" xr:uid="{00000000-0005-0000-0000-000050010000}"/>
    <cellStyle name="스타일 1 2 31 5" xfId="197" xr:uid="{00000000-0005-0000-0000-000051010000}"/>
    <cellStyle name="스타일 1 2 32" xfId="198" xr:uid="{00000000-0005-0000-0000-000052010000}"/>
    <cellStyle name="스타일 1 2 32 2" xfId="199" xr:uid="{00000000-0005-0000-0000-000053010000}"/>
    <cellStyle name="스타일 1 2 32 3" xfId="200" xr:uid="{00000000-0005-0000-0000-000054010000}"/>
    <cellStyle name="스타일 1 2 32 4" xfId="201" xr:uid="{00000000-0005-0000-0000-000055010000}"/>
    <cellStyle name="스타일 1 2 32 5" xfId="202" xr:uid="{00000000-0005-0000-0000-000056010000}"/>
    <cellStyle name="스타일 1 2 33" xfId="203" xr:uid="{00000000-0005-0000-0000-000057010000}"/>
    <cellStyle name="스타일 1 2 33 2" xfId="204" xr:uid="{00000000-0005-0000-0000-000058010000}"/>
    <cellStyle name="스타일 1 2 33 3" xfId="205" xr:uid="{00000000-0005-0000-0000-000059010000}"/>
    <cellStyle name="스타일 1 2 33 4" xfId="206" xr:uid="{00000000-0005-0000-0000-00005A010000}"/>
    <cellStyle name="스타일 1 2 33 5" xfId="207" xr:uid="{00000000-0005-0000-0000-00005B010000}"/>
    <cellStyle name="스타일 1 2 34" xfId="208" xr:uid="{00000000-0005-0000-0000-00005C010000}"/>
    <cellStyle name="스타일 1 2 34 2" xfId="209" xr:uid="{00000000-0005-0000-0000-00005D010000}"/>
    <cellStyle name="스타일 1 2 34 3" xfId="210" xr:uid="{00000000-0005-0000-0000-00005E010000}"/>
    <cellStyle name="스타일 1 2 34 4" xfId="211" xr:uid="{00000000-0005-0000-0000-00005F010000}"/>
    <cellStyle name="스타일 1 2 34 5" xfId="212" xr:uid="{00000000-0005-0000-0000-000060010000}"/>
    <cellStyle name="스타일 1 2 35" xfId="213" xr:uid="{00000000-0005-0000-0000-000061010000}"/>
    <cellStyle name="스타일 1 2 35 2" xfId="214" xr:uid="{00000000-0005-0000-0000-000062010000}"/>
    <cellStyle name="스타일 1 2 35 3" xfId="215" xr:uid="{00000000-0005-0000-0000-000063010000}"/>
    <cellStyle name="스타일 1 2 35 4" xfId="216" xr:uid="{00000000-0005-0000-0000-000064010000}"/>
    <cellStyle name="스타일 1 2 35 5" xfId="217" xr:uid="{00000000-0005-0000-0000-000065010000}"/>
    <cellStyle name="스타일 1 2 36" xfId="218" xr:uid="{00000000-0005-0000-0000-000066010000}"/>
    <cellStyle name="스타일 1 2 36 2" xfId="219" xr:uid="{00000000-0005-0000-0000-000067010000}"/>
    <cellStyle name="스타일 1 2 36 3" xfId="220" xr:uid="{00000000-0005-0000-0000-000068010000}"/>
    <cellStyle name="스타일 1 2 36 4" xfId="221" xr:uid="{00000000-0005-0000-0000-000069010000}"/>
    <cellStyle name="스타일 1 2 36 5" xfId="222" xr:uid="{00000000-0005-0000-0000-00006A010000}"/>
    <cellStyle name="스타일 1 2 37" xfId="223" xr:uid="{00000000-0005-0000-0000-00006B010000}"/>
    <cellStyle name="스타일 1 2 37 2" xfId="224" xr:uid="{00000000-0005-0000-0000-00006C010000}"/>
    <cellStyle name="스타일 1 2 37 3" xfId="225" xr:uid="{00000000-0005-0000-0000-00006D010000}"/>
    <cellStyle name="스타일 1 2 37 4" xfId="226" xr:uid="{00000000-0005-0000-0000-00006E010000}"/>
    <cellStyle name="스타일 1 2 37 5" xfId="227" xr:uid="{00000000-0005-0000-0000-00006F010000}"/>
    <cellStyle name="스타일 1 2 38" xfId="228" xr:uid="{00000000-0005-0000-0000-000070010000}"/>
    <cellStyle name="스타일 1 2 38 2" xfId="229" xr:uid="{00000000-0005-0000-0000-000071010000}"/>
    <cellStyle name="스타일 1 2 38 3" xfId="230" xr:uid="{00000000-0005-0000-0000-000072010000}"/>
    <cellStyle name="스타일 1 2 38 4" xfId="231" xr:uid="{00000000-0005-0000-0000-000073010000}"/>
    <cellStyle name="스타일 1 2 38 5" xfId="232" xr:uid="{00000000-0005-0000-0000-000074010000}"/>
    <cellStyle name="스타일 1 2 39" xfId="233" xr:uid="{00000000-0005-0000-0000-000075010000}"/>
    <cellStyle name="스타일 1 2 39 2" xfId="234" xr:uid="{00000000-0005-0000-0000-000076010000}"/>
    <cellStyle name="스타일 1 2 39 3" xfId="235" xr:uid="{00000000-0005-0000-0000-000077010000}"/>
    <cellStyle name="스타일 1 2 39 4" xfId="236" xr:uid="{00000000-0005-0000-0000-000078010000}"/>
    <cellStyle name="스타일 1 2 39 5" xfId="237" xr:uid="{00000000-0005-0000-0000-000079010000}"/>
    <cellStyle name="스타일 1 2 4" xfId="238" xr:uid="{00000000-0005-0000-0000-00007A010000}"/>
    <cellStyle name="스타일 1 2 4 2" xfId="239" xr:uid="{00000000-0005-0000-0000-00007B010000}"/>
    <cellStyle name="스타일 1 2 4 3" xfId="240" xr:uid="{00000000-0005-0000-0000-00007C010000}"/>
    <cellStyle name="스타일 1 2 4 4" xfId="241" xr:uid="{00000000-0005-0000-0000-00007D010000}"/>
    <cellStyle name="스타일 1 2 4 5" xfId="242" xr:uid="{00000000-0005-0000-0000-00007E010000}"/>
    <cellStyle name="스타일 1 2 40" xfId="243" xr:uid="{00000000-0005-0000-0000-00007F010000}"/>
    <cellStyle name="스타일 1 2 40 2" xfId="244" xr:uid="{00000000-0005-0000-0000-000080010000}"/>
    <cellStyle name="스타일 1 2 40 3" xfId="245" xr:uid="{00000000-0005-0000-0000-000081010000}"/>
    <cellStyle name="스타일 1 2 40 4" xfId="246" xr:uid="{00000000-0005-0000-0000-000082010000}"/>
    <cellStyle name="스타일 1 2 40 5" xfId="247" xr:uid="{00000000-0005-0000-0000-000083010000}"/>
    <cellStyle name="스타일 1 2 41" xfId="248" xr:uid="{00000000-0005-0000-0000-000084010000}"/>
    <cellStyle name="스타일 1 2 42" xfId="249" xr:uid="{00000000-0005-0000-0000-000085010000}"/>
    <cellStyle name="스타일 1 2 43" xfId="250" xr:uid="{00000000-0005-0000-0000-000086010000}"/>
    <cellStyle name="스타일 1 2 44" xfId="251" xr:uid="{00000000-0005-0000-0000-000087010000}"/>
    <cellStyle name="스타일 1 2 5" xfId="252" xr:uid="{00000000-0005-0000-0000-000088010000}"/>
    <cellStyle name="스타일 1 2 5 2" xfId="253" xr:uid="{00000000-0005-0000-0000-000089010000}"/>
    <cellStyle name="스타일 1 2 5 3" xfId="254" xr:uid="{00000000-0005-0000-0000-00008A010000}"/>
    <cellStyle name="스타일 1 2 5 4" xfId="255" xr:uid="{00000000-0005-0000-0000-00008B010000}"/>
    <cellStyle name="스타일 1 2 5 5" xfId="256" xr:uid="{00000000-0005-0000-0000-00008C010000}"/>
    <cellStyle name="스타일 1 2 6" xfId="257" xr:uid="{00000000-0005-0000-0000-00008D010000}"/>
    <cellStyle name="스타일 1 2 6 2" xfId="258" xr:uid="{00000000-0005-0000-0000-00008E010000}"/>
    <cellStyle name="스타일 1 2 6 3" xfId="259" xr:uid="{00000000-0005-0000-0000-00008F010000}"/>
    <cellStyle name="스타일 1 2 6 4" xfId="260" xr:uid="{00000000-0005-0000-0000-000090010000}"/>
    <cellStyle name="스타일 1 2 6 5" xfId="261" xr:uid="{00000000-0005-0000-0000-000091010000}"/>
    <cellStyle name="스타일 1 2 7" xfId="262" xr:uid="{00000000-0005-0000-0000-000092010000}"/>
    <cellStyle name="스타일 1 2 7 2" xfId="263" xr:uid="{00000000-0005-0000-0000-000093010000}"/>
    <cellStyle name="스타일 1 2 7 3" xfId="264" xr:uid="{00000000-0005-0000-0000-000094010000}"/>
    <cellStyle name="스타일 1 2 7 4" xfId="265" xr:uid="{00000000-0005-0000-0000-000095010000}"/>
    <cellStyle name="스타일 1 2 7 5" xfId="266" xr:uid="{00000000-0005-0000-0000-000096010000}"/>
    <cellStyle name="스타일 1 2 8" xfId="267" xr:uid="{00000000-0005-0000-0000-000097010000}"/>
    <cellStyle name="스타일 1 2 8 2" xfId="268" xr:uid="{00000000-0005-0000-0000-000098010000}"/>
    <cellStyle name="스타일 1 2 8 3" xfId="269" xr:uid="{00000000-0005-0000-0000-000099010000}"/>
    <cellStyle name="스타일 1 2 8 4" xfId="270" xr:uid="{00000000-0005-0000-0000-00009A010000}"/>
    <cellStyle name="스타일 1 2 8 5" xfId="271" xr:uid="{00000000-0005-0000-0000-00009B010000}"/>
    <cellStyle name="스타일 1 2 9" xfId="272" xr:uid="{00000000-0005-0000-0000-00009C010000}"/>
    <cellStyle name="스타일 1 2 9 2" xfId="273" xr:uid="{00000000-0005-0000-0000-00009D010000}"/>
    <cellStyle name="스타일 1 2 9 3" xfId="274" xr:uid="{00000000-0005-0000-0000-00009E010000}"/>
    <cellStyle name="스타일 1 2 9 4" xfId="275" xr:uid="{00000000-0005-0000-0000-00009F010000}"/>
    <cellStyle name="스타일 1 2 9 5" xfId="276" xr:uid="{00000000-0005-0000-0000-0000A0010000}"/>
    <cellStyle name="스타일 1 3" xfId="277" xr:uid="{00000000-0005-0000-0000-0000A1010000}"/>
    <cellStyle name="스타일 1 3 10" xfId="278" xr:uid="{00000000-0005-0000-0000-0000A2010000}"/>
    <cellStyle name="스타일 1 3 10 2" xfId="279" xr:uid="{00000000-0005-0000-0000-0000A3010000}"/>
    <cellStyle name="스타일 1 3 10 3" xfId="280" xr:uid="{00000000-0005-0000-0000-0000A4010000}"/>
    <cellStyle name="스타일 1 3 10 4" xfId="281" xr:uid="{00000000-0005-0000-0000-0000A5010000}"/>
    <cellStyle name="스타일 1 3 10 5" xfId="282" xr:uid="{00000000-0005-0000-0000-0000A6010000}"/>
    <cellStyle name="스타일 1 3 11" xfId="283" xr:uid="{00000000-0005-0000-0000-0000A7010000}"/>
    <cellStyle name="스타일 1 3 11 2" xfId="284" xr:uid="{00000000-0005-0000-0000-0000A8010000}"/>
    <cellStyle name="스타일 1 3 11 3" xfId="285" xr:uid="{00000000-0005-0000-0000-0000A9010000}"/>
    <cellStyle name="스타일 1 3 11 4" xfId="286" xr:uid="{00000000-0005-0000-0000-0000AA010000}"/>
    <cellStyle name="스타일 1 3 11 5" xfId="287" xr:uid="{00000000-0005-0000-0000-0000AB010000}"/>
    <cellStyle name="스타일 1 3 12" xfId="288" xr:uid="{00000000-0005-0000-0000-0000AC010000}"/>
    <cellStyle name="스타일 1 3 12 2" xfId="289" xr:uid="{00000000-0005-0000-0000-0000AD010000}"/>
    <cellStyle name="스타일 1 3 12 3" xfId="290" xr:uid="{00000000-0005-0000-0000-0000AE010000}"/>
    <cellStyle name="스타일 1 3 12 4" xfId="291" xr:uid="{00000000-0005-0000-0000-0000AF010000}"/>
    <cellStyle name="스타일 1 3 12 5" xfId="292" xr:uid="{00000000-0005-0000-0000-0000B0010000}"/>
    <cellStyle name="스타일 1 3 13" xfId="293" xr:uid="{00000000-0005-0000-0000-0000B1010000}"/>
    <cellStyle name="스타일 1 3 13 2" xfId="294" xr:uid="{00000000-0005-0000-0000-0000B2010000}"/>
    <cellStyle name="스타일 1 3 13 3" xfId="295" xr:uid="{00000000-0005-0000-0000-0000B3010000}"/>
    <cellStyle name="스타일 1 3 13 4" xfId="296" xr:uid="{00000000-0005-0000-0000-0000B4010000}"/>
    <cellStyle name="스타일 1 3 13 5" xfId="297" xr:uid="{00000000-0005-0000-0000-0000B5010000}"/>
    <cellStyle name="스타일 1 3 14" xfId="298" xr:uid="{00000000-0005-0000-0000-0000B6010000}"/>
    <cellStyle name="스타일 1 3 14 2" xfId="299" xr:uid="{00000000-0005-0000-0000-0000B7010000}"/>
    <cellStyle name="스타일 1 3 14 3" xfId="300" xr:uid="{00000000-0005-0000-0000-0000B8010000}"/>
    <cellStyle name="스타일 1 3 14 4" xfId="301" xr:uid="{00000000-0005-0000-0000-0000B9010000}"/>
    <cellStyle name="스타일 1 3 14 5" xfId="302" xr:uid="{00000000-0005-0000-0000-0000BA010000}"/>
    <cellStyle name="스타일 1 3 15" xfId="303" xr:uid="{00000000-0005-0000-0000-0000BB010000}"/>
    <cellStyle name="스타일 1 3 15 2" xfId="304" xr:uid="{00000000-0005-0000-0000-0000BC010000}"/>
    <cellStyle name="스타일 1 3 15 3" xfId="305" xr:uid="{00000000-0005-0000-0000-0000BD010000}"/>
    <cellStyle name="스타일 1 3 15 4" xfId="306" xr:uid="{00000000-0005-0000-0000-0000BE010000}"/>
    <cellStyle name="스타일 1 3 15 5" xfId="307" xr:uid="{00000000-0005-0000-0000-0000BF010000}"/>
    <cellStyle name="스타일 1 3 16" xfId="308" xr:uid="{00000000-0005-0000-0000-0000C0010000}"/>
    <cellStyle name="스타일 1 3 16 2" xfId="309" xr:uid="{00000000-0005-0000-0000-0000C1010000}"/>
    <cellStyle name="스타일 1 3 16 3" xfId="310" xr:uid="{00000000-0005-0000-0000-0000C2010000}"/>
    <cellStyle name="스타일 1 3 16 4" xfId="311" xr:uid="{00000000-0005-0000-0000-0000C3010000}"/>
    <cellStyle name="스타일 1 3 16 5" xfId="312" xr:uid="{00000000-0005-0000-0000-0000C4010000}"/>
    <cellStyle name="스타일 1 3 17" xfId="313" xr:uid="{00000000-0005-0000-0000-0000C5010000}"/>
    <cellStyle name="스타일 1 3 17 2" xfId="314" xr:uid="{00000000-0005-0000-0000-0000C6010000}"/>
    <cellStyle name="스타일 1 3 17 3" xfId="315" xr:uid="{00000000-0005-0000-0000-0000C7010000}"/>
    <cellStyle name="스타일 1 3 17 4" xfId="316" xr:uid="{00000000-0005-0000-0000-0000C8010000}"/>
    <cellStyle name="스타일 1 3 17 5" xfId="317" xr:uid="{00000000-0005-0000-0000-0000C9010000}"/>
    <cellStyle name="스타일 1 3 18" xfId="318" xr:uid="{00000000-0005-0000-0000-0000CA010000}"/>
    <cellStyle name="스타일 1 3 18 2" xfId="319" xr:uid="{00000000-0005-0000-0000-0000CB010000}"/>
    <cellStyle name="스타일 1 3 18 3" xfId="320" xr:uid="{00000000-0005-0000-0000-0000CC010000}"/>
    <cellStyle name="스타일 1 3 18 4" xfId="321" xr:uid="{00000000-0005-0000-0000-0000CD010000}"/>
    <cellStyle name="스타일 1 3 18 5" xfId="322" xr:uid="{00000000-0005-0000-0000-0000CE010000}"/>
    <cellStyle name="스타일 1 3 19" xfId="323" xr:uid="{00000000-0005-0000-0000-0000CF010000}"/>
    <cellStyle name="스타일 1 3 19 2" xfId="324" xr:uid="{00000000-0005-0000-0000-0000D0010000}"/>
    <cellStyle name="스타일 1 3 19 3" xfId="325" xr:uid="{00000000-0005-0000-0000-0000D1010000}"/>
    <cellStyle name="스타일 1 3 19 4" xfId="326" xr:uid="{00000000-0005-0000-0000-0000D2010000}"/>
    <cellStyle name="스타일 1 3 19 5" xfId="327" xr:uid="{00000000-0005-0000-0000-0000D3010000}"/>
    <cellStyle name="스타일 1 3 2" xfId="328" xr:uid="{00000000-0005-0000-0000-0000D4010000}"/>
    <cellStyle name="스타일 1 3 2 2" xfId="329" xr:uid="{00000000-0005-0000-0000-0000D5010000}"/>
    <cellStyle name="스타일 1 3 2 3" xfId="330" xr:uid="{00000000-0005-0000-0000-0000D6010000}"/>
    <cellStyle name="스타일 1 3 2 4" xfId="331" xr:uid="{00000000-0005-0000-0000-0000D7010000}"/>
    <cellStyle name="스타일 1 3 2 5" xfId="332" xr:uid="{00000000-0005-0000-0000-0000D8010000}"/>
    <cellStyle name="스타일 1 3 20" xfId="333" xr:uid="{00000000-0005-0000-0000-0000D9010000}"/>
    <cellStyle name="스타일 1 3 20 2" xfId="334" xr:uid="{00000000-0005-0000-0000-0000DA010000}"/>
    <cellStyle name="스타일 1 3 20 3" xfId="335" xr:uid="{00000000-0005-0000-0000-0000DB010000}"/>
    <cellStyle name="스타일 1 3 20 4" xfId="336" xr:uid="{00000000-0005-0000-0000-0000DC010000}"/>
    <cellStyle name="스타일 1 3 20 5" xfId="337" xr:uid="{00000000-0005-0000-0000-0000DD010000}"/>
    <cellStyle name="스타일 1 3 21" xfId="338" xr:uid="{00000000-0005-0000-0000-0000DE010000}"/>
    <cellStyle name="스타일 1 3 21 2" xfId="339" xr:uid="{00000000-0005-0000-0000-0000DF010000}"/>
    <cellStyle name="스타일 1 3 21 3" xfId="340" xr:uid="{00000000-0005-0000-0000-0000E0010000}"/>
    <cellStyle name="스타일 1 3 21 4" xfId="341" xr:uid="{00000000-0005-0000-0000-0000E1010000}"/>
    <cellStyle name="스타일 1 3 21 5" xfId="342" xr:uid="{00000000-0005-0000-0000-0000E2010000}"/>
    <cellStyle name="스타일 1 3 22" xfId="343" xr:uid="{00000000-0005-0000-0000-0000E3010000}"/>
    <cellStyle name="스타일 1 3 22 2" xfId="344" xr:uid="{00000000-0005-0000-0000-0000E4010000}"/>
    <cellStyle name="스타일 1 3 22 3" xfId="345" xr:uid="{00000000-0005-0000-0000-0000E5010000}"/>
    <cellStyle name="스타일 1 3 22 4" xfId="346" xr:uid="{00000000-0005-0000-0000-0000E6010000}"/>
    <cellStyle name="스타일 1 3 22 5" xfId="347" xr:uid="{00000000-0005-0000-0000-0000E7010000}"/>
    <cellStyle name="스타일 1 3 23" xfId="348" xr:uid="{00000000-0005-0000-0000-0000E8010000}"/>
    <cellStyle name="스타일 1 3 23 2" xfId="349" xr:uid="{00000000-0005-0000-0000-0000E9010000}"/>
    <cellStyle name="스타일 1 3 23 3" xfId="350" xr:uid="{00000000-0005-0000-0000-0000EA010000}"/>
    <cellStyle name="스타일 1 3 23 4" xfId="351" xr:uid="{00000000-0005-0000-0000-0000EB010000}"/>
    <cellStyle name="스타일 1 3 23 5" xfId="352" xr:uid="{00000000-0005-0000-0000-0000EC010000}"/>
    <cellStyle name="스타일 1 3 24" xfId="353" xr:uid="{00000000-0005-0000-0000-0000ED010000}"/>
    <cellStyle name="스타일 1 3 24 2" xfId="354" xr:uid="{00000000-0005-0000-0000-0000EE010000}"/>
    <cellStyle name="스타일 1 3 24 3" xfId="355" xr:uid="{00000000-0005-0000-0000-0000EF010000}"/>
    <cellStyle name="스타일 1 3 24 4" xfId="356" xr:uid="{00000000-0005-0000-0000-0000F0010000}"/>
    <cellStyle name="스타일 1 3 24 5" xfId="357" xr:uid="{00000000-0005-0000-0000-0000F1010000}"/>
    <cellStyle name="스타일 1 3 25" xfId="358" xr:uid="{00000000-0005-0000-0000-0000F2010000}"/>
    <cellStyle name="스타일 1 3 25 2" xfId="359" xr:uid="{00000000-0005-0000-0000-0000F3010000}"/>
    <cellStyle name="스타일 1 3 25 3" xfId="360" xr:uid="{00000000-0005-0000-0000-0000F4010000}"/>
    <cellStyle name="스타일 1 3 25 4" xfId="361" xr:uid="{00000000-0005-0000-0000-0000F5010000}"/>
    <cellStyle name="스타일 1 3 25 5" xfId="362" xr:uid="{00000000-0005-0000-0000-0000F6010000}"/>
    <cellStyle name="스타일 1 3 26" xfId="363" xr:uid="{00000000-0005-0000-0000-0000F7010000}"/>
    <cellStyle name="스타일 1 3 26 2" xfId="364" xr:uid="{00000000-0005-0000-0000-0000F8010000}"/>
    <cellStyle name="스타일 1 3 26 3" xfId="365" xr:uid="{00000000-0005-0000-0000-0000F9010000}"/>
    <cellStyle name="스타일 1 3 26 4" xfId="366" xr:uid="{00000000-0005-0000-0000-0000FA010000}"/>
    <cellStyle name="스타일 1 3 26 5" xfId="367" xr:uid="{00000000-0005-0000-0000-0000FB010000}"/>
    <cellStyle name="스타일 1 3 27" xfId="368" xr:uid="{00000000-0005-0000-0000-0000FC010000}"/>
    <cellStyle name="스타일 1 3 27 2" xfId="369" xr:uid="{00000000-0005-0000-0000-0000FD010000}"/>
    <cellStyle name="스타일 1 3 27 3" xfId="370" xr:uid="{00000000-0005-0000-0000-0000FE010000}"/>
    <cellStyle name="스타일 1 3 27 4" xfId="371" xr:uid="{00000000-0005-0000-0000-0000FF010000}"/>
    <cellStyle name="스타일 1 3 27 5" xfId="372" xr:uid="{00000000-0005-0000-0000-000000020000}"/>
    <cellStyle name="스타일 1 3 28" xfId="373" xr:uid="{00000000-0005-0000-0000-000001020000}"/>
    <cellStyle name="스타일 1 3 28 2" xfId="374" xr:uid="{00000000-0005-0000-0000-000002020000}"/>
    <cellStyle name="스타일 1 3 28 3" xfId="375" xr:uid="{00000000-0005-0000-0000-000003020000}"/>
    <cellStyle name="스타일 1 3 28 4" xfId="376" xr:uid="{00000000-0005-0000-0000-000004020000}"/>
    <cellStyle name="스타일 1 3 28 5" xfId="377" xr:uid="{00000000-0005-0000-0000-000005020000}"/>
    <cellStyle name="스타일 1 3 29" xfId="378" xr:uid="{00000000-0005-0000-0000-000006020000}"/>
    <cellStyle name="스타일 1 3 29 2" xfId="379" xr:uid="{00000000-0005-0000-0000-000007020000}"/>
    <cellStyle name="스타일 1 3 29 3" xfId="380" xr:uid="{00000000-0005-0000-0000-000008020000}"/>
    <cellStyle name="스타일 1 3 29 4" xfId="381" xr:uid="{00000000-0005-0000-0000-000009020000}"/>
    <cellStyle name="스타일 1 3 29 5" xfId="382" xr:uid="{00000000-0005-0000-0000-00000A020000}"/>
    <cellStyle name="스타일 1 3 3" xfId="383" xr:uid="{00000000-0005-0000-0000-00000B020000}"/>
    <cellStyle name="스타일 1 3 3 2" xfId="384" xr:uid="{00000000-0005-0000-0000-00000C020000}"/>
    <cellStyle name="스타일 1 3 3 3" xfId="385" xr:uid="{00000000-0005-0000-0000-00000D020000}"/>
    <cellStyle name="스타일 1 3 3 4" xfId="386" xr:uid="{00000000-0005-0000-0000-00000E020000}"/>
    <cellStyle name="스타일 1 3 3 5" xfId="387" xr:uid="{00000000-0005-0000-0000-00000F020000}"/>
    <cellStyle name="스타일 1 3 30" xfId="388" xr:uid="{00000000-0005-0000-0000-000010020000}"/>
    <cellStyle name="스타일 1 3 30 2" xfId="389" xr:uid="{00000000-0005-0000-0000-000011020000}"/>
    <cellStyle name="스타일 1 3 30 3" xfId="390" xr:uid="{00000000-0005-0000-0000-000012020000}"/>
    <cellStyle name="스타일 1 3 30 4" xfId="391" xr:uid="{00000000-0005-0000-0000-000013020000}"/>
    <cellStyle name="스타일 1 3 30 5" xfId="392" xr:uid="{00000000-0005-0000-0000-000014020000}"/>
    <cellStyle name="스타일 1 3 31" xfId="393" xr:uid="{00000000-0005-0000-0000-000015020000}"/>
    <cellStyle name="스타일 1 3 31 2" xfId="394" xr:uid="{00000000-0005-0000-0000-000016020000}"/>
    <cellStyle name="스타일 1 3 31 3" xfId="395" xr:uid="{00000000-0005-0000-0000-000017020000}"/>
    <cellStyle name="스타일 1 3 31 4" xfId="396" xr:uid="{00000000-0005-0000-0000-000018020000}"/>
    <cellStyle name="스타일 1 3 31 5" xfId="397" xr:uid="{00000000-0005-0000-0000-000019020000}"/>
    <cellStyle name="스타일 1 3 32" xfId="398" xr:uid="{00000000-0005-0000-0000-00001A020000}"/>
    <cellStyle name="스타일 1 3 32 2" xfId="399" xr:uid="{00000000-0005-0000-0000-00001B020000}"/>
    <cellStyle name="스타일 1 3 32 3" xfId="400" xr:uid="{00000000-0005-0000-0000-00001C020000}"/>
    <cellStyle name="스타일 1 3 32 4" xfId="401" xr:uid="{00000000-0005-0000-0000-00001D020000}"/>
    <cellStyle name="스타일 1 3 32 5" xfId="402" xr:uid="{00000000-0005-0000-0000-00001E020000}"/>
    <cellStyle name="스타일 1 3 33" xfId="403" xr:uid="{00000000-0005-0000-0000-00001F020000}"/>
    <cellStyle name="스타일 1 3 33 2" xfId="404" xr:uid="{00000000-0005-0000-0000-000020020000}"/>
    <cellStyle name="스타일 1 3 33 3" xfId="405" xr:uid="{00000000-0005-0000-0000-000021020000}"/>
    <cellStyle name="스타일 1 3 33 4" xfId="406" xr:uid="{00000000-0005-0000-0000-000022020000}"/>
    <cellStyle name="스타일 1 3 33 5" xfId="407" xr:uid="{00000000-0005-0000-0000-000023020000}"/>
    <cellStyle name="스타일 1 3 34" xfId="408" xr:uid="{00000000-0005-0000-0000-000024020000}"/>
    <cellStyle name="스타일 1 3 34 2" xfId="409" xr:uid="{00000000-0005-0000-0000-000025020000}"/>
    <cellStyle name="스타일 1 3 34 3" xfId="410" xr:uid="{00000000-0005-0000-0000-000026020000}"/>
    <cellStyle name="스타일 1 3 34 4" xfId="411" xr:uid="{00000000-0005-0000-0000-000027020000}"/>
    <cellStyle name="스타일 1 3 34 5" xfId="412" xr:uid="{00000000-0005-0000-0000-000028020000}"/>
    <cellStyle name="스타일 1 3 35" xfId="413" xr:uid="{00000000-0005-0000-0000-000029020000}"/>
    <cellStyle name="스타일 1 3 35 2" xfId="414" xr:uid="{00000000-0005-0000-0000-00002A020000}"/>
    <cellStyle name="스타일 1 3 35 3" xfId="415" xr:uid="{00000000-0005-0000-0000-00002B020000}"/>
    <cellStyle name="스타일 1 3 35 4" xfId="416" xr:uid="{00000000-0005-0000-0000-00002C020000}"/>
    <cellStyle name="스타일 1 3 35 5" xfId="417" xr:uid="{00000000-0005-0000-0000-00002D020000}"/>
    <cellStyle name="스타일 1 3 36" xfId="418" xr:uid="{00000000-0005-0000-0000-00002E020000}"/>
    <cellStyle name="스타일 1 3 36 2" xfId="419" xr:uid="{00000000-0005-0000-0000-00002F020000}"/>
    <cellStyle name="스타일 1 3 36 3" xfId="420" xr:uid="{00000000-0005-0000-0000-000030020000}"/>
    <cellStyle name="스타일 1 3 36 4" xfId="421" xr:uid="{00000000-0005-0000-0000-000031020000}"/>
    <cellStyle name="스타일 1 3 36 5" xfId="422" xr:uid="{00000000-0005-0000-0000-000032020000}"/>
    <cellStyle name="스타일 1 3 37" xfId="423" xr:uid="{00000000-0005-0000-0000-000033020000}"/>
    <cellStyle name="스타일 1 3 37 2" xfId="424" xr:uid="{00000000-0005-0000-0000-000034020000}"/>
    <cellStyle name="스타일 1 3 37 3" xfId="425" xr:uid="{00000000-0005-0000-0000-000035020000}"/>
    <cellStyle name="스타일 1 3 37 4" xfId="426" xr:uid="{00000000-0005-0000-0000-000036020000}"/>
    <cellStyle name="스타일 1 3 37 5" xfId="427" xr:uid="{00000000-0005-0000-0000-000037020000}"/>
    <cellStyle name="스타일 1 3 38" xfId="428" xr:uid="{00000000-0005-0000-0000-000038020000}"/>
    <cellStyle name="스타일 1 3 38 2" xfId="429" xr:uid="{00000000-0005-0000-0000-000039020000}"/>
    <cellStyle name="스타일 1 3 38 3" xfId="430" xr:uid="{00000000-0005-0000-0000-00003A020000}"/>
    <cellStyle name="스타일 1 3 38 4" xfId="431" xr:uid="{00000000-0005-0000-0000-00003B020000}"/>
    <cellStyle name="스타일 1 3 38 5" xfId="432" xr:uid="{00000000-0005-0000-0000-00003C020000}"/>
    <cellStyle name="스타일 1 3 39" xfId="433" xr:uid="{00000000-0005-0000-0000-00003D020000}"/>
    <cellStyle name="스타일 1 3 39 2" xfId="434" xr:uid="{00000000-0005-0000-0000-00003E020000}"/>
    <cellStyle name="스타일 1 3 39 3" xfId="435" xr:uid="{00000000-0005-0000-0000-00003F020000}"/>
    <cellStyle name="스타일 1 3 39 4" xfId="436" xr:uid="{00000000-0005-0000-0000-000040020000}"/>
    <cellStyle name="스타일 1 3 39 5" xfId="437" xr:uid="{00000000-0005-0000-0000-000041020000}"/>
    <cellStyle name="스타일 1 3 4" xfId="438" xr:uid="{00000000-0005-0000-0000-000042020000}"/>
    <cellStyle name="스타일 1 3 4 2" xfId="439" xr:uid="{00000000-0005-0000-0000-000043020000}"/>
    <cellStyle name="스타일 1 3 4 3" xfId="440" xr:uid="{00000000-0005-0000-0000-000044020000}"/>
    <cellStyle name="스타일 1 3 4 4" xfId="441" xr:uid="{00000000-0005-0000-0000-000045020000}"/>
    <cellStyle name="스타일 1 3 4 5" xfId="442" xr:uid="{00000000-0005-0000-0000-000046020000}"/>
    <cellStyle name="스타일 1 3 40" xfId="443" xr:uid="{00000000-0005-0000-0000-000047020000}"/>
    <cellStyle name="스타일 1 3 40 2" xfId="444" xr:uid="{00000000-0005-0000-0000-000048020000}"/>
    <cellStyle name="스타일 1 3 40 3" xfId="445" xr:uid="{00000000-0005-0000-0000-000049020000}"/>
    <cellStyle name="스타일 1 3 40 4" xfId="446" xr:uid="{00000000-0005-0000-0000-00004A020000}"/>
    <cellStyle name="스타일 1 3 40 5" xfId="447" xr:uid="{00000000-0005-0000-0000-00004B020000}"/>
    <cellStyle name="스타일 1 3 41" xfId="448" xr:uid="{00000000-0005-0000-0000-00004C020000}"/>
    <cellStyle name="스타일 1 3 42" xfId="449" xr:uid="{00000000-0005-0000-0000-00004D020000}"/>
    <cellStyle name="스타일 1 3 43" xfId="450" xr:uid="{00000000-0005-0000-0000-00004E020000}"/>
    <cellStyle name="스타일 1 3 44" xfId="451" xr:uid="{00000000-0005-0000-0000-00004F020000}"/>
    <cellStyle name="스타일 1 3 5" xfId="452" xr:uid="{00000000-0005-0000-0000-000050020000}"/>
    <cellStyle name="스타일 1 3 5 2" xfId="453" xr:uid="{00000000-0005-0000-0000-000051020000}"/>
    <cellStyle name="스타일 1 3 5 3" xfId="454" xr:uid="{00000000-0005-0000-0000-000052020000}"/>
    <cellStyle name="스타일 1 3 5 4" xfId="455" xr:uid="{00000000-0005-0000-0000-000053020000}"/>
    <cellStyle name="스타일 1 3 5 5" xfId="456" xr:uid="{00000000-0005-0000-0000-000054020000}"/>
    <cellStyle name="스타일 1 3 6" xfId="457" xr:uid="{00000000-0005-0000-0000-000055020000}"/>
    <cellStyle name="스타일 1 3 6 2" xfId="458" xr:uid="{00000000-0005-0000-0000-000056020000}"/>
    <cellStyle name="스타일 1 3 6 3" xfId="459" xr:uid="{00000000-0005-0000-0000-000057020000}"/>
    <cellStyle name="스타일 1 3 6 4" xfId="460" xr:uid="{00000000-0005-0000-0000-000058020000}"/>
    <cellStyle name="스타일 1 3 6 5" xfId="461" xr:uid="{00000000-0005-0000-0000-000059020000}"/>
    <cellStyle name="스타일 1 3 7" xfId="462" xr:uid="{00000000-0005-0000-0000-00005A020000}"/>
    <cellStyle name="스타일 1 3 7 2" xfId="463" xr:uid="{00000000-0005-0000-0000-00005B020000}"/>
    <cellStyle name="스타일 1 3 7 3" xfId="464" xr:uid="{00000000-0005-0000-0000-00005C020000}"/>
    <cellStyle name="스타일 1 3 7 4" xfId="465" xr:uid="{00000000-0005-0000-0000-00005D020000}"/>
    <cellStyle name="스타일 1 3 7 5" xfId="466" xr:uid="{00000000-0005-0000-0000-00005E020000}"/>
    <cellStyle name="스타일 1 3 8" xfId="467" xr:uid="{00000000-0005-0000-0000-00005F020000}"/>
    <cellStyle name="스타일 1 3 8 2" xfId="468" xr:uid="{00000000-0005-0000-0000-000060020000}"/>
    <cellStyle name="스타일 1 3 8 3" xfId="469" xr:uid="{00000000-0005-0000-0000-000061020000}"/>
    <cellStyle name="스타일 1 3 8 4" xfId="470" xr:uid="{00000000-0005-0000-0000-000062020000}"/>
    <cellStyle name="스타일 1 3 8 5" xfId="471" xr:uid="{00000000-0005-0000-0000-000063020000}"/>
    <cellStyle name="스타일 1 3 9" xfId="472" xr:uid="{00000000-0005-0000-0000-000064020000}"/>
    <cellStyle name="스타일 1 3 9 2" xfId="473" xr:uid="{00000000-0005-0000-0000-000065020000}"/>
    <cellStyle name="스타일 1 3 9 3" xfId="474" xr:uid="{00000000-0005-0000-0000-000066020000}"/>
    <cellStyle name="스타일 1 3 9 4" xfId="475" xr:uid="{00000000-0005-0000-0000-000067020000}"/>
    <cellStyle name="스타일 1 3 9 5" xfId="476" xr:uid="{00000000-0005-0000-0000-000068020000}"/>
    <cellStyle name="스타일 1 4" xfId="477" xr:uid="{00000000-0005-0000-0000-000069020000}"/>
    <cellStyle name="스타일 1 5" xfId="478" xr:uid="{00000000-0005-0000-0000-00006A020000}"/>
    <cellStyle name="스타일 1 6" xfId="479" xr:uid="{00000000-0005-0000-0000-00006B020000}"/>
    <cellStyle name="스타일 1 7" xfId="480" xr:uid="{00000000-0005-0000-0000-00006C020000}"/>
    <cellStyle name="연결된 셀 2" xfId="788" xr:uid="{00000000-0005-0000-0000-00006D020000}"/>
    <cellStyle name="연결된 셀 3" xfId="787" xr:uid="{00000000-0005-0000-0000-00006E020000}"/>
    <cellStyle name="요약 2" xfId="786" xr:uid="{00000000-0005-0000-0000-00006F020000}"/>
    <cellStyle name="요약 2 2" xfId="717" xr:uid="{00000000-0005-0000-0000-000070020000}"/>
    <cellStyle name="요약 2 3" xfId="716" xr:uid="{00000000-0005-0000-0000-000071020000}"/>
    <cellStyle name="요약 3" xfId="785" xr:uid="{00000000-0005-0000-0000-000072020000}"/>
    <cellStyle name="요약 3 2" xfId="715" xr:uid="{00000000-0005-0000-0000-000073020000}"/>
    <cellStyle name="요약 3 3" xfId="714" xr:uid="{00000000-0005-0000-0000-000074020000}"/>
    <cellStyle name="입력 2" xfId="784" xr:uid="{00000000-0005-0000-0000-000075020000}"/>
    <cellStyle name="입력 2 2" xfId="713" xr:uid="{00000000-0005-0000-0000-000076020000}"/>
    <cellStyle name="입력 2 3" xfId="712" xr:uid="{00000000-0005-0000-0000-000077020000}"/>
    <cellStyle name="입력 3" xfId="783" xr:uid="{00000000-0005-0000-0000-000078020000}"/>
    <cellStyle name="입력 3 2" xfId="711" xr:uid="{00000000-0005-0000-0000-000079020000}"/>
    <cellStyle name="입력 3 3" xfId="710" xr:uid="{00000000-0005-0000-0000-00007A020000}"/>
    <cellStyle name="자리수" xfId="481" xr:uid="{00000000-0005-0000-0000-00007B020000}"/>
    <cellStyle name="자리수0" xfId="482" xr:uid="{00000000-0005-0000-0000-00007C020000}"/>
    <cellStyle name="제목 1 2" xfId="782" xr:uid="{00000000-0005-0000-0000-00007D020000}"/>
    <cellStyle name="제목 1 3" xfId="781" xr:uid="{00000000-0005-0000-0000-00007E020000}"/>
    <cellStyle name="제목 2 2" xfId="780" xr:uid="{00000000-0005-0000-0000-00007F020000}"/>
    <cellStyle name="제목 2 3" xfId="779" xr:uid="{00000000-0005-0000-0000-000080020000}"/>
    <cellStyle name="제목 3 2" xfId="778" xr:uid="{00000000-0005-0000-0000-000081020000}"/>
    <cellStyle name="제목 3 3" xfId="777" xr:uid="{00000000-0005-0000-0000-000082020000}"/>
    <cellStyle name="제목 4 2" xfId="776" xr:uid="{00000000-0005-0000-0000-000083020000}"/>
    <cellStyle name="제목 4 3" xfId="775" xr:uid="{00000000-0005-0000-0000-000084020000}"/>
    <cellStyle name="제목 5" xfId="774" xr:uid="{00000000-0005-0000-0000-000085020000}"/>
    <cellStyle name="제목 6" xfId="773" xr:uid="{00000000-0005-0000-0000-000086020000}"/>
    <cellStyle name="제목1" xfId="483" xr:uid="{00000000-0005-0000-0000-000087020000}"/>
    <cellStyle name="제목2" xfId="484" xr:uid="{00000000-0005-0000-0000-000088020000}"/>
    <cellStyle name="제목3" xfId="485" xr:uid="{00000000-0005-0000-0000-000089020000}"/>
    <cellStyle name="좋음 2" xfId="772" xr:uid="{00000000-0005-0000-0000-00008A020000}"/>
    <cellStyle name="좋음 3" xfId="771" xr:uid="{00000000-0005-0000-0000-00008B020000}"/>
    <cellStyle name="출력 2" xfId="770" xr:uid="{00000000-0005-0000-0000-00008C020000}"/>
    <cellStyle name="출력 2 2" xfId="709" xr:uid="{00000000-0005-0000-0000-00008D020000}"/>
    <cellStyle name="출력 2 3" xfId="708" xr:uid="{00000000-0005-0000-0000-00008E020000}"/>
    <cellStyle name="출력 3" xfId="769" xr:uid="{00000000-0005-0000-0000-00008F020000}"/>
    <cellStyle name="출력 3 2" xfId="707" xr:uid="{00000000-0005-0000-0000-000090020000}"/>
    <cellStyle name="출력 3 3" xfId="706" xr:uid="{00000000-0005-0000-0000-000091020000}"/>
    <cellStyle name="콤마 [0]_(改定前)검사.계측및" xfId="486" xr:uid="{00000000-0005-0000-0000-000092020000}"/>
    <cellStyle name="콤마_(改定前)검사.계측및" xfId="487" xr:uid="{00000000-0005-0000-0000-000093020000}"/>
    <cellStyle name="큰제목" xfId="488" xr:uid="{00000000-0005-0000-0000-000094020000}"/>
    <cellStyle name="통화 [0] 2" xfId="756" xr:uid="{00000000-0005-0000-0000-000095020000}"/>
    <cellStyle name="퍼센트" xfId="489" xr:uid="{00000000-0005-0000-0000-000096020000}"/>
    <cellStyle name="표준 10" xfId="768" xr:uid="{00000000-0005-0000-0000-000097020000}"/>
    <cellStyle name="표준 10 2" xfId="592" xr:uid="{00000000-0005-0000-0000-000098020000}"/>
    <cellStyle name="표준 11" xfId="767" xr:uid="{00000000-0005-0000-0000-000099020000}"/>
    <cellStyle name="표준 11 2" xfId="591" xr:uid="{00000000-0005-0000-0000-00009A020000}"/>
    <cellStyle name="표준 12" xfId="766" xr:uid="{00000000-0005-0000-0000-00009B020000}"/>
    <cellStyle name="표준 12 2" xfId="590" xr:uid="{00000000-0005-0000-0000-00009C020000}"/>
    <cellStyle name="표준 13" xfId="765" xr:uid="{00000000-0005-0000-0000-00009D020000}"/>
    <cellStyle name="표준 13 2" xfId="589" xr:uid="{00000000-0005-0000-0000-00009E020000}"/>
    <cellStyle name="표준 14" xfId="755" xr:uid="{00000000-0005-0000-0000-00009F020000}"/>
    <cellStyle name="표준 14 10" xfId="704" xr:uid="{00000000-0005-0000-0000-0000A0020000}"/>
    <cellStyle name="표준 14 11" xfId="703" xr:uid="{00000000-0005-0000-0000-0000A1020000}"/>
    <cellStyle name="표준 14 11 2" xfId="702" xr:uid="{00000000-0005-0000-0000-0000A2020000}"/>
    <cellStyle name="표준 14 12" xfId="701" xr:uid="{00000000-0005-0000-0000-0000A3020000}"/>
    <cellStyle name="표준 14 13" xfId="700" xr:uid="{00000000-0005-0000-0000-0000A4020000}"/>
    <cellStyle name="표준 14 14" xfId="656" xr:uid="{00000000-0005-0000-0000-0000A5020000}"/>
    <cellStyle name="표준 14 14 2" xfId="650" xr:uid="{00000000-0005-0000-0000-0000A6020000}"/>
    <cellStyle name="표준 14 14 2 2" xfId="638" xr:uid="{00000000-0005-0000-0000-0000A7020000}"/>
    <cellStyle name="표준 14 14 2 2 2" xfId="614" xr:uid="{00000000-0005-0000-0000-0000A8020000}"/>
    <cellStyle name="표준 14 14 2 2 2 2" xfId="571" xr:uid="{00000000-0005-0000-0000-0000A9020000}"/>
    <cellStyle name="표준 14 14 2 2 3" xfId="572" xr:uid="{00000000-0005-0000-0000-0000AA020000}"/>
    <cellStyle name="표준 14 14 2 3" xfId="626" xr:uid="{00000000-0005-0000-0000-0000AB020000}"/>
    <cellStyle name="표준 14 14 2 3 2" xfId="570" xr:uid="{00000000-0005-0000-0000-0000AC020000}"/>
    <cellStyle name="표준 14 14 2 4" xfId="573" xr:uid="{00000000-0005-0000-0000-0000AD020000}"/>
    <cellStyle name="표준 14 14 3" xfId="644" xr:uid="{00000000-0005-0000-0000-0000AE020000}"/>
    <cellStyle name="표준 14 14 3 2" xfId="620" xr:uid="{00000000-0005-0000-0000-0000AF020000}"/>
    <cellStyle name="표준 14 14 3 2 2" xfId="568" xr:uid="{00000000-0005-0000-0000-0000B0020000}"/>
    <cellStyle name="표준 14 14 3 3" xfId="569" xr:uid="{00000000-0005-0000-0000-0000B1020000}"/>
    <cellStyle name="표준 14 14 4" xfId="632" xr:uid="{00000000-0005-0000-0000-0000B2020000}"/>
    <cellStyle name="표준 14 14 4 2" xfId="567" xr:uid="{00000000-0005-0000-0000-0000B3020000}"/>
    <cellStyle name="표준 14 14 5" xfId="574" xr:uid="{00000000-0005-0000-0000-0000B4020000}"/>
    <cellStyle name="표준 14 15" xfId="653" xr:uid="{00000000-0005-0000-0000-0000B5020000}"/>
    <cellStyle name="표준 14 15 2" xfId="641" xr:uid="{00000000-0005-0000-0000-0000B6020000}"/>
    <cellStyle name="표준 14 15 2 2" xfId="617" xr:uid="{00000000-0005-0000-0000-0000B7020000}"/>
    <cellStyle name="표준 14 15 2 2 2" xfId="564" xr:uid="{00000000-0005-0000-0000-0000B8020000}"/>
    <cellStyle name="표준 14 15 2 3" xfId="565" xr:uid="{00000000-0005-0000-0000-0000B9020000}"/>
    <cellStyle name="표준 14 15 3" xfId="629" xr:uid="{00000000-0005-0000-0000-0000BA020000}"/>
    <cellStyle name="표준 14 15 3 2" xfId="563" xr:uid="{00000000-0005-0000-0000-0000BB020000}"/>
    <cellStyle name="표준 14 15 4" xfId="566" xr:uid="{00000000-0005-0000-0000-0000BC020000}"/>
    <cellStyle name="표준 14 16" xfId="647" xr:uid="{00000000-0005-0000-0000-0000BD020000}"/>
    <cellStyle name="표준 14 16 2" xfId="623" xr:uid="{00000000-0005-0000-0000-0000BE020000}"/>
    <cellStyle name="표준 14 16 2 2" xfId="561" xr:uid="{00000000-0005-0000-0000-0000BF020000}"/>
    <cellStyle name="표준 14 16 3" xfId="562" xr:uid="{00000000-0005-0000-0000-0000C0020000}"/>
    <cellStyle name="표준 14 17" xfId="635" xr:uid="{00000000-0005-0000-0000-0000C1020000}"/>
    <cellStyle name="표준 14 17 2" xfId="560" xr:uid="{00000000-0005-0000-0000-0000C2020000}"/>
    <cellStyle name="표준 14 18" xfId="611" xr:uid="{00000000-0005-0000-0000-0000C3020000}"/>
    <cellStyle name="표준 14 19" xfId="575" xr:uid="{00000000-0005-0000-0000-0000C4020000}"/>
    <cellStyle name="표준 14 2" xfId="705" xr:uid="{00000000-0005-0000-0000-0000C5020000}"/>
    <cellStyle name="표준 14 3" xfId="699" xr:uid="{00000000-0005-0000-0000-0000C6020000}"/>
    <cellStyle name="표준 14 4" xfId="698" xr:uid="{00000000-0005-0000-0000-0000C7020000}"/>
    <cellStyle name="표준 14 5" xfId="697" xr:uid="{00000000-0005-0000-0000-0000C8020000}"/>
    <cellStyle name="표준 14 6" xfId="696" xr:uid="{00000000-0005-0000-0000-0000C9020000}"/>
    <cellStyle name="표준 14 7" xfId="695" xr:uid="{00000000-0005-0000-0000-0000CA020000}"/>
    <cellStyle name="표준 14 7 2" xfId="694" xr:uid="{00000000-0005-0000-0000-0000CB020000}"/>
    <cellStyle name="표준 14 7 3" xfId="693" xr:uid="{00000000-0005-0000-0000-0000CC020000}"/>
    <cellStyle name="표준 14 7 4" xfId="692" xr:uid="{00000000-0005-0000-0000-0000CD020000}"/>
    <cellStyle name="표준 14 7 4 2" xfId="691" xr:uid="{00000000-0005-0000-0000-0000CE020000}"/>
    <cellStyle name="표준 14 7 5" xfId="690" xr:uid="{00000000-0005-0000-0000-0000CF020000}"/>
    <cellStyle name="표준 14 7 6" xfId="689" xr:uid="{00000000-0005-0000-0000-0000D0020000}"/>
    <cellStyle name="표준 14 8" xfId="688" xr:uid="{00000000-0005-0000-0000-0000D1020000}"/>
    <cellStyle name="표준 14 8 2" xfId="687" xr:uid="{00000000-0005-0000-0000-0000D2020000}"/>
    <cellStyle name="표준 14 8 3" xfId="686" xr:uid="{00000000-0005-0000-0000-0000D3020000}"/>
    <cellStyle name="표준 14 8 4" xfId="685" xr:uid="{00000000-0005-0000-0000-0000D4020000}"/>
    <cellStyle name="표준 14 8 4 2" xfId="684" xr:uid="{00000000-0005-0000-0000-0000D5020000}"/>
    <cellStyle name="표준 14 8 5" xfId="683" xr:uid="{00000000-0005-0000-0000-0000D6020000}"/>
    <cellStyle name="표준 14 8 6" xfId="682" xr:uid="{00000000-0005-0000-0000-0000D7020000}"/>
    <cellStyle name="표준 14 9" xfId="681" xr:uid="{00000000-0005-0000-0000-0000D8020000}"/>
    <cellStyle name="표준 15" xfId="754" xr:uid="{00000000-0005-0000-0000-0000D9020000}"/>
    <cellStyle name="표준 15 2" xfId="680" xr:uid="{00000000-0005-0000-0000-0000DA020000}"/>
    <cellStyle name="표준 15 3" xfId="655" xr:uid="{00000000-0005-0000-0000-0000DB020000}"/>
    <cellStyle name="표준 15 3 2" xfId="649" xr:uid="{00000000-0005-0000-0000-0000DC020000}"/>
    <cellStyle name="표준 15 3 2 2" xfId="637" xr:uid="{00000000-0005-0000-0000-0000DD020000}"/>
    <cellStyle name="표준 15 3 2 2 2" xfId="613" xr:uid="{00000000-0005-0000-0000-0000DE020000}"/>
    <cellStyle name="표준 15 3 2 2 2 2" xfId="555" xr:uid="{00000000-0005-0000-0000-0000DF020000}"/>
    <cellStyle name="표준 15 3 2 2 3" xfId="556" xr:uid="{00000000-0005-0000-0000-0000E0020000}"/>
    <cellStyle name="표준 15 3 2 3" xfId="625" xr:uid="{00000000-0005-0000-0000-0000E1020000}"/>
    <cellStyle name="표준 15 3 2 3 2" xfId="554" xr:uid="{00000000-0005-0000-0000-0000E2020000}"/>
    <cellStyle name="표준 15 3 2 4" xfId="557" xr:uid="{00000000-0005-0000-0000-0000E3020000}"/>
    <cellStyle name="표준 15 3 3" xfId="643" xr:uid="{00000000-0005-0000-0000-0000E4020000}"/>
    <cellStyle name="표준 15 3 3 2" xfId="619" xr:uid="{00000000-0005-0000-0000-0000E5020000}"/>
    <cellStyle name="표준 15 3 3 2 2" xfId="552" xr:uid="{00000000-0005-0000-0000-0000E6020000}"/>
    <cellStyle name="표준 15 3 3 3" xfId="553" xr:uid="{00000000-0005-0000-0000-0000E7020000}"/>
    <cellStyle name="표준 15 3 4" xfId="631" xr:uid="{00000000-0005-0000-0000-0000E8020000}"/>
    <cellStyle name="표준 15 3 4 2" xfId="551" xr:uid="{00000000-0005-0000-0000-0000E9020000}"/>
    <cellStyle name="표준 15 3 5" xfId="558" xr:uid="{00000000-0005-0000-0000-0000EA020000}"/>
    <cellStyle name="표준 15 4" xfId="652" xr:uid="{00000000-0005-0000-0000-0000EB020000}"/>
    <cellStyle name="표준 15 4 2" xfId="640" xr:uid="{00000000-0005-0000-0000-0000EC020000}"/>
    <cellStyle name="표준 15 4 2 2" xfId="616" xr:uid="{00000000-0005-0000-0000-0000ED020000}"/>
    <cellStyle name="표준 15 4 2 2 2" xfId="548" xr:uid="{00000000-0005-0000-0000-0000EE020000}"/>
    <cellStyle name="표준 15 4 2 3" xfId="549" xr:uid="{00000000-0005-0000-0000-0000EF020000}"/>
    <cellStyle name="표준 15 4 3" xfId="628" xr:uid="{00000000-0005-0000-0000-0000F0020000}"/>
    <cellStyle name="표준 15 4 3 2" xfId="547" xr:uid="{00000000-0005-0000-0000-0000F1020000}"/>
    <cellStyle name="표준 15 4 4" xfId="550" xr:uid="{00000000-0005-0000-0000-0000F2020000}"/>
    <cellStyle name="표준 15 5" xfId="646" xr:uid="{00000000-0005-0000-0000-0000F3020000}"/>
    <cellStyle name="표준 15 5 2" xfId="622" xr:uid="{00000000-0005-0000-0000-0000F4020000}"/>
    <cellStyle name="표준 15 5 2 2" xfId="545" xr:uid="{00000000-0005-0000-0000-0000F5020000}"/>
    <cellStyle name="표준 15 5 3" xfId="546" xr:uid="{00000000-0005-0000-0000-0000F6020000}"/>
    <cellStyle name="표준 15 6" xfId="634" xr:uid="{00000000-0005-0000-0000-0000F7020000}"/>
    <cellStyle name="표준 15 6 2" xfId="544" xr:uid="{00000000-0005-0000-0000-0000F8020000}"/>
    <cellStyle name="표준 15 7" xfId="610" xr:uid="{00000000-0005-0000-0000-0000F9020000}"/>
    <cellStyle name="표준 15 8" xfId="559" xr:uid="{00000000-0005-0000-0000-0000FA020000}"/>
    <cellStyle name="표준 16" xfId="753" xr:uid="{00000000-0005-0000-0000-0000FB020000}"/>
    <cellStyle name="표준 16 2" xfId="654" xr:uid="{00000000-0005-0000-0000-0000FC020000}"/>
    <cellStyle name="표준 16 2 2" xfId="648" xr:uid="{00000000-0005-0000-0000-0000FD020000}"/>
    <cellStyle name="표준 16 2 2 2" xfId="636" xr:uid="{00000000-0005-0000-0000-0000FE020000}"/>
    <cellStyle name="표준 16 2 2 2 2" xfId="612" xr:uid="{00000000-0005-0000-0000-0000FF020000}"/>
    <cellStyle name="표준 16 2 2 2 2 2" xfId="539" xr:uid="{00000000-0005-0000-0000-000000030000}"/>
    <cellStyle name="표준 16 2 2 2 3" xfId="540" xr:uid="{00000000-0005-0000-0000-000001030000}"/>
    <cellStyle name="표준 16 2 2 3" xfId="624" xr:uid="{00000000-0005-0000-0000-000002030000}"/>
    <cellStyle name="표준 16 2 2 3 2" xfId="538" xr:uid="{00000000-0005-0000-0000-000003030000}"/>
    <cellStyle name="표준 16 2 2 4" xfId="541" xr:uid="{00000000-0005-0000-0000-000004030000}"/>
    <cellStyle name="표준 16 2 3" xfId="642" xr:uid="{00000000-0005-0000-0000-000005030000}"/>
    <cellStyle name="표준 16 2 3 2" xfId="618" xr:uid="{00000000-0005-0000-0000-000006030000}"/>
    <cellStyle name="표준 16 2 3 2 2" xfId="536" xr:uid="{00000000-0005-0000-0000-000007030000}"/>
    <cellStyle name="표준 16 2 3 3" xfId="537" xr:uid="{00000000-0005-0000-0000-000008030000}"/>
    <cellStyle name="표준 16 2 4" xfId="630" xr:uid="{00000000-0005-0000-0000-000009030000}"/>
    <cellStyle name="표준 16 2 4 2" xfId="535" xr:uid="{00000000-0005-0000-0000-00000A030000}"/>
    <cellStyle name="표준 16 2 5" xfId="542" xr:uid="{00000000-0005-0000-0000-00000B030000}"/>
    <cellStyle name="표준 16 3" xfId="651" xr:uid="{00000000-0005-0000-0000-00000C030000}"/>
    <cellStyle name="표준 16 3 2" xfId="639" xr:uid="{00000000-0005-0000-0000-00000D030000}"/>
    <cellStyle name="표준 16 3 2 2" xfId="615" xr:uid="{00000000-0005-0000-0000-00000E030000}"/>
    <cellStyle name="표준 16 3 2 2 2" xfId="532" xr:uid="{00000000-0005-0000-0000-00000F030000}"/>
    <cellStyle name="표준 16 3 2 3" xfId="533" xr:uid="{00000000-0005-0000-0000-000010030000}"/>
    <cellStyle name="표준 16 3 3" xfId="627" xr:uid="{00000000-0005-0000-0000-000011030000}"/>
    <cellStyle name="표준 16 3 3 2" xfId="531" xr:uid="{00000000-0005-0000-0000-000012030000}"/>
    <cellStyle name="표준 16 3 4" xfId="534" xr:uid="{00000000-0005-0000-0000-000013030000}"/>
    <cellStyle name="표준 16 4" xfId="645" xr:uid="{00000000-0005-0000-0000-000014030000}"/>
    <cellStyle name="표준 16 4 2" xfId="621" xr:uid="{00000000-0005-0000-0000-000015030000}"/>
    <cellStyle name="표준 16 4 2 2" xfId="529" xr:uid="{00000000-0005-0000-0000-000016030000}"/>
    <cellStyle name="표준 16 4 3" xfId="530" xr:uid="{00000000-0005-0000-0000-000017030000}"/>
    <cellStyle name="표준 16 5" xfId="633" xr:uid="{00000000-0005-0000-0000-000018030000}"/>
    <cellStyle name="표준 16 5 2" xfId="528" xr:uid="{00000000-0005-0000-0000-000019030000}"/>
    <cellStyle name="표준 16 6" xfId="609" xr:uid="{00000000-0005-0000-0000-00001A030000}"/>
    <cellStyle name="표준 16 7" xfId="543" xr:uid="{00000000-0005-0000-0000-00001B030000}"/>
    <cellStyle name="표준 17" xfId="608" xr:uid="{00000000-0005-0000-0000-00001C030000}"/>
    <cellStyle name="표준 18" xfId="607" xr:uid="{00000000-0005-0000-0000-00001D030000}"/>
    <cellStyle name="표준 19" xfId="606" xr:uid="{00000000-0005-0000-0000-00001E030000}"/>
    <cellStyle name="표준 2" xfId="490" xr:uid="{00000000-0005-0000-0000-00001F030000}"/>
    <cellStyle name="표준 2 10" xfId="601" xr:uid="{00000000-0005-0000-0000-000020030000}"/>
    <cellStyle name="표준 2 11" xfId="882" xr:uid="{00000000-0005-0000-0000-000021030000}"/>
    <cellStyle name="표준 2 12" xfId="863" xr:uid="{00000000-0005-0000-0000-000022030000}"/>
    <cellStyle name="표준 2 13" xfId="931" xr:uid="{00000000-0005-0000-0000-000023030000}"/>
    <cellStyle name="표준 2 2" xfId="491" xr:uid="{00000000-0005-0000-0000-000024030000}"/>
    <cellStyle name="표준 2 2 2" xfId="492" xr:uid="{00000000-0005-0000-0000-000025030000}"/>
    <cellStyle name="표준 2 2 2 2" xfId="493" xr:uid="{00000000-0005-0000-0000-000026030000}"/>
    <cellStyle name="표준 2 2 2 2 2" xfId="494" xr:uid="{00000000-0005-0000-0000-000027030000}"/>
    <cellStyle name="표준 2 2 2 2 2 2" xfId="495" xr:uid="{00000000-0005-0000-0000-000028030000}"/>
    <cellStyle name="표준 2 2 2 2 2 2 2" xfId="496" xr:uid="{00000000-0005-0000-0000-000029030000}"/>
    <cellStyle name="표준 2 2 2 2 2 2 2 2" xfId="497" xr:uid="{00000000-0005-0000-0000-00002A030000}"/>
    <cellStyle name="표준 2 2 2 2 2 2_출하계획서" xfId="498" xr:uid="{00000000-0005-0000-0000-00002B030000}"/>
    <cellStyle name="표준 2 2 2 2 2_출하계획서" xfId="499" xr:uid="{00000000-0005-0000-0000-00002C030000}"/>
    <cellStyle name="표준 2 2 2 2 3" xfId="678" xr:uid="{00000000-0005-0000-0000-00002D030000}"/>
    <cellStyle name="표준 2 2 2 2 4" xfId="925" xr:uid="{00000000-0005-0000-0000-00002E030000}"/>
    <cellStyle name="표준 2 2 2 2 5" xfId="910" xr:uid="{00000000-0005-0000-0000-00002F030000}"/>
    <cellStyle name="표준 2 2 2 2_111" xfId="500" xr:uid="{00000000-0005-0000-0000-000030030000}"/>
    <cellStyle name="표준 2 2 2_111" xfId="501" xr:uid="{00000000-0005-0000-0000-000031030000}"/>
    <cellStyle name="표준 2 2 3" xfId="764" xr:uid="{00000000-0005-0000-0000-000032030000}"/>
    <cellStyle name="표준 2 2 4" xfId="679" xr:uid="{00000000-0005-0000-0000-000033030000}"/>
    <cellStyle name="표준 2 2_111" xfId="502" xr:uid="{00000000-0005-0000-0000-000034030000}"/>
    <cellStyle name="표준 2 3" xfId="503" xr:uid="{00000000-0005-0000-0000-000035030000}"/>
    <cellStyle name="표준 2 3 2" xfId="881" xr:uid="{00000000-0005-0000-0000-000036030000}"/>
    <cellStyle name="표준 2 3 2 2" xfId="677" xr:uid="{00000000-0005-0000-0000-000037030000}"/>
    <cellStyle name="표준 2 3 2 3" xfId="926" xr:uid="{00000000-0005-0000-0000-000038030000}"/>
    <cellStyle name="표준 2 3 2 4" xfId="944" xr:uid="{00000000-0005-0000-0000-000039030000}"/>
    <cellStyle name="표준 2 3 3" xfId="895" xr:uid="{00000000-0005-0000-0000-00003A030000}"/>
    <cellStyle name="표준 2 3 4" xfId="866" xr:uid="{00000000-0005-0000-0000-00003B030000}"/>
    <cellStyle name="표준 2 4" xfId="504" xr:uid="{00000000-0005-0000-0000-00003C030000}"/>
    <cellStyle name="표준 2 4 2" xfId="880" xr:uid="{00000000-0005-0000-0000-00003D030000}"/>
    <cellStyle name="표준 2 4 2 2" xfId="676" xr:uid="{00000000-0005-0000-0000-00003E030000}"/>
    <cellStyle name="표준 2 4 2 3" xfId="927" xr:uid="{00000000-0005-0000-0000-00003F030000}"/>
    <cellStyle name="표준 2 4 2 4" xfId="943" xr:uid="{00000000-0005-0000-0000-000040030000}"/>
    <cellStyle name="표준 2 4 3" xfId="896" xr:uid="{00000000-0005-0000-0000-000041030000}"/>
    <cellStyle name="표준 2 4 4" xfId="950" xr:uid="{00000000-0005-0000-0000-000042030000}"/>
    <cellStyle name="표준 2 5" xfId="505" xr:uid="{00000000-0005-0000-0000-000043030000}"/>
    <cellStyle name="표준 2 5 2" xfId="879" xr:uid="{00000000-0005-0000-0000-000044030000}"/>
    <cellStyle name="표준 2 5 2 2" xfId="675" xr:uid="{00000000-0005-0000-0000-000045030000}"/>
    <cellStyle name="표준 2 5 2 3" xfId="928" xr:uid="{00000000-0005-0000-0000-000046030000}"/>
    <cellStyle name="표준 2 5 2 4" xfId="867" xr:uid="{00000000-0005-0000-0000-000047030000}"/>
    <cellStyle name="표준 2 5 3" xfId="897" xr:uid="{00000000-0005-0000-0000-000048030000}"/>
    <cellStyle name="표준 2 5 4" xfId="942" xr:uid="{00000000-0005-0000-0000-000049030000}"/>
    <cellStyle name="표준 2 6" xfId="506" xr:uid="{00000000-0005-0000-0000-00004A030000}"/>
    <cellStyle name="표준 2 6 2" xfId="674" xr:uid="{00000000-0005-0000-0000-00004B030000}"/>
    <cellStyle name="표준 2 6 3" xfId="604" xr:uid="{00000000-0005-0000-0000-00004C030000}"/>
    <cellStyle name="표준 2 7" xfId="892" xr:uid="{00000000-0005-0000-0000-00004D030000}"/>
    <cellStyle name="표준 2 7 2" xfId="673" xr:uid="{00000000-0005-0000-0000-00004E030000}"/>
    <cellStyle name="표준 2 7 2 2" xfId="603" xr:uid="{00000000-0005-0000-0000-00004F030000}"/>
    <cellStyle name="표준 2 7 2 3" xfId="934" xr:uid="{00000000-0005-0000-0000-000050030000}"/>
    <cellStyle name="표준 2 7 2 4" xfId="905" xr:uid="{00000000-0005-0000-0000-000051030000}"/>
    <cellStyle name="표준 2 7 3" xfId="929" xr:uid="{00000000-0005-0000-0000-000052030000}"/>
    <cellStyle name="표준 2 7 4" xfId="906" xr:uid="{00000000-0005-0000-0000-000053030000}"/>
    <cellStyle name="표준 2 8" xfId="672" xr:uid="{00000000-0005-0000-0000-000054030000}"/>
    <cellStyle name="표준 2 8 2" xfId="602" xr:uid="{00000000-0005-0000-0000-000055030000}"/>
    <cellStyle name="표준 2 9" xfId="600" xr:uid="{00000000-0005-0000-0000-000056030000}"/>
    <cellStyle name="표준 2_출하계획서-복사" xfId="878" xr:uid="{00000000-0005-0000-0000-000057030000}"/>
    <cellStyle name="표준 20" xfId="605" xr:uid="{00000000-0005-0000-0000-000058030000}"/>
    <cellStyle name="표준 21" xfId="588" xr:uid="{00000000-0005-0000-0000-000059030000}"/>
    <cellStyle name="표준 21 10" xfId="587" xr:uid="{00000000-0005-0000-0000-00005A030000}"/>
    <cellStyle name="표준 21 10 2" xfId="526" xr:uid="{00000000-0005-0000-0000-00005B030000}"/>
    <cellStyle name="표준 21 11" xfId="527" xr:uid="{00000000-0005-0000-0000-00005C030000}"/>
    <cellStyle name="표준 21 2" xfId="586" xr:uid="{00000000-0005-0000-0000-00005D030000}"/>
    <cellStyle name="표준 21 2 2" xfId="525" xr:uid="{00000000-0005-0000-0000-00005E030000}"/>
    <cellStyle name="표준 21 3" xfId="585" xr:uid="{00000000-0005-0000-0000-00005F030000}"/>
    <cellStyle name="표준 21 3 2" xfId="524" xr:uid="{00000000-0005-0000-0000-000060030000}"/>
    <cellStyle name="표준 21 4" xfId="584" xr:uid="{00000000-0005-0000-0000-000061030000}"/>
    <cellStyle name="표준 21 4 2" xfId="523" xr:uid="{00000000-0005-0000-0000-000062030000}"/>
    <cellStyle name="표준 21 5" xfId="583" xr:uid="{00000000-0005-0000-0000-000063030000}"/>
    <cellStyle name="표준 21 5 2" xfId="522" xr:uid="{00000000-0005-0000-0000-000064030000}"/>
    <cellStyle name="표준 21 6" xfId="582" xr:uid="{00000000-0005-0000-0000-000065030000}"/>
    <cellStyle name="표준 21 6 2" xfId="521" xr:uid="{00000000-0005-0000-0000-000066030000}"/>
    <cellStyle name="표준 21 7" xfId="581" xr:uid="{00000000-0005-0000-0000-000067030000}"/>
    <cellStyle name="표준 21 7 2" xfId="520" xr:uid="{00000000-0005-0000-0000-000068030000}"/>
    <cellStyle name="표준 21 8" xfId="580" xr:uid="{00000000-0005-0000-0000-000069030000}"/>
    <cellStyle name="표준 21 8 2" xfId="519" xr:uid="{00000000-0005-0000-0000-00006A030000}"/>
    <cellStyle name="표준 21 9" xfId="579" xr:uid="{00000000-0005-0000-0000-00006B030000}"/>
    <cellStyle name="표준 21 9 2" xfId="518" xr:uid="{00000000-0005-0000-0000-00006C030000}"/>
    <cellStyle name="표준 22" xfId="886" xr:uid="{00000000-0005-0000-0000-00006D030000}"/>
    <cellStyle name="표준 23" xfId="578" xr:uid="{00000000-0005-0000-0000-00006E030000}"/>
    <cellStyle name="표준 23 2" xfId="517" xr:uid="{00000000-0005-0000-0000-00006F030000}"/>
    <cellStyle name="표준 3" xfId="507" xr:uid="{00000000-0005-0000-0000-000070030000}"/>
    <cellStyle name="표준 3 10" xfId="671" xr:uid="{00000000-0005-0000-0000-000071030000}"/>
    <cellStyle name="표준 3 11" xfId="670" xr:uid="{00000000-0005-0000-0000-000072030000}"/>
    <cellStyle name="표준 3 12" xfId="669" xr:uid="{00000000-0005-0000-0000-000073030000}"/>
    <cellStyle name="표준 3 13" xfId="668" xr:uid="{00000000-0005-0000-0000-000074030000}"/>
    <cellStyle name="표준 3 14" xfId="763" xr:uid="{00000000-0005-0000-0000-000075030000}"/>
    <cellStyle name="표준 3 15" xfId="864" xr:uid="{00000000-0005-0000-0000-000076030000}"/>
    <cellStyle name="표준 3 16" xfId="936" xr:uid="{00000000-0005-0000-0000-000077030000}"/>
    <cellStyle name="표준 3 2" xfId="889" xr:uid="{00000000-0005-0000-0000-000078030000}"/>
    <cellStyle name="표준 3 2 2" xfId="877" xr:uid="{00000000-0005-0000-0000-000079030000}"/>
    <cellStyle name="표준 3 2 2 2" xfId="667" xr:uid="{00000000-0005-0000-0000-00007A030000}"/>
    <cellStyle name="표준 3 2 2 3" xfId="930" xr:uid="{00000000-0005-0000-0000-00007B030000}"/>
    <cellStyle name="표준 3 2 2 4" xfId="908" xr:uid="{00000000-0005-0000-0000-00007C030000}"/>
    <cellStyle name="표준 3 2 3" xfId="898" xr:uid="{00000000-0005-0000-0000-00007D030000}"/>
    <cellStyle name="표준 3 2 4" xfId="941" xr:uid="{00000000-0005-0000-0000-00007E030000}"/>
    <cellStyle name="표준 3 3" xfId="876" xr:uid="{00000000-0005-0000-0000-00007F030000}"/>
    <cellStyle name="표준 3 3 2" xfId="666" xr:uid="{00000000-0005-0000-0000-000080030000}"/>
    <cellStyle name="표준 3 4" xfId="875" xr:uid="{00000000-0005-0000-0000-000081030000}"/>
    <cellStyle name="표준 3 4 2" xfId="665" xr:uid="{00000000-0005-0000-0000-000082030000}"/>
    <cellStyle name="표준 3 5" xfId="874" xr:uid="{00000000-0005-0000-0000-000083030000}"/>
    <cellStyle name="표준 3 5 2" xfId="664" xr:uid="{00000000-0005-0000-0000-000084030000}"/>
    <cellStyle name="표준 3 6" xfId="663" xr:uid="{00000000-0005-0000-0000-000085030000}"/>
    <cellStyle name="표준 3 6 2" xfId="599" xr:uid="{00000000-0005-0000-0000-000086030000}"/>
    <cellStyle name="표준 3 7" xfId="662" xr:uid="{00000000-0005-0000-0000-000087030000}"/>
    <cellStyle name="표준 3 8" xfId="661" xr:uid="{00000000-0005-0000-0000-000088030000}"/>
    <cellStyle name="표준 3 9" xfId="660" xr:uid="{00000000-0005-0000-0000-000089030000}"/>
    <cellStyle name="표준 4" xfId="508" xr:uid="{00000000-0005-0000-0000-00008A030000}"/>
    <cellStyle name="표준 4 2" xfId="873" xr:uid="{00000000-0005-0000-0000-00008B030000}"/>
    <cellStyle name="표준 4 2 2" xfId="762" xr:uid="{00000000-0005-0000-0000-00008C030000}"/>
    <cellStyle name="표준 4 2 3" xfId="659" xr:uid="{00000000-0005-0000-0000-00008D030000}"/>
    <cellStyle name="표준 4 3" xfId="872" xr:uid="{00000000-0005-0000-0000-00008E030000}"/>
    <cellStyle name="표준 4 4" xfId="871" xr:uid="{00000000-0005-0000-0000-00008F030000}"/>
    <cellStyle name="표준 4 5" xfId="870" xr:uid="{00000000-0005-0000-0000-000090030000}"/>
    <cellStyle name="표준 4 6" xfId="598" xr:uid="{00000000-0005-0000-0000-000091030000}"/>
    <cellStyle name="표준 5" xfId="509" xr:uid="{00000000-0005-0000-0000-000092030000}"/>
    <cellStyle name="표준 5 2" xfId="869" xr:uid="{00000000-0005-0000-0000-000093030000}"/>
    <cellStyle name="표준 5 2 2" xfId="761" xr:uid="{00000000-0005-0000-0000-000094030000}"/>
    <cellStyle name="표준 5 2 3" xfId="913" xr:uid="{00000000-0005-0000-0000-000095030000}"/>
    <cellStyle name="표준 5 2 4" xfId="948" xr:uid="{00000000-0005-0000-0000-000096030000}"/>
    <cellStyle name="표준 5 3" xfId="597" xr:uid="{00000000-0005-0000-0000-000097030000}"/>
    <cellStyle name="표준 5 4" xfId="900" xr:uid="{00000000-0005-0000-0000-000098030000}"/>
    <cellStyle name="표준 5 5" xfId="940" xr:uid="{00000000-0005-0000-0000-000099030000}"/>
    <cellStyle name="표준 6" xfId="510" xr:uid="{00000000-0005-0000-0000-00009A030000}"/>
    <cellStyle name="표준 6 2" xfId="760" xr:uid="{00000000-0005-0000-0000-00009B030000}"/>
    <cellStyle name="표준 6 2 2" xfId="596" xr:uid="{00000000-0005-0000-0000-00009C030000}"/>
    <cellStyle name="표준 6 2 3" xfId="937" xr:uid="{00000000-0005-0000-0000-00009D030000}"/>
    <cellStyle name="표준 6 2 4" xfId="903" xr:uid="{00000000-0005-0000-0000-00009E030000}"/>
    <cellStyle name="표준 6 3" xfId="914" xr:uid="{00000000-0005-0000-0000-00009F030000}"/>
    <cellStyle name="표준 6 4" xfId="932" xr:uid="{00000000-0005-0000-0000-0000A0030000}"/>
    <cellStyle name="표준 7" xfId="511" xr:uid="{00000000-0005-0000-0000-0000A1030000}"/>
    <cellStyle name="표준 7 2" xfId="759" xr:uid="{00000000-0005-0000-0000-0000A2030000}"/>
    <cellStyle name="표준 7 2 2" xfId="595" xr:uid="{00000000-0005-0000-0000-0000A3030000}"/>
    <cellStyle name="표준 7 2 3" xfId="938" xr:uid="{00000000-0005-0000-0000-0000A4030000}"/>
    <cellStyle name="표준 7 2 4" xfId="902" xr:uid="{00000000-0005-0000-0000-0000A5030000}"/>
    <cellStyle name="표준 7 3" xfId="915" xr:uid="{00000000-0005-0000-0000-0000A6030000}"/>
    <cellStyle name="표준 7 4" xfId="946" xr:uid="{00000000-0005-0000-0000-0000A7030000}"/>
    <cellStyle name="표준 8" xfId="512" xr:uid="{00000000-0005-0000-0000-0000A8030000}"/>
    <cellStyle name="표준 8 2" xfId="758" xr:uid="{00000000-0005-0000-0000-0000A9030000}"/>
    <cellStyle name="표준 8 2 2" xfId="594" xr:uid="{00000000-0005-0000-0000-0000AA030000}"/>
    <cellStyle name="표준 8 2 3" xfId="939" xr:uid="{00000000-0005-0000-0000-0000AB030000}"/>
    <cellStyle name="표준 8 2 4" xfId="901" xr:uid="{00000000-0005-0000-0000-0000AC030000}"/>
    <cellStyle name="표준 8 3" xfId="916" xr:uid="{00000000-0005-0000-0000-0000AD030000}"/>
    <cellStyle name="표준 8 4" xfId="947" xr:uid="{00000000-0005-0000-0000-0000AE030000}"/>
    <cellStyle name="표준 9" xfId="862" xr:uid="{00000000-0005-0000-0000-0000AF030000}"/>
    <cellStyle name="표준 9 2" xfId="658" xr:uid="{00000000-0005-0000-0000-0000B0030000}"/>
    <cellStyle name="표준 9 2 2" xfId="593" xr:uid="{00000000-0005-0000-0000-0000B1030000}"/>
    <cellStyle name="표준 9 3" xfId="657" xr:uid="{00000000-0005-0000-0000-0000B2030000}"/>
    <cellStyle name="하이퍼링크 2" xfId="757" xr:uid="{00000000-0005-0000-0000-0000B3030000}"/>
    <cellStyle name="합산" xfId="513" xr:uid="{00000000-0005-0000-0000-0000B4030000}"/>
    <cellStyle name="화폐기호" xfId="514" xr:uid="{00000000-0005-0000-0000-0000B5030000}"/>
    <cellStyle name="화폐기호0" xfId="515" xr:uid="{00000000-0005-0000-0000-0000B603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17</xdr:col>
      <xdr:colOff>371475</xdr:colOff>
      <xdr:row>48</xdr:row>
      <xdr:rowOff>152400</xdr:rowOff>
    </xdr:from>
    <xdr:to>
      <xdr:col>21</xdr:col>
      <xdr:colOff>570452</xdr:colOff>
      <xdr:row>58</xdr:row>
      <xdr:rowOff>161925</xdr:rowOff>
    </xdr:to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972175" y="10591800"/>
          <a:ext cx="2608802" cy="1914525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17</xdr:col>
      <xdr:colOff>209548</xdr:colOff>
      <xdr:row>110</xdr:row>
      <xdr:rowOff>209550</xdr:rowOff>
    </xdr:from>
    <xdr:to>
      <xdr:col>21</xdr:col>
      <xdr:colOff>494166</xdr:colOff>
      <xdr:row>120</xdr:row>
      <xdr:rowOff>132768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848348" y="21640800"/>
          <a:ext cx="2694443" cy="2113968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00B050"/>
    <pageSetUpPr fitToPage="1"/>
  </sheetPr>
  <dimension ref="A1:AD122"/>
  <sheetViews>
    <sheetView showGridLines="0" showZeros="0" tabSelected="1" workbookViewId="0">
      <selection sqref="A1:Z1"/>
    </sheetView>
  </sheetViews>
  <sheetFormatPr defaultRowHeight="17.25" customHeight="1"/>
  <cols>
    <col min="1" max="1" width="1.42578125" style="1" customWidth="1"/>
    <col min="2" max="2" width="6.140625" style="1" customWidth="1"/>
    <col min="3" max="3" width="1.28515625" style="1" customWidth="1"/>
    <col min="4" max="4" width="12" style="1" customWidth="1"/>
    <col min="5" max="5" width="8" style="1" customWidth="1"/>
    <col min="6" max="6" width="2.28515625" style="1" customWidth="1"/>
    <col min="7" max="7" width="13.28515625" style="1" customWidth="1"/>
    <col min="8" max="8" width="5.7109375" style="1" customWidth="1"/>
    <col min="9" max="9" width="3.140625" style="1" customWidth="1"/>
    <col min="10" max="10" width="1.28515625" style="1" customWidth="1"/>
    <col min="11" max="12" width="2.140625" style="1" customWidth="1"/>
    <col min="13" max="13" width="1.7109375" style="1" customWidth="1"/>
    <col min="14" max="14" width="10.7109375" style="1" customWidth="1"/>
    <col min="15" max="15" width="1.7109375" style="1" customWidth="1"/>
    <col min="16" max="16" width="12.140625" style="1" customWidth="1"/>
    <col min="17" max="17" width="1.42578125" style="1" customWidth="1"/>
    <col min="18" max="18" width="12.140625" style="1" customWidth="1"/>
    <col min="19" max="19" width="1.42578125" style="1" customWidth="1"/>
    <col min="20" max="20" width="9.7109375" style="1" customWidth="1"/>
    <col min="21" max="21" width="12.85546875" style="1" customWidth="1"/>
    <col min="22" max="22" width="12.7109375" style="1" customWidth="1"/>
    <col min="23" max="23" width="1.42578125" style="1" customWidth="1"/>
    <col min="24" max="24" width="12.42578125" style="1" customWidth="1"/>
    <col min="25" max="25" width="1.85546875" style="2" hidden="1" customWidth="1"/>
    <col min="26" max="26" width="4.5703125" style="1" hidden="1" customWidth="1"/>
    <col min="27" max="27" width="0.7109375" style="2" customWidth="1"/>
    <col min="28" max="28" width="2.28515625" style="1" customWidth="1"/>
    <col min="29" max="29" width="9.5703125" style="1" customWidth="1"/>
    <col min="30" max="30" width="17.28515625" style="1" customWidth="1"/>
    <col min="31" max="16384" width="9.140625" style="1"/>
  </cols>
  <sheetData>
    <row r="1" spans="1:28" ht="29.25" customHeight="1">
      <c r="A1" s="234" t="s">
        <v>58</v>
      </c>
      <c r="B1" s="234"/>
      <c r="C1" s="234"/>
      <c r="D1" s="234"/>
      <c r="E1" s="234"/>
      <c r="F1" s="234"/>
      <c r="G1" s="234"/>
      <c r="H1" s="234"/>
      <c r="I1" s="234"/>
      <c r="J1" s="234"/>
      <c r="K1" s="234"/>
      <c r="L1" s="234"/>
      <c r="M1" s="234"/>
      <c r="N1" s="234"/>
      <c r="O1" s="234"/>
      <c r="P1" s="234"/>
      <c r="Q1" s="234"/>
      <c r="R1" s="234"/>
      <c r="S1" s="234"/>
      <c r="T1" s="234"/>
      <c r="U1" s="234"/>
      <c r="V1" s="234"/>
      <c r="W1" s="234"/>
      <c r="X1" s="234"/>
      <c r="Y1" s="234"/>
      <c r="Z1" s="234"/>
      <c r="AA1" s="20"/>
    </row>
    <row r="2" spans="1:28" s="97" customFormat="1" ht="14.25" customHeight="1">
      <c r="A2" s="100" t="s">
        <v>24</v>
      </c>
      <c r="B2" s="78"/>
      <c r="C2" s="78"/>
      <c r="D2" s="78"/>
      <c r="E2" s="78"/>
      <c r="F2" s="78"/>
      <c r="G2" s="78"/>
      <c r="H2" s="78"/>
      <c r="I2" s="101"/>
      <c r="J2" s="100" t="s">
        <v>14</v>
      </c>
      <c r="K2" s="100"/>
      <c r="L2" s="100"/>
      <c r="M2" s="100"/>
      <c r="N2" s="100"/>
      <c r="O2" s="100"/>
      <c r="P2" s="100"/>
      <c r="Q2" s="100"/>
      <c r="R2" s="100"/>
      <c r="S2" s="100"/>
      <c r="T2" s="100"/>
      <c r="Y2" s="78"/>
      <c r="Z2" s="78"/>
      <c r="AA2" s="78"/>
    </row>
    <row r="3" spans="1:28" s="97" customFormat="1" ht="14.25" customHeight="1">
      <c r="B3" s="102" t="s">
        <v>13</v>
      </c>
      <c r="C3" s="102"/>
      <c r="I3" s="103"/>
      <c r="J3" s="104"/>
      <c r="K3" s="215"/>
      <c r="L3" s="215"/>
      <c r="M3" s="217"/>
      <c r="N3" s="217"/>
      <c r="O3" s="105"/>
      <c r="P3" s="106"/>
      <c r="Q3" s="104"/>
      <c r="R3" s="104"/>
      <c r="T3" s="104"/>
      <c r="U3" s="104"/>
      <c r="V3" s="104"/>
      <c r="W3" s="104"/>
      <c r="X3" s="235"/>
      <c r="Y3" s="235"/>
      <c r="Z3" s="78"/>
      <c r="AA3" s="78"/>
    </row>
    <row r="4" spans="1:28" s="97" customFormat="1" ht="14.25" customHeight="1">
      <c r="B4" s="97" t="s">
        <v>12</v>
      </c>
      <c r="I4" s="103"/>
      <c r="J4" s="107" t="s">
        <v>23</v>
      </c>
      <c r="K4" s="107"/>
      <c r="L4" s="107"/>
      <c r="M4" s="107"/>
      <c r="N4" s="107"/>
      <c r="O4" s="107"/>
      <c r="P4" s="107"/>
      <c r="Q4" s="107"/>
      <c r="R4" s="107"/>
      <c r="S4" s="107"/>
      <c r="T4" s="100"/>
      <c r="Y4" s="78"/>
      <c r="Z4" s="78"/>
      <c r="AA4" s="78"/>
    </row>
    <row r="5" spans="1:28" s="97" customFormat="1" ht="14.25" customHeight="1">
      <c r="B5" s="97" t="s">
        <v>11</v>
      </c>
      <c r="I5" s="103"/>
      <c r="J5" s="100"/>
      <c r="M5" s="100"/>
      <c r="N5" s="100"/>
      <c r="O5" s="100"/>
      <c r="P5" s="100"/>
      <c r="Q5" s="100"/>
      <c r="R5" s="100"/>
      <c r="S5" s="100"/>
      <c r="T5" s="100"/>
      <c r="Y5" s="78"/>
      <c r="Z5" s="78"/>
      <c r="AA5" s="78"/>
    </row>
    <row r="6" spans="1:28" s="97" customFormat="1" ht="14.25" customHeight="1">
      <c r="B6" s="97" t="s">
        <v>9</v>
      </c>
      <c r="I6" s="103"/>
      <c r="T6" s="78"/>
      <c r="Y6" s="78"/>
      <c r="Z6" s="78"/>
      <c r="AA6" s="78"/>
    </row>
    <row r="7" spans="1:28" s="97" customFormat="1" ht="14.25" customHeight="1">
      <c r="B7" s="78" t="s">
        <v>8</v>
      </c>
      <c r="C7" s="78"/>
      <c r="D7" s="78"/>
      <c r="E7" s="78"/>
      <c r="F7" s="78"/>
      <c r="G7" s="78"/>
      <c r="H7" s="78"/>
      <c r="I7" s="103"/>
      <c r="J7" s="107" t="s">
        <v>22</v>
      </c>
      <c r="K7" s="107"/>
      <c r="L7" s="107"/>
      <c r="M7" s="107"/>
      <c r="N7" s="107"/>
      <c r="O7" s="107"/>
      <c r="P7" s="107"/>
      <c r="Q7" s="107"/>
      <c r="R7" s="107"/>
      <c r="S7" s="107"/>
      <c r="T7" s="107"/>
      <c r="U7" s="108"/>
      <c r="V7" s="108"/>
      <c r="W7" s="108"/>
      <c r="X7" s="108"/>
      <c r="Y7" s="108"/>
      <c r="Z7" s="78"/>
      <c r="AA7" s="78"/>
    </row>
    <row r="8" spans="1:28" s="97" customFormat="1" ht="14.25" customHeight="1">
      <c r="B8" s="78"/>
      <c r="C8" s="78"/>
      <c r="D8" s="78"/>
      <c r="E8" s="78"/>
      <c r="F8" s="78"/>
      <c r="G8" s="78"/>
      <c r="H8" s="78"/>
      <c r="I8" s="109"/>
      <c r="J8" s="206"/>
      <c r="K8" s="173"/>
      <c r="L8" s="173"/>
      <c r="M8" s="173"/>
      <c r="N8" s="173"/>
      <c r="O8" s="173"/>
      <c r="P8" s="173"/>
      <c r="Q8" s="173"/>
      <c r="R8" s="173"/>
      <c r="S8" s="173"/>
      <c r="T8" s="173"/>
      <c r="U8" s="104"/>
      <c r="V8" s="104"/>
      <c r="W8" s="104"/>
      <c r="X8" s="104"/>
      <c r="Y8" s="78"/>
      <c r="Z8" s="78"/>
      <c r="AA8" s="78"/>
    </row>
    <row r="9" spans="1:28" s="97" customFormat="1" ht="14.25" customHeight="1">
      <c r="A9" s="96" t="s">
        <v>7</v>
      </c>
      <c r="B9" s="110"/>
      <c r="C9" s="110"/>
      <c r="D9" s="110"/>
      <c r="E9" s="110"/>
      <c r="F9" s="110"/>
      <c r="G9" s="110"/>
      <c r="H9" s="110"/>
      <c r="I9" s="110"/>
      <c r="J9" s="115" t="s">
        <v>21</v>
      </c>
      <c r="K9" s="82"/>
      <c r="L9" s="82"/>
      <c r="M9" s="78"/>
      <c r="N9" s="78"/>
      <c r="O9" s="78"/>
      <c r="P9" s="78"/>
      <c r="Q9" s="78"/>
      <c r="R9" s="78"/>
      <c r="S9" s="78"/>
      <c r="T9" s="78"/>
      <c r="U9" s="78"/>
      <c r="V9" s="78"/>
      <c r="W9" s="78"/>
      <c r="X9" s="78"/>
      <c r="Y9" s="78"/>
      <c r="Z9" s="78"/>
      <c r="AA9" s="78"/>
    </row>
    <row r="10" spans="1:28" s="97" customFormat="1" ht="14.25" customHeight="1">
      <c r="A10" s="112"/>
      <c r="C10" s="113"/>
      <c r="D10" s="113"/>
      <c r="E10" s="113"/>
      <c r="F10" s="113"/>
      <c r="G10" s="113"/>
      <c r="H10" s="114"/>
      <c r="I10" s="136"/>
      <c r="K10" s="82"/>
      <c r="L10" s="82"/>
      <c r="M10" s="78"/>
      <c r="N10" s="82"/>
      <c r="O10" s="82"/>
      <c r="P10" s="82"/>
      <c r="Q10" s="82"/>
      <c r="R10" s="82"/>
      <c r="S10" s="82"/>
      <c r="T10" s="82"/>
      <c r="U10" s="82"/>
      <c r="V10" s="78"/>
      <c r="W10" s="78"/>
      <c r="X10" s="78"/>
      <c r="Y10" s="78"/>
      <c r="Z10" s="78"/>
      <c r="AA10" s="78"/>
    </row>
    <row r="11" spans="1:28" s="97" customFormat="1" ht="14.25" customHeight="1">
      <c r="A11" s="112"/>
      <c r="B11" s="116" t="s">
        <v>30</v>
      </c>
      <c r="C11" s="116"/>
      <c r="D11" s="116"/>
      <c r="E11" s="116"/>
      <c r="F11" s="116"/>
      <c r="G11" s="116"/>
      <c r="H11" s="116"/>
      <c r="I11" s="131"/>
      <c r="J11" s="82"/>
      <c r="K11" s="86"/>
      <c r="L11" s="233" t="s">
        <v>30</v>
      </c>
      <c r="M11" s="233"/>
      <c r="N11" s="233"/>
      <c r="O11" s="233"/>
      <c r="P11" s="233"/>
      <c r="Q11" s="233"/>
      <c r="R11" s="233"/>
      <c r="T11" s="117"/>
      <c r="U11" s="99"/>
      <c r="V11" s="99"/>
      <c r="W11" s="99"/>
      <c r="X11" s="99"/>
      <c r="Y11" s="117"/>
      <c r="Z11" s="117"/>
      <c r="AA11" s="117"/>
    </row>
    <row r="12" spans="1:28" s="97" customFormat="1" ht="14.25" customHeight="1">
      <c r="A12" s="112"/>
      <c r="B12" s="112" t="s">
        <v>31</v>
      </c>
      <c r="C12" s="112"/>
      <c r="D12" s="112"/>
      <c r="E12" s="112"/>
      <c r="F12" s="112"/>
      <c r="G12" s="112"/>
      <c r="H12" s="112"/>
      <c r="I12" s="116"/>
      <c r="J12" s="111"/>
      <c r="K12" s="86"/>
      <c r="L12" s="200" t="s">
        <v>31</v>
      </c>
      <c r="M12" s="200"/>
      <c r="N12" s="200"/>
      <c r="O12" s="200"/>
      <c r="P12" s="200"/>
      <c r="Q12" s="200"/>
      <c r="R12" s="200"/>
      <c r="S12" s="112"/>
      <c r="T12" s="94"/>
      <c r="X12" s="118"/>
      <c r="Y12" s="99"/>
      <c r="Z12" s="99"/>
      <c r="AA12" s="99"/>
    </row>
    <row r="13" spans="1:28" s="97" customFormat="1" ht="15" customHeight="1">
      <c r="A13" s="112"/>
      <c r="B13" s="236" t="s">
        <v>59</v>
      </c>
      <c r="C13" s="236"/>
      <c r="D13" s="236"/>
      <c r="E13" s="236"/>
      <c r="F13" s="236"/>
      <c r="G13" s="236"/>
      <c r="H13" s="112"/>
      <c r="I13" s="112"/>
      <c r="J13" s="111"/>
      <c r="K13" s="86"/>
      <c r="L13" s="237" t="s">
        <v>59</v>
      </c>
      <c r="M13" s="237"/>
      <c r="N13" s="237"/>
      <c r="O13" s="237"/>
      <c r="P13" s="237"/>
      <c r="Q13" s="237"/>
      <c r="R13" s="237"/>
      <c r="S13" s="112"/>
      <c r="T13" s="94"/>
      <c r="X13" s="118"/>
      <c r="Y13" s="99"/>
      <c r="Z13" s="120"/>
      <c r="AA13" s="99"/>
    </row>
    <row r="14" spans="1:28" s="97" customFormat="1" ht="14.25" customHeight="1">
      <c r="A14" s="112"/>
      <c r="B14" s="112" t="s">
        <v>32</v>
      </c>
      <c r="C14" s="112"/>
      <c r="D14" s="112"/>
      <c r="E14" s="112"/>
      <c r="F14" s="112"/>
      <c r="G14" s="112"/>
      <c r="H14" s="112"/>
      <c r="I14" s="112"/>
      <c r="J14" s="115"/>
      <c r="K14" s="86"/>
      <c r="L14" s="200" t="s">
        <v>32</v>
      </c>
      <c r="M14" s="200"/>
      <c r="N14" s="200"/>
      <c r="O14" s="200"/>
      <c r="P14" s="200"/>
      <c r="Q14" s="200"/>
      <c r="R14" s="200"/>
      <c r="S14" s="112"/>
      <c r="T14" s="120"/>
      <c r="X14" s="118"/>
      <c r="Y14" s="121"/>
      <c r="Z14" s="122"/>
      <c r="AA14" s="82"/>
      <c r="AB14" s="112"/>
    </row>
    <row r="15" spans="1:28" s="97" customFormat="1" ht="13.5">
      <c r="A15" s="112"/>
      <c r="B15" s="112" t="s">
        <v>33</v>
      </c>
      <c r="C15" s="112"/>
      <c r="D15" s="112"/>
      <c r="E15" s="112"/>
      <c r="F15" s="112"/>
      <c r="G15" s="112"/>
      <c r="H15" s="112"/>
      <c r="I15" s="112"/>
      <c r="J15" s="111"/>
      <c r="K15" s="86"/>
      <c r="L15" s="241" t="s">
        <v>33</v>
      </c>
      <c r="M15" s="241"/>
      <c r="N15" s="241"/>
      <c r="O15" s="241"/>
      <c r="P15" s="241"/>
      <c r="Q15" s="241"/>
      <c r="R15" s="241"/>
      <c r="S15" s="112"/>
      <c r="T15" s="123"/>
      <c r="X15" s="118"/>
      <c r="Y15" s="124"/>
      <c r="Z15" s="124"/>
      <c r="AA15" s="82"/>
      <c r="AB15" s="112"/>
    </row>
    <row r="16" spans="1:28" s="97" customFormat="1" ht="13.5">
      <c r="A16" s="112"/>
      <c r="B16" s="112"/>
      <c r="C16" s="112"/>
      <c r="D16" s="112"/>
      <c r="E16" s="112"/>
      <c r="F16" s="112"/>
      <c r="G16" s="112"/>
      <c r="H16" s="112"/>
      <c r="I16" s="112"/>
      <c r="J16" s="207"/>
      <c r="K16" s="145"/>
      <c r="L16" s="242"/>
      <c r="M16" s="242"/>
      <c r="N16" s="242"/>
      <c r="O16" s="242"/>
      <c r="P16" s="242"/>
      <c r="Q16" s="242"/>
      <c r="R16" s="242"/>
      <c r="S16" s="145"/>
      <c r="T16" s="145"/>
      <c r="U16" s="145"/>
      <c r="V16" s="104"/>
      <c r="W16" s="104"/>
      <c r="X16" s="104"/>
      <c r="Y16" s="125"/>
      <c r="Z16" s="125"/>
      <c r="AA16" s="82"/>
      <c r="AB16" s="82"/>
    </row>
    <row r="17" spans="1:30" s="97" customFormat="1" ht="13.5">
      <c r="A17" s="107" t="s">
        <v>51</v>
      </c>
      <c r="B17" s="108"/>
      <c r="C17" s="108"/>
      <c r="D17" s="108"/>
      <c r="E17" s="110"/>
      <c r="F17" s="110"/>
      <c r="G17" s="110"/>
      <c r="H17" s="110"/>
      <c r="I17" s="110"/>
      <c r="J17" s="115" t="s">
        <v>53</v>
      </c>
      <c r="K17" s="82"/>
      <c r="L17" s="82"/>
      <c r="M17" s="78"/>
      <c r="N17" s="82"/>
      <c r="O17" s="82"/>
      <c r="P17" s="82"/>
      <c r="Q17" s="82"/>
      <c r="R17" s="82"/>
      <c r="S17" s="82"/>
      <c r="T17" s="82"/>
      <c r="U17" s="82"/>
      <c r="V17" s="78"/>
      <c r="W17" s="78"/>
      <c r="X17" s="78"/>
      <c r="Y17" s="126"/>
      <c r="Z17" s="126"/>
      <c r="AA17" s="82"/>
      <c r="AB17" s="112"/>
    </row>
    <row r="18" spans="1:30" s="97" customFormat="1" ht="14.25" customHeight="1">
      <c r="A18" s="112"/>
      <c r="B18" s="116"/>
      <c r="C18" s="112"/>
      <c r="D18" s="112"/>
      <c r="E18" s="112"/>
      <c r="G18" s="112"/>
      <c r="H18" s="112"/>
      <c r="I18" s="112"/>
      <c r="J18" s="127"/>
      <c r="K18" s="128"/>
      <c r="L18" s="128"/>
      <c r="O18" s="129"/>
      <c r="P18" s="117"/>
      <c r="Q18" s="118"/>
      <c r="R18" s="118"/>
      <c r="S18" s="130"/>
      <c r="T18" s="117"/>
      <c r="U18" s="99"/>
      <c r="V18" s="99"/>
      <c r="W18" s="99"/>
      <c r="X18" s="99"/>
      <c r="Y18" s="126"/>
      <c r="Z18" s="99"/>
      <c r="AA18" s="82"/>
      <c r="AB18" s="112"/>
    </row>
    <row r="19" spans="1:30" s="97" customFormat="1" ht="14.25" customHeight="1">
      <c r="A19" s="112"/>
      <c r="B19" s="116" t="s">
        <v>25</v>
      </c>
      <c r="C19" s="112"/>
      <c r="D19" s="112"/>
      <c r="E19" s="116"/>
      <c r="F19" s="102"/>
      <c r="G19" s="116"/>
      <c r="H19" s="116"/>
      <c r="I19" s="131"/>
      <c r="K19" s="86" t="s">
        <v>6</v>
      </c>
      <c r="L19" s="208"/>
      <c r="M19" s="208"/>
      <c r="N19" s="91" t="s">
        <v>35</v>
      </c>
      <c r="O19" s="208"/>
      <c r="P19" s="129" t="s">
        <v>36</v>
      </c>
      <c r="Q19" s="208"/>
      <c r="R19" s="91" t="s">
        <v>37</v>
      </c>
      <c r="S19" s="91"/>
      <c r="T19" s="91" t="s">
        <v>38</v>
      </c>
      <c r="U19" s="129" t="s">
        <v>39</v>
      </c>
      <c r="W19" s="129"/>
      <c r="Y19" s="132"/>
      <c r="Z19" s="132">
        <f>40*Z16</f>
        <v>0</v>
      </c>
      <c r="AA19" s="82"/>
      <c r="AB19" s="112"/>
    </row>
    <row r="20" spans="1:30" s="97" customFormat="1" ht="14.25" customHeight="1">
      <c r="A20" s="112"/>
      <c r="B20" s="112" t="s">
        <v>26</v>
      </c>
      <c r="C20" s="116"/>
      <c r="D20" s="116"/>
      <c r="E20" s="134"/>
      <c r="F20" s="133"/>
      <c r="G20" s="134"/>
      <c r="H20" s="134"/>
      <c r="I20" s="135"/>
      <c r="K20" s="128"/>
      <c r="L20" s="91"/>
      <c r="M20" s="91"/>
      <c r="N20" s="91"/>
      <c r="O20" s="91"/>
      <c r="P20" s="129"/>
      <c r="Q20" s="91"/>
      <c r="R20" s="91"/>
      <c r="S20" s="91"/>
      <c r="T20" s="201"/>
      <c r="U20" s="129"/>
      <c r="W20" s="129"/>
      <c r="Y20" s="120"/>
      <c r="Z20" s="120"/>
      <c r="AA20" s="82"/>
      <c r="AB20" s="112"/>
      <c r="AD20" s="88"/>
    </row>
    <row r="21" spans="1:30" s="97" customFormat="1" ht="14.25" customHeight="1">
      <c r="A21" s="112"/>
      <c r="B21" s="214" t="s">
        <v>27</v>
      </c>
      <c r="C21" s="134"/>
      <c r="D21" s="134"/>
      <c r="E21" s="112"/>
      <c r="G21" s="112"/>
      <c r="H21" s="112"/>
      <c r="I21" s="136"/>
      <c r="J21" s="112"/>
      <c r="K21" s="86"/>
      <c r="L21" s="91"/>
      <c r="M21" s="91"/>
      <c r="N21" s="91"/>
      <c r="O21" s="91"/>
      <c r="P21" s="129"/>
      <c r="Q21" s="91"/>
      <c r="R21" s="91"/>
      <c r="S21" s="91"/>
      <c r="T21" s="227"/>
      <c r="U21" s="129"/>
      <c r="V21" s="129"/>
      <c r="W21" s="129"/>
      <c r="X21" s="129"/>
      <c r="Y21" s="137"/>
      <c r="Z21" s="121"/>
      <c r="AA21" s="138"/>
      <c r="AB21" s="112"/>
    </row>
    <row r="22" spans="1:30" s="97" customFormat="1" ht="14.25" customHeight="1">
      <c r="A22" s="112"/>
      <c r="B22" s="112" t="s">
        <v>28</v>
      </c>
      <c r="C22" s="112"/>
      <c r="D22" s="112"/>
      <c r="E22" s="112"/>
      <c r="F22" s="112"/>
      <c r="G22" s="112"/>
      <c r="H22" s="112"/>
      <c r="I22" s="136"/>
      <c r="J22" s="112"/>
      <c r="K22" s="86"/>
      <c r="L22" s="91"/>
      <c r="M22" s="91"/>
      <c r="N22" s="91"/>
      <c r="O22" s="91"/>
      <c r="P22" s="129"/>
      <c r="Q22" s="91"/>
      <c r="R22" s="91"/>
      <c r="S22" s="91"/>
      <c r="T22" s="227"/>
      <c r="U22" s="129"/>
      <c r="X22" s="140"/>
      <c r="Y22" s="137"/>
      <c r="Z22" s="121"/>
      <c r="AA22" s="138"/>
      <c r="AB22" s="112"/>
    </row>
    <row r="23" spans="1:30" s="97" customFormat="1" ht="14.25" customHeight="1">
      <c r="A23" s="112"/>
      <c r="B23" s="112" t="s">
        <v>29</v>
      </c>
      <c r="C23" s="112"/>
      <c r="D23" s="112"/>
      <c r="E23" s="112"/>
      <c r="F23" s="112"/>
      <c r="G23" s="112"/>
      <c r="H23" s="112"/>
      <c r="I23" s="136"/>
      <c r="J23" s="112"/>
      <c r="K23" s="112"/>
      <c r="L23" s="91"/>
      <c r="M23" s="91"/>
      <c r="N23" s="91"/>
      <c r="O23" s="91"/>
      <c r="P23" s="129"/>
      <c r="Q23" s="91"/>
      <c r="R23" s="91"/>
      <c r="S23" s="91"/>
      <c r="T23" s="227"/>
      <c r="U23" s="129"/>
      <c r="X23" s="118"/>
      <c r="Y23" s="137"/>
      <c r="Z23" s="121"/>
      <c r="AA23" s="138"/>
      <c r="AB23" s="112"/>
    </row>
    <row r="24" spans="1:30" s="97" customFormat="1" ht="14.25" customHeight="1">
      <c r="A24" s="112"/>
      <c r="B24" s="112"/>
      <c r="C24" s="112"/>
      <c r="D24" s="112"/>
      <c r="E24" s="112"/>
      <c r="F24" s="112"/>
      <c r="G24" s="112"/>
      <c r="H24" s="112"/>
      <c r="I24" s="136"/>
      <c r="J24" s="111"/>
      <c r="K24" s="86"/>
      <c r="L24" s="91"/>
      <c r="M24" s="91"/>
      <c r="N24" s="91"/>
      <c r="O24" s="91"/>
      <c r="P24" s="129"/>
      <c r="Q24" s="91"/>
      <c r="R24" s="91"/>
      <c r="S24" s="91"/>
      <c r="T24" s="227"/>
      <c r="U24" s="129"/>
      <c r="V24" s="78"/>
      <c r="W24" s="78"/>
      <c r="X24" s="117"/>
      <c r="Y24" s="144"/>
      <c r="Z24" s="121"/>
      <c r="AA24" s="138"/>
      <c r="AB24" s="112"/>
    </row>
    <row r="25" spans="1:30" s="97" customFormat="1" ht="14.25" customHeight="1">
      <c r="A25" s="112"/>
      <c r="B25" s="112"/>
      <c r="C25" s="112"/>
      <c r="D25" s="112"/>
      <c r="E25" s="112"/>
      <c r="F25" s="112"/>
      <c r="G25" s="112"/>
      <c r="H25" s="112"/>
      <c r="I25" s="136"/>
      <c r="J25" s="115"/>
      <c r="K25" s="82"/>
      <c r="L25" s="82"/>
      <c r="M25" s="78"/>
      <c r="N25" s="91"/>
      <c r="O25" s="91"/>
      <c r="P25" s="129"/>
      <c r="Q25" s="91"/>
      <c r="R25" s="91"/>
      <c r="S25" s="91"/>
      <c r="T25" s="227"/>
      <c r="U25" s="129"/>
      <c r="V25" s="78"/>
      <c r="W25" s="78"/>
      <c r="X25" s="78"/>
      <c r="Y25" s="137"/>
      <c r="Z25" s="121"/>
      <c r="AA25" s="138"/>
      <c r="AB25" s="112"/>
    </row>
    <row r="26" spans="1:30" s="97" customFormat="1" ht="13.5">
      <c r="A26" s="112"/>
      <c r="B26" s="112"/>
      <c r="C26" s="112"/>
      <c r="D26" s="112"/>
      <c r="E26" s="112"/>
      <c r="F26" s="112"/>
      <c r="G26" s="112"/>
      <c r="H26" s="112"/>
      <c r="I26" s="136"/>
      <c r="J26" s="111"/>
      <c r="K26" s="86"/>
      <c r="L26" s="86"/>
      <c r="M26" s="112"/>
      <c r="N26" s="91"/>
      <c r="O26" s="91"/>
      <c r="P26" s="129"/>
      <c r="Q26" s="91"/>
      <c r="R26" s="91"/>
      <c r="S26" s="91"/>
      <c r="T26" s="227"/>
      <c r="U26" s="129"/>
      <c r="V26" s="99"/>
      <c r="W26" s="99"/>
      <c r="X26" s="99"/>
      <c r="Y26" s="137"/>
      <c r="Z26" s="121"/>
      <c r="AA26" s="138"/>
      <c r="AB26" s="112"/>
    </row>
    <row r="27" spans="1:30" s="97" customFormat="1" ht="14.25" customHeight="1">
      <c r="A27" s="112"/>
      <c r="B27" s="112"/>
      <c r="C27" s="112"/>
      <c r="D27" s="112"/>
      <c r="E27" s="112"/>
      <c r="F27" s="112"/>
      <c r="G27" s="112"/>
      <c r="H27" s="112"/>
      <c r="I27" s="136"/>
      <c r="J27" s="111"/>
      <c r="K27" s="86"/>
      <c r="L27" s="86"/>
      <c r="M27" s="112"/>
      <c r="N27" s="91"/>
      <c r="O27" s="91"/>
      <c r="P27" s="129"/>
      <c r="Q27" s="91"/>
      <c r="R27" s="91"/>
      <c r="S27" s="91"/>
      <c r="T27" s="227"/>
      <c r="U27" s="129"/>
      <c r="V27" s="94"/>
      <c r="X27" s="129"/>
      <c r="Y27" s="137"/>
      <c r="Z27" s="121"/>
      <c r="AA27" s="138"/>
      <c r="AB27" s="112"/>
    </row>
    <row r="28" spans="1:30" s="97" customFormat="1" ht="24" customHeight="1">
      <c r="A28" s="112"/>
      <c r="B28" s="112"/>
      <c r="C28" s="112"/>
      <c r="D28" s="112"/>
      <c r="E28" s="112"/>
      <c r="F28" s="112"/>
      <c r="G28" s="112"/>
      <c r="H28" s="112"/>
      <c r="I28" s="136"/>
      <c r="J28" s="111"/>
      <c r="K28" s="86"/>
      <c r="L28" s="86"/>
      <c r="M28" s="112"/>
      <c r="N28" s="228"/>
      <c r="O28" s="91"/>
      <c r="P28" s="118"/>
      <c r="Q28" s="119"/>
      <c r="R28" s="91"/>
      <c r="S28" s="112"/>
      <c r="T28" s="228"/>
      <c r="U28" s="258"/>
      <c r="V28" s="258"/>
      <c r="X28" s="129"/>
      <c r="Y28" s="137"/>
      <c r="Z28" s="121"/>
      <c r="AA28" s="138"/>
      <c r="AB28" s="112"/>
    </row>
    <row r="29" spans="1:30" s="97" customFormat="1" ht="14.25" customHeight="1">
      <c r="A29" s="112"/>
      <c r="B29" s="112"/>
      <c r="C29" s="112"/>
      <c r="D29" s="112"/>
      <c r="E29" s="112"/>
      <c r="F29" s="112"/>
      <c r="G29" s="112"/>
      <c r="H29" s="112"/>
      <c r="I29" s="136"/>
      <c r="J29" s="111"/>
      <c r="K29" s="86"/>
      <c r="L29" s="86"/>
      <c r="M29" s="112"/>
      <c r="N29" s="112"/>
      <c r="O29" s="91"/>
      <c r="P29" s="130"/>
      <c r="Q29" s="119"/>
      <c r="R29" s="225"/>
      <c r="S29" s="112"/>
      <c r="T29" s="228"/>
      <c r="X29" s="118"/>
      <c r="Y29" s="137"/>
      <c r="Z29" s="121"/>
      <c r="AA29" s="138"/>
      <c r="AB29" s="112"/>
    </row>
    <row r="30" spans="1:30" s="97" customFormat="1" ht="15" customHeight="1">
      <c r="A30" s="145"/>
      <c r="B30" s="145"/>
      <c r="C30" s="145"/>
      <c r="D30" s="145"/>
      <c r="E30" s="145"/>
      <c r="F30" s="145"/>
      <c r="G30" s="145"/>
      <c r="H30" s="145"/>
      <c r="I30" s="146"/>
      <c r="J30" s="111"/>
      <c r="K30" s="86"/>
      <c r="L30" s="86"/>
      <c r="M30" s="112"/>
      <c r="N30" s="112"/>
      <c r="O30" s="91"/>
      <c r="P30" s="259"/>
      <c r="Q30" s="259"/>
      <c r="R30" s="259"/>
      <c r="S30" s="259"/>
      <c r="T30" s="259"/>
      <c r="U30" s="259"/>
      <c r="X30" s="118"/>
      <c r="Y30" s="124"/>
      <c r="Z30" s="124"/>
      <c r="AA30" s="147"/>
      <c r="AB30" s="112"/>
    </row>
    <row r="31" spans="1:30" s="97" customFormat="1" ht="14.25" customHeight="1">
      <c r="A31" s="116" t="s">
        <v>5</v>
      </c>
      <c r="B31" s="112"/>
      <c r="C31" s="82"/>
      <c r="D31" s="82"/>
      <c r="E31" s="136"/>
      <c r="F31" s="115" t="s">
        <v>4</v>
      </c>
      <c r="G31" s="87"/>
      <c r="H31" s="87"/>
      <c r="I31" s="131"/>
      <c r="J31" s="111"/>
      <c r="K31" s="86"/>
      <c r="L31" s="86"/>
      <c r="M31" s="112"/>
      <c r="N31" s="112"/>
      <c r="O31" s="91"/>
      <c r="P31" s="224"/>
      <c r="Q31" s="148"/>
      <c r="R31" s="121"/>
      <c r="S31" s="112"/>
      <c r="T31" s="139"/>
      <c r="X31" s="140"/>
      <c r="Y31" s="99"/>
      <c r="Z31" s="99"/>
      <c r="AA31" s="125"/>
      <c r="AB31" s="112"/>
    </row>
    <row r="32" spans="1:30" s="102" customFormat="1" ht="14.25" customHeight="1">
      <c r="A32" s="266"/>
      <c r="B32" s="266"/>
      <c r="C32" s="266"/>
      <c r="D32" s="266"/>
      <c r="E32" s="267"/>
      <c r="F32" s="248" t="s">
        <v>34</v>
      </c>
      <c r="G32" s="249"/>
      <c r="H32" s="249"/>
      <c r="I32" s="250"/>
      <c r="J32" s="115"/>
      <c r="K32" s="86" t="s">
        <v>6</v>
      </c>
      <c r="L32" s="86"/>
      <c r="M32" s="112"/>
      <c r="N32" s="112" t="s">
        <v>57</v>
      </c>
      <c r="O32" s="91"/>
      <c r="P32" s="141"/>
      <c r="Q32" s="149"/>
      <c r="R32" s="150"/>
      <c r="S32" s="116"/>
      <c r="T32" s="151"/>
      <c r="X32" s="152"/>
      <c r="Y32" s="153"/>
      <c r="Z32" s="153"/>
      <c r="AA32" s="87"/>
      <c r="AB32" s="116"/>
    </row>
    <row r="33" spans="1:30" s="97" customFormat="1" ht="14.25" customHeight="1">
      <c r="A33" s="116" t="s">
        <v>3</v>
      </c>
      <c r="B33" s="112"/>
      <c r="C33" s="82"/>
      <c r="D33" s="82"/>
      <c r="E33" s="136"/>
      <c r="F33" s="115" t="s">
        <v>2</v>
      </c>
      <c r="G33" s="87"/>
      <c r="H33" s="87"/>
      <c r="I33" s="131"/>
      <c r="J33" s="111"/>
      <c r="K33" s="91" t="s">
        <v>6</v>
      </c>
      <c r="L33" s="91"/>
      <c r="M33" s="112"/>
      <c r="N33" s="154" t="s">
        <v>40</v>
      </c>
      <c r="O33" s="112"/>
      <c r="P33" s="112"/>
      <c r="Q33" s="142"/>
      <c r="R33" s="120"/>
      <c r="S33" s="112"/>
      <c r="T33" s="143"/>
      <c r="X33" s="118"/>
      <c r="Y33" s="82"/>
      <c r="Z33" s="82"/>
      <c r="AA33" s="82"/>
      <c r="AB33" s="112"/>
    </row>
    <row r="34" spans="1:30" ht="14.25" customHeight="1">
      <c r="A34" s="284"/>
      <c r="B34" s="284"/>
      <c r="C34" s="284"/>
      <c r="D34" s="284"/>
      <c r="E34" s="285"/>
      <c r="F34" s="255"/>
      <c r="G34" s="256"/>
      <c r="H34" s="256"/>
      <c r="I34" s="257"/>
      <c r="J34" s="10"/>
      <c r="K34" s="17"/>
      <c r="L34" s="43"/>
      <c r="M34" s="11"/>
      <c r="N34" s="33"/>
      <c r="O34" s="11"/>
      <c r="P34" s="11"/>
      <c r="Q34" s="11"/>
      <c r="R34" s="11"/>
      <c r="S34" s="11"/>
      <c r="T34" s="11"/>
      <c r="U34" s="11"/>
      <c r="V34" s="11"/>
      <c r="W34" s="11"/>
      <c r="X34" s="11"/>
      <c r="Y34" s="10"/>
      <c r="Z34" s="10"/>
      <c r="AA34" s="10"/>
      <c r="AB34" s="11"/>
    </row>
    <row r="35" spans="1:30" ht="15" customHeight="1">
      <c r="A35" s="61" t="s">
        <v>49</v>
      </c>
      <c r="B35" s="16"/>
      <c r="C35" s="16"/>
      <c r="D35" s="16"/>
      <c r="E35" s="16"/>
      <c r="F35" s="40"/>
      <c r="G35" s="10"/>
      <c r="H35" s="10"/>
      <c r="I35" s="10"/>
      <c r="J35" s="16"/>
      <c r="K35" s="16"/>
      <c r="L35" s="16"/>
      <c r="M35" s="16"/>
      <c r="N35" s="16"/>
      <c r="O35" s="16"/>
      <c r="P35" s="16"/>
      <c r="Q35" s="16"/>
      <c r="R35" s="16"/>
      <c r="S35" s="12"/>
      <c r="T35" s="12"/>
      <c r="U35" s="16"/>
      <c r="V35" s="16"/>
      <c r="W35" s="16"/>
      <c r="X35" s="16"/>
      <c r="Y35" s="16"/>
      <c r="Z35" s="10"/>
      <c r="AA35" s="10"/>
      <c r="AB35" s="11"/>
      <c r="AD35" s="39"/>
    </row>
    <row r="36" spans="1:30" s="46" customFormat="1" ht="15" customHeight="1">
      <c r="A36" s="55"/>
      <c r="B36" s="50"/>
      <c r="C36" s="50"/>
      <c r="D36" s="50"/>
      <c r="E36" s="50"/>
      <c r="F36" s="76"/>
      <c r="G36" s="50"/>
      <c r="H36" s="50"/>
      <c r="I36" s="50"/>
      <c r="J36" s="50"/>
      <c r="K36" s="50"/>
      <c r="L36" s="50"/>
      <c r="M36" s="50"/>
      <c r="N36" s="50"/>
      <c r="O36" s="50"/>
      <c r="P36" s="50"/>
      <c r="Q36" s="50"/>
      <c r="R36" s="50"/>
      <c r="S36" s="55"/>
      <c r="T36" s="55"/>
      <c r="U36" s="50"/>
      <c r="V36" s="50"/>
      <c r="W36" s="50"/>
      <c r="X36" s="50"/>
      <c r="Y36" s="50"/>
      <c r="Z36" s="50"/>
      <c r="AA36" s="50"/>
      <c r="AB36" s="51"/>
      <c r="AD36" s="75"/>
    </row>
    <row r="37" spans="1:30" ht="15" customHeight="1" thickBot="1">
      <c r="A37" s="11"/>
      <c r="B37" s="11"/>
      <c r="C37" s="11"/>
      <c r="D37" s="11"/>
      <c r="E37" s="11"/>
      <c r="F37" s="11"/>
      <c r="G37" s="11"/>
      <c r="H37" s="11"/>
      <c r="I37" s="11"/>
      <c r="J37" s="11"/>
      <c r="K37" s="11"/>
      <c r="L37" s="11"/>
      <c r="M37" s="11"/>
      <c r="N37" s="11"/>
      <c r="O37" s="11"/>
      <c r="P37" s="11"/>
      <c r="Q37" s="11"/>
      <c r="R37" s="11"/>
      <c r="S37" s="11"/>
      <c r="T37" s="11"/>
      <c r="U37" s="11"/>
      <c r="V37" s="11"/>
      <c r="W37" s="11"/>
      <c r="X37" s="11"/>
      <c r="Y37" s="14"/>
      <c r="Z37" s="2"/>
    </row>
    <row r="38" spans="1:30" s="46" customFormat="1" ht="15" customHeight="1" thickTop="1">
      <c r="A38" s="51"/>
      <c r="B38" s="277" t="s">
        <v>54</v>
      </c>
      <c r="C38" s="278"/>
      <c r="D38" s="278"/>
      <c r="E38" s="279"/>
      <c r="F38" s="51"/>
      <c r="G38" s="51"/>
      <c r="H38" s="51"/>
      <c r="I38" s="51"/>
      <c r="J38" s="51"/>
      <c r="K38" s="51"/>
      <c r="L38" s="51"/>
      <c r="M38" s="51"/>
      <c r="N38" s="51"/>
      <c r="O38" s="51"/>
      <c r="P38" s="51"/>
      <c r="Q38" s="51"/>
      <c r="R38" s="51"/>
      <c r="S38" s="51"/>
      <c r="T38" s="51"/>
      <c r="U38" s="51"/>
      <c r="V38" s="51"/>
      <c r="W38" s="51"/>
      <c r="X38" s="51"/>
      <c r="Y38" s="63"/>
      <c r="Z38" s="47"/>
      <c r="AA38" s="47"/>
    </row>
    <row r="39" spans="1:30" s="46" customFormat="1" ht="15" customHeight="1" thickBot="1">
      <c r="A39" s="51"/>
      <c r="B39" s="280"/>
      <c r="C39" s="281"/>
      <c r="D39" s="281"/>
      <c r="E39" s="282"/>
      <c r="F39" s="51"/>
      <c r="G39" s="51"/>
      <c r="H39" s="51"/>
      <c r="I39" s="51"/>
      <c r="J39" s="51"/>
      <c r="K39" s="51"/>
      <c r="L39" s="51"/>
      <c r="M39" s="51"/>
      <c r="N39" s="51"/>
      <c r="O39" s="51"/>
      <c r="P39" s="51"/>
      <c r="Q39" s="51"/>
      <c r="R39" s="51"/>
      <c r="S39" s="51"/>
      <c r="T39" s="51"/>
      <c r="U39" s="51"/>
      <c r="V39" s="51"/>
      <c r="W39" s="51"/>
      <c r="X39" s="51"/>
      <c r="Y39" s="63"/>
      <c r="Z39" s="47"/>
      <c r="AA39" s="47"/>
    </row>
    <row r="40" spans="1:30" s="46" customFormat="1" ht="15" customHeight="1" thickTop="1">
      <c r="A40" s="51"/>
      <c r="B40" s="51"/>
      <c r="C40" s="51"/>
      <c r="D40" s="51"/>
      <c r="E40" s="51"/>
      <c r="F40" s="51"/>
      <c r="G40" s="51"/>
      <c r="H40" s="51"/>
      <c r="I40" s="51"/>
      <c r="J40" s="51"/>
      <c r="K40" s="51"/>
      <c r="L40" s="51"/>
      <c r="M40" s="51"/>
      <c r="N40" s="51"/>
      <c r="O40" s="51"/>
      <c r="P40" s="51"/>
      <c r="Q40" s="51"/>
      <c r="R40" s="51"/>
      <c r="S40" s="51"/>
      <c r="T40" s="51"/>
      <c r="U40" s="51"/>
      <c r="V40" s="51"/>
      <c r="W40" s="51"/>
      <c r="X40" s="51"/>
      <c r="Y40" s="63"/>
      <c r="Z40" s="47"/>
      <c r="AA40" s="47"/>
    </row>
    <row r="41" spans="1:30" s="97" customFormat="1" ht="15" customHeight="1">
      <c r="A41" s="94"/>
      <c r="B41" s="94"/>
      <c r="C41" s="212"/>
      <c r="D41" s="94"/>
      <c r="E41" s="94"/>
      <c r="F41" s="84"/>
      <c r="G41" s="94"/>
      <c r="H41" s="94"/>
      <c r="I41" s="94"/>
      <c r="J41" s="94"/>
      <c r="K41" s="94"/>
      <c r="L41" s="94"/>
      <c r="M41" s="94"/>
      <c r="N41" s="220"/>
      <c r="O41" s="94"/>
      <c r="P41" s="91"/>
      <c r="Q41" s="94"/>
      <c r="R41" s="199"/>
      <c r="S41" s="94"/>
      <c r="T41" s="94"/>
      <c r="U41" s="216"/>
      <c r="V41" s="79">
        <f>U41*R41</f>
        <v>0</v>
      </c>
      <c r="W41" s="94"/>
      <c r="X41" s="94"/>
      <c r="Y41" s="78"/>
      <c r="Z41" s="78"/>
      <c r="AA41" s="78"/>
    </row>
    <row r="42" spans="1:30" s="97" customFormat="1" ht="15" customHeight="1">
      <c r="A42" s="221"/>
      <c r="B42" s="228"/>
      <c r="C42" s="228"/>
      <c r="D42" s="228"/>
      <c r="E42" s="228"/>
      <c r="F42" s="84"/>
      <c r="G42" s="228"/>
      <c r="H42" s="228"/>
      <c r="I42" s="228"/>
      <c r="J42" s="228"/>
      <c r="K42" s="228"/>
      <c r="L42" s="228"/>
      <c r="M42" s="228"/>
      <c r="N42" s="227"/>
      <c r="O42" s="228"/>
      <c r="P42" s="91"/>
      <c r="Q42" s="228"/>
      <c r="R42" s="199"/>
      <c r="S42" s="228"/>
      <c r="T42" s="228"/>
      <c r="U42" s="216"/>
      <c r="V42" s="79">
        <f>U42*R42</f>
        <v>0</v>
      </c>
      <c r="W42" s="221"/>
      <c r="X42" s="221"/>
      <c r="Y42" s="78"/>
      <c r="Z42" s="78"/>
      <c r="AA42" s="78"/>
    </row>
    <row r="43" spans="1:30" ht="15" customHeight="1">
      <c r="A43" s="11"/>
      <c r="B43" s="228"/>
      <c r="C43" s="228"/>
      <c r="D43" s="228"/>
      <c r="E43" s="228"/>
      <c r="F43" s="84"/>
      <c r="G43" s="228"/>
      <c r="H43" s="228"/>
      <c r="I43" s="228"/>
      <c r="J43" s="228"/>
      <c r="K43" s="228"/>
      <c r="L43" s="228"/>
      <c r="M43" s="228"/>
      <c r="N43" s="227"/>
      <c r="O43" s="228"/>
      <c r="P43" s="91"/>
      <c r="Q43" s="228"/>
      <c r="R43" s="199"/>
      <c r="S43" s="228"/>
      <c r="T43" s="228"/>
      <c r="U43" s="216"/>
      <c r="V43" s="79">
        <f>U43*R43</f>
        <v>0</v>
      </c>
      <c r="W43" s="46"/>
      <c r="X43" s="46"/>
      <c r="Y43" s="23"/>
      <c r="Z43" s="2"/>
      <c r="AA43" s="23"/>
    </row>
    <row r="44" spans="1:30" ht="15" customHeight="1">
      <c r="A44" s="11"/>
      <c r="B44" s="228"/>
      <c r="C44" s="228"/>
      <c r="D44" s="228"/>
      <c r="E44" s="228"/>
      <c r="F44" s="84"/>
      <c r="G44" s="228"/>
      <c r="H44" s="228"/>
      <c r="I44" s="228"/>
      <c r="J44" s="228"/>
      <c r="K44" s="228"/>
      <c r="L44" s="228"/>
      <c r="M44" s="228"/>
      <c r="N44" s="227"/>
      <c r="O44" s="228"/>
      <c r="P44" s="91"/>
      <c r="Q44" s="228"/>
      <c r="R44" s="199"/>
      <c r="S44" s="228"/>
      <c r="T44" s="228"/>
      <c r="U44" s="216"/>
      <c r="V44" s="79">
        <f>U44*R44</f>
        <v>0</v>
      </c>
      <c r="Y44" s="35"/>
      <c r="Z44" s="35"/>
      <c r="AA44" s="35"/>
    </row>
    <row r="45" spans="1:30" ht="15" customHeight="1">
      <c r="A45" s="11"/>
      <c r="B45" s="228"/>
      <c r="C45" s="228"/>
      <c r="D45" s="228"/>
      <c r="E45" s="228"/>
      <c r="F45" s="84"/>
      <c r="G45" s="228"/>
      <c r="H45" s="228"/>
      <c r="I45" s="228"/>
      <c r="J45" s="228"/>
      <c r="K45" s="228"/>
      <c r="L45" s="228"/>
      <c r="M45" s="228"/>
      <c r="N45" s="227"/>
      <c r="O45" s="228"/>
      <c r="P45" s="91"/>
      <c r="Q45" s="228"/>
      <c r="R45" s="199"/>
      <c r="S45" s="228"/>
      <c r="T45" s="228"/>
      <c r="U45" s="216"/>
      <c r="V45" s="79">
        <f>U45*R45</f>
        <v>0</v>
      </c>
      <c r="Y45" s="38"/>
      <c r="Z45" s="35"/>
      <c r="AA45" s="35"/>
    </row>
    <row r="46" spans="1:30" ht="15" customHeight="1">
      <c r="A46" s="11"/>
      <c r="B46" s="11"/>
      <c r="C46" s="11"/>
      <c r="D46" s="18"/>
      <c r="E46" s="37" t="s">
        <v>0</v>
      </c>
      <c r="F46" s="12"/>
      <c r="G46" s="12"/>
      <c r="H46" s="12"/>
      <c r="I46" s="12"/>
      <c r="J46" s="254"/>
      <c r="K46" s="254"/>
      <c r="L46" s="254"/>
      <c r="M46" s="254"/>
      <c r="N46" s="254"/>
      <c r="O46" s="254"/>
      <c r="P46" s="12"/>
      <c r="Q46" s="36"/>
      <c r="R46" s="77">
        <f>SUM(R41:R45)</f>
        <v>0</v>
      </c>
      <c r="S46" s="226">
        <f t="shared" ref="S46:V46" si="0">SUM(S41:S45)</f>
        <v>0</v>
      </c>
      <c r="T46" s="226">
        <f t="shared" si="0"/>
        <v>0</v>
      </c>
      <c r="U46" s="226"/>
      <c r="V46" s="232">
        <f t="shared" si="0"/>
        <v>0</v>
      </c>
      <c r="W46" s="44"/>
      <c r="X46" s="44"/>
      <c r="Y46" s="23"/>
      <c r="Z46" s="35"/>
      <c r="AA46" s="35"/>
    </row>
    <row r="47" spans="1:30" ht="15" customHeight="1">
      <c r="A47" s="11"/>
      <c r="B47" s="11"/>
      <c r="C47" s="11"/>
      <c r="D47" s="18"/>
      <c r="Y47" s="35"/>
      <c r="Z47" s="35"/>
      <c r="AA47" s="35"/>
    </row>
    <row r="48" spans="1:30" ht="15" customHeight="1">
      <c r="A48" s="11"/>
      <c r="B48" s="15"/>
      <c r="C48" s="11"/>
      <c r="D48" s="10"/>
      <c r="E48" s="34"/>
      <c r="F48" s="33"/>
      <c r="G48" s="33"/>
      <c r="H48" s="33"/>
      <c r="I48" s="33"/>
      <c r="J48" s="252"/>
      <c r="K48" s="252"/>
      <c r="L48" s="252"/>
      <c r="M48" s="252"/>
      <c r="N48" s="252"/>
      <c r="O48" s="252"/>
      <c r="P48" s="253"/>
      <c r="Q48" s="253"/>
      <c r="R48" s="253"/>
      <c r="S48" s="253"/>
      <c r="T48" s="283"/>
      <c r="U48" s="283"/>
      <c r="V48" s="283"/>
      <c r="W48" s="283"/>
      <c r="X48" s="283"/>
      <c r="Y48" s="23"/>
      <c r="Z48" s="2"/>
      <c r="AA48" s="23"/>
    </row>
    <row r="49" spans="1:27" ht="15" customHeight="1">
      <c r="A49" s="11"/>
      <c r="B49" s="15"/>
      <c r="C49" s="11"/>
      <c r="D49" s="10"/>
      <c r="Y49" s="1"/>
      <c r="Z49" s="2"/>
      <c r="AA49" s="23"/>
    </row>
    <row r="50" spans="1:27" s="97" customFormat="1" ht="15" customHeight="1">
      <c r="A50" s="155" t="s">
        <v>20</v>
      </c>
      <c r="B50" s="155"/>
      <c r="C50" s="112"/>
      <c r="D50" s="82"/>
      <c r="E50" s="156"/>
      <c r="F50" s="82"/>
      <c r="G50" s="82"/>
      <c r="H50" s="82"/>
      <c r="I50" s="82"/>
      <c r="J50" s="157"/>
      <c r="K50" s="157"/>
      <c r="L50" s="157"/>
      <c r="M50" s="157"/>
      <c r="N50" s="157"/>
      <c r="O50" s="157"/>
      <c r="P50" s="82"/>
      <c r="Q50" s="158"/>
      <c r="R50" s="158"/>
      <c r="S50" s="159"/>
      <c r="T50" s="160"/>
      <c r="U50" s="160"/>
      <c r="V50" s="161"/>
      <c r="W50" s="160"/>
      <c r="X50" s="160"/>
      <c r="Y50" s="162"/>
      <c r="Z50" s="78"/>
      <c r="AA50" s="162"/>
    </row>
    <row r="51" spans="1:27" s="97" customFormat="1" ht="15" customHeight="1">
      <c r="A51" s="155" t="s">
        <v>19</v>
      </c>
      <c r="B51" s="163"/>
      <c r="D51" s="78"/>
      <c r="E51" s="156"/>
      <c r="F51" s="82"/>
      <c r="G51" s="82"/>
      <c r="H51" s="82"/>
      <c r="I51" s="82"/>
      <c r="J51" s="157"/>
      <c r="K51" s="157"/>
      <c r="L51" s="157"/>
      <c r="M51" s="157"/>
      <c r="N51" s="157"/>
      <c r="O51" s="157"/>
      <c r="P51" s="82"/>
      <c r="Q51" s="158"/>
      <c r="R51" s="158"/>
      <c r="S51" s="159"/>
      <c r="T51" s="160"/>
      <c r="U51" s="160"/>
      <c r="V51" s="161"/>
      <c r="W51" s="160"/>
      <c r="X51" s="160"/>
      <c r="Y51" s="162"/>
      <c r="Z51" s="78"/>
      <c r="AA51" s="162"/>
    </row>
    <row r="52" spans="1:27" s="46" customFormat="1" ht="15" customHeight="1">
      <c r="A52" s="64"/>
      <c r="B52" s="66"/>
      <c r="D52" s="47"/>
      <c r="E52" s="73"/>
      <c r="F52" s="50"/>
      <c r="G52" s="50"/>
      <c r="H52" s="50"/>
      <c r="I52" s="50"/>
      <c r="J52" s="72"/>
      <c r="K52" s="72"/>
      <c r="L52" s="72"/>
      <c r="M52" s="72"/>
      <c r="N52" s="72"/>
      <c r="O52" s="72"/>
      <c r="P52" s="50"/>
      <c r="Q52" s="71"/>
      <c r="R52" s="71"/>
      <c r="S52" s="70"/>
      <c r="T52" s="69"/>
      <c r="U52" s="69"/>
      <c r="V52" s="74"/>
      <c r="W52" s="69"/>
      <c r="X52" s="69"/>
      <c r="Y52" s="68"/>
      <c r="Z52" s="47"/>
      <c r="AA52" s="68"/>
    </row>
    <row r="53" spans="1:27" ht="15" customHeight="1">
      <c r="A53" s="15"/>
      <c r="B53" s="19"/>
      <c r="D53" s="2"/>
      <c r="E53" s="32"/>
      <c r="F53" s="10"/>
      <c r="G53" s="10"/>
      <c r="H53" s="10"/>
      <c r="I53" s="10"/>
      <c r="J53" s="31"/>
      <c r="K53" s="31"/>
      <c r="L53" s="41"/>
      <c r="M53" s="31"/>
      <c r="N53" s="31"/>
      <c r="O53" s="31"/>
      <c r="P53" s="10"/>
      <c r="Q53" s="30"/>
      <c r="R53" s="30"/>
      <c r="S53" s="29"/>
      <c r="T53" s="28"/>
      <c r="U53" s="28"/>
      <c r="V53" s="28"/>
      <c r="W53" s="28"/>
      <c r="X53" s="28"/>
      <c r="Y53" s="23"/>
      <c r="Z53" s="2"/>
      <c r="AA53" s="23"/>
    </row>
    <row r="54" spans="1:27" ht="15" customHeight="1">
      <c r="A54" s="19"/>
      <c r="B54" s="19"/>
      <c r="D54" s="2"/>
      <c r="E54" s="25"/>
      <c r="F54" s="2"/>
      <c r="G54" s="2"/>
      <c r="H54" s="2"/>
      <c r="I54" s="2"/>
      <c r="J54" s="24"/>
      <c r="K54" s="24"/>
      <c r="L54" s="42"/>
      <c r="M54" s="24"/>
      <c r="N54" s="24"/>
      <c r="O54" s="24"/>
      <c r="P54" s="2"/>
      <c r="Q54" s="27"/>
      <c r="R54" s="27"/>
      <c r="S54" s="26"/>
      <c r="T54" s="23"/>
      <c r="U54" s="23"/>
      <c r="V54" s="23"/>
      <c r="W54" s="23"/>
      <c r="X54" s="23"/>
      <c r="Y54" s="23"/>
      <c r="Z54" s="2"/>
      <c r="AA54" s="23"/>
    </row>
    <row r="55" spans="1:27" ht="15" customHeight="1">
      <c r="A55" s="19"/>
      <c r="B55" s="19"/>
      <c r="D55" s="2"/>
      <c r="E55" s="25"/>
      <c r="F55" s="2"/>
      <c r="G55" s="2"/>
      <c r="H55" s="2"/>
      <c r="I55" s="2"/>
      <c r="J55" s="24"/>
      <c r="K55" s="24"/>
      <c r="L55" s="42"/>
      <c r="M55" s="24"/>
      <c r="N55" s="24"/>
      <c r="O55" s="24"/>
      <c r="P55" s="2"/>
      <c r="Q55" s="27"/>
      <c r="R55" s="27"/>
      <c r="S55" s="26"/>
      <c r="T55" s="23"/>
      <c r="U55" s="23"/>
      <c r="V55" s="23"/>
      <c r="W55" s="23"/>
      <c r="X55" s="23"/>
      <c r="Y55" s="23"/>
      <c r="Z55" s="2"/>
      <c r="AA55" s="23"/>
    </row>
    <row r="56" spans="1:27" ht="15" customHeight="1">
      <c r="A56" s="19"/>
      <c r="B56" s="19"/>
      <c r="D56" s="2"/>
      <c r="E56" s="25"/>
      <c r="F56" s="2"/>
      <c r="G56" s="2"/>
      <c r="H56" s="2"/>
      <c r="I56" s="2"/>
      <c r="J56" s="24"/>
      <c r="K56" s="24"/>
      <c r="L56" s="42"/>
      <c r="M56" s="24"/>
      <c r="N56" s="24"/>
      <c r="O56" s="24"/>
      <c r="P56" s="2"/>
      <c r="Q56" s="27"/>
      <c r="R56" s="27"/>
      <c r="S56" s="26"/>
      <c r="T56" s="23"/>
      <c r="U56" s="23"/>
      <c r="V56" s="23"/>
      <c r="W56" s="23"/>
      <c r="X56" s="23"/>
      <c r="Y56" s="23"/>
      <c r="Z56" s="2"/>
      <c r="AA56" s="23"/>
    </row>
    <row r="57" spans="1:27" ht="15" customHeight="1">
      <c r="A57" s="19"/>
      <c r="B57" s="19"/>
      <c r="D57" s="2"/>
      <c r="E57" s="25"/>
      <c r="F57" s="2"/>
      <c r="G57" s="2"/>
      <c r="H57" s="2"/>
      <c r="I57" s="2"/>
      <c r="J57" s="24"/>
      <c r="K57" s="24"/>
      <c r="L57" s="42"/>
      <c r="M57" s="24"/>
      <c r="N57" s="24"/>
      <c r="O57" s="24"/>
      <c r="P57" s="2"/>
      <c r="Q57" s="27"/>
      <c r="R57" s="27"/>
      <c r="S57" s="26"/>
      <c r="T57" s="23"/>
      <c r="U57" s="23"/>
      <c r="V57" s="23"/>
      <c r="W57" s="23"/>
      <c r="X57" s="23"/>
      <c r="Y57" s="23"/>
      <c r="Z57" s="2"/>
      <c r="AA57" s="23"/>
    </row>
    <row r="58" spans="1:27" ht="15" customHeight="1">
      <c r="A58" s="19"/>
      <c r="B58" s="19"/>
      <c r="C58" s="2"/>
      <c r="D58" s="13"/>
      <c r="E58" s="25"/>
      <c r="F58" s="2"/>
      <c r="G58" s="2"/>
      <c r="H58" s="2"/>
      <c r="I58" s="2"/>
      <c r="J58" s="24"/>
      <c r="K58" s="24"/>
      <c r="L58" s="42"/>
      <c r="M58" s="24"/>
      <c r="N58" s="24"/>
      <c r="O58" s="24"/>
      <c r="P58" s="2"/>
      <c r="Q58" s="27"/>
      <c r="R58" s="27"/>
      <c r="S58" s="26"/>
      <c r="T58" s="23"/>
      <c r="U58" s="23"/>
      <c r="V58" s="23"/>
      <c r="W58" s="23"/>
      <c r="X58" s="23"/>
      <c r="Y58" s="23"/>
      <c r="Z58" s="2"/>
      <c r="AA58" s="23"/>
    </row>
    <row r="59" spans="1:27" ht="15" customHeight="1" thickBot="1">
      <c r="A59" s="19"/>
      <c r="B59" s="19"/>
      <c r="C59" s="2"/>
      <c r="D59" s="13"/>
      <c r="E59" s="25"/>
      <c r="F59" s="2"/>
      <c r="G59" s="2"/>
      <c r="H59" s="2"/>
      <c r="I59" s="2"/>
      <c r="J59" s="24"/>
      <c r="K59" s="24"/>
      <c r="L59" s="42"/>
      <c r="M59" s="24"/>
      <c r="O59" s="48" t="s">
        <v>50</v>
      </c>
      <c r="P59" s="100"/>
      <c r="Q59" s="85"/>
      <c r="R59" s="85"/>
      <c r="S59" s="85"/>
      <c r="T59" s="85"/>
      <c r="U59" s="85"/>
      <c r="V59" s="85"/>
      <c r="W59" s="47"/>
      <c r="X59" s="47"/>
      <c r="Y59" s="23"/>
      <c r="Z59" s="2"/>
      <c r="AA59" s="23"/>
    </row>
    <row r="60" spans="1:27" ht="15" customHeight="1" thickTop="1">
      <c r="A60" s="13"/>
      <c r="B60" s="21"/>
      <c r="C60" s="13"/>
      <c r="D60" s="2"/>
      <c r="E60" s="21"/>
      <c r="F60" s="4"/>
      <c r="G60" s="13"/>
      <c r="H60" s="13"/>
      <c r="I60" s="13"/>
      <c r="J60" s="13"/>
      <c r="K60" s="13"/>
      <c r="L60" s="13"/>
      <c r="M60" s="13"/>
      <c r="N60" s="13"/>
      <c r="O60" s="2"/>
      <c r="P60" s="2"/>
      <c r="Q60" s="47"/>
      <c r="R60" s="2"/>
      <c r="S60" s="2"/>
      <c r="T60" s="13"/>
      <c r="U60" s="13"/>
      <c r="V60" s="13"/>
      <c r="W60" s="13"/>
      <c r="X60" s="47"/>
      <c r="Y60" s="3"/>
      <c r="Z60" s="3"/>
    </row>
    <row r="61" spans="1:27" ht="15" customHeight="1">
      <c r="A61" s="13"/>
      <c r="B61" s="66"/>
      <c r="C61" s="47"/>
      <c r="D61" s="62"/>
      <c r="E61" s="22"/>
      <c r="F61" s="4"/>
      <c r="G61" s="13"/>
      <c r="H61" s="13"/>
      <c r="I61" s="13"/>
      <c r="J61" s="13"/>
      <c r="K61" s="13"/>
      <c r="L61" s="13"/>
      <c r="M61" s="13"/>
      <c r="N61" s="13"/>
      <c r="O61" s="2"/>
      <c r="P61" s="2"/>
      <c r="Q61" s="2"/>
      <c r="R61" s="2"/>
      <c r="S61" s="2"/>
      <c r="T61" s="13"/>
      <c r="U61" s="13"/>
      <c r="V61" s="13"/>
      <c r="W61" s="13"/>
      <c r="X61" s="2"/>
      <c r="Z61" s="2"/>
    </row>
    <row r="62" spans="1:27" s="97" customFormat="1" ht="15" customHeight="1">
      <c r="A62" s="100"/>
      <c r="B62" s="163" t="s">
        <v>17</v>
      </c>
      <c r="C62" s="78"/>
      <c r="D62" s="114"/>
      <c r="E62" s="164"/>
      <c r="F62" s="114"/>
      <c r="G62" s="114"/>
      <c r="H62" s="114"/>
      <c r="I62" s="114"/>
      <c r="J62" s="114"/>
      <c r="K62" s="114"/>
      <c r="L62" s="114"/>
      <c r="M62" s="114"/>
      <c r="N62" s="114"/>
      <c r="O62" s="114"/>
      <c r="P62" s="114"/>
      <c r="Q62" s="114"/>
      <c r="R62" s="165"/>
      <c r="S62" s="114"/>
      <c r="T62" s="114"/>
      <c r="U62" s="114"/>
      <c r="V62" s="114"/>
      <c r="W62" s="114"/>
      <c r="X62" s="114"/>
      <c r="Y62" s="114"/>
      <c r="Z62" s="164"/>
      <c r="AA62" s="78"/>
    </row>
    <row r="63" spans="1:27" s="97" customFormat="1" ht="15" customHeight="1">
      <c r="A63" s="100"/>
      <c r="B63" s="78"/>
      <c r="C63" s="78"/>
      <c r="D63" s="78"/>
      <c r="E63" s="286" t="s">
        <v>60</v>
      </c>
      <c r="F63" s="166"/>
      <c r="G63" s="114"/>
      <c r="H63" s="114"/>
      <c r="I63" s="114"/>
      <c r="J63" s="114"/>
      <c r="K63" s="114"/>
      <c r="L63" s="114"/>
      <c r="M63" s="114"/>
      <c r="N63" s="114"/>
      <c r="O63" s="78"/>
      <c r="P63" s="78"/>
      <c r="R63" s="167"/>
      <c r="Y63" s="78"/>
      <c r="Z63" s="164" t="s">
        <v>16</v>
      </c>
      <c r="AA63" s="78"/>
    </row>
    <row r="64" spans="1:27" s="97" customFormat="1" ht="15" customHeight="1">
      <c r="B64" s="78"/>
      <c r="C64" s="78"/>
      <c r="D64" s="78"/>
      <c r="E64" s="21" t="s">
        <v>61</v>
      </c>
      <c r="F64" s="114"/>
      <c r="G64" s="114"/>
      <c r="H64" s="114"/>
      <c r="I64" s="114"/>
      <c r="J64" s="114"/>
      <c r="K64" s="114"/>
      <c r="L64" s="114"/>
      <c r="M64" s="114"/>
      <c r="N64" s="114"/>
      <c r="O64" s="114"/>
      <c r="P64" s="114"/>
      <c r="Y64" s="78"/>
      <c r="Z64" s="78"/>
      <c r="AA64" s="78"/>
    </row>
    <row r="65" spans="1:27" s="97" customFormat="1" ht="15" customHeight="1">
      <c r="E65" s="21" t="s">
        <v>62</v>
      </c>
      <c r="Q65" s="78"/>
      <c r="R65" s="78"/>
      <c r="Y65" s="78"/>
      <c r="Z65" s="78"/>
      <c r="AA65" s="78"/>
    </row>
    <row r="66" spans="1:27" s="97" customFormat="1" ht="15" customHeight="1">
      <c r="E66" s="45"/>
      <c r="Q66" s="78"/>
      <c r="R66" s="168"/>
      <c r="Y66" s="78"/>
      <c r="Z66" s="78"/>
      <c r="AA66" s="78"/>
    </row>
    <row r="67" spans="1:27" ht="15" customHeight="1">
      <c r="E67" s="8"/>
      <c r="F67" s="8"/>
      <c r="G67" s="8"/>
      <c r="H67" s="8"/>
      <c r="I67" s="8"/>
      <c r="J67" s="7"/>
      <c r="K67" s="7"/>
      <c r="L67" s="7"/>
      <c r="M67" s="7"/>
      <c r="N67" s="7"/>
      <c r="O67" s="6"/>
      <c r="P67" s="5"/>
      <c r="Q67" s="2"/>
      <c r="R67" s="9"/>
      <c r="Z67" s="2"/>
    </row>
    <row r="69" spans="1:27" ht="25.5" customHeight="1">
      <c r="A69" s="268" t="s">
        <v>56</v>
      </c>
      <c r="B69" s="268"/>
      <c r="C69" s="268"/>
      <c r="D69" s="268"/>
      <c r="E69" s="268"/>
      <c r="F69" s="268"/>
      <c r="G69" s="268"/>
      <c r="H69" s="268"/>
      <c r="I69" s="268"/>
      <c r="J69" s="268"/>
      <c r="K69" s="268"/>
      <c r="L69" s="268"/>
      <c r="M69" s="268"/>
      <c r="N69" s="268"/>
      <c r="O69" s="268"/>
      <c r="P69" s="268"/>
      <c r="Q69" s="268"/>
      <c r="R69" s="268"/>
      <c r="S69" s="268"/>
      <c r="T69" s="268"/>
      <c r="U69" s="268"/>
      <c r="V69" s="268"/>
      <c r="W69" s="268"/>
      <c r="X69" s="268"/>
      <c r="Y69" s="268"/>
      <c r="Z69" s="67"/>
      <c r="AA69" s="47"/>
    </row>
    <row r="70" spans="1:27" s="97" customFormat="1" ht="17.25" customHeight="1">
      <c r="A70" s="100" t="s">
        <v>15</v>
      </c>
      <c r="B70" s="78"/>
      <c r="C70" s="78"/>
      <c r="D70" s="78"/>
      <c r="E70" s="78"/>
      <c r="F70" s="78"/>
      <c r="G70" s="78"/>
      <c r="H70" s="78"/>
      <c r="I70" s="103"/>
      <c r="J70" s="100" t="s">
        <v>14</v>
      </c>
      <c r="K70" s="100"/>
      <c r="L70" s="100"/>
      <c r="M70" s="169"/>
      <c r="N70" s="169"/>
      <c r="O70" s="169"/>
      <c r="P70" s="169"/>
      <c r="Q70" s="169"/>
      <c r="R70" s="100"/>
      <c r="S70" s="100"/>
      <c r="T70" s="92"/>
      <c r="U70" s="92"/>
      <c r="V70" s="92"/>
      <c r="W70" s="92"/>
      <c r="X70" s="92"/>
      <c r="Y70" s="78"/>
      <c r="Z70" s="92"/>
      <c r="AA70" s="78"/>
    </row>
    <row r="71" spans="1:27" s="97" customFormat="1" ht="17.25" customHeight="1">
      <c r="A71" s="102"/>
      <c r="B71" s="102" t="str">
        <f>B3</f>
        <v>OT MOTOR VINA CO.,LTD</v>
      </c>
      <c r="C71" s="92"/>
      <c r="D71" s="92"/>
      <c r="E71" s="92"/>
      <c r="F71" s="92"/>
      <c r="G71" s="92"/>
      <c r="H71" s="92"/>
      <c r="I71" s="103"/>
      <c r="J71" s="170"/>
      <c r="K71" s="171">
        <f>K3</f>
        <v>0</v>
      </c>
      <c r="L71" s="172"/>
      <c r="M71" s="172"/>
      <c r="N71" s="173"/>
      <c r="O71" s="174">
        <v>0</v>
      </c>
      <c r="P71" s="173"/>
      <c r="Q71" s="173"/>
      <c r="R71" s="173"/>
      <c r="S71" s="173"/>
      <c r="T71" s="173"/>
      <c r="U71" s="173"/>
      <c r="V71" s="173"/>
      <c r="W71" s="235">
        <f>X3</f>
        <v>0</v>
      </c>
      <c r="X71" s="235"/>
      <c r="Y71" s="78"/>
      <c r="Z71" s="92"/>
      <c r="AA71" s="78"/>
    </row>
    <row r="72" spans="1:27" s="97" customFormat="1" ht="17.25" customHeight="1">
      <c r="B72" s="97" t="str">
        <f t="shared" ref="B72:B76" si="1">B4</f>
        <v xml:space="preserve">Lot No B-3.1, Nhon Trach 6B Subdivision of IZ, </v>
      </c>
      <c r="C72" s="92"/>
      <c r="D72" s="92"/>
      <c r="E72" s="92"/>
      <c r="F72" s="92"/>
      <c r="G72" s="92"/>
      <c r="H72" s="92"/>
      <c r="I72" s="103"/>
      <c r="J72" s="78"/>
      <c r="K72" s="117"/>
      <c r="L72" s="128"/>
      <c r="M72" s="128"/>
      <c r="N72" s="78"/>
      <c r="O72" s="82"/>
      <c r="P72" s="82"/>
      <c r="Q72" s="82"/>
      <c r="R72" s="82"/>
      <c r="S72" s="82"/>
      <c r="T72" s="82"/>
      <c r="U72" s="82"/>
      <c r="V72" s="82"/>
      <c r="W72" s="82"/>
      <c r="X72" s="82"/>
      <c r="Y72" s="82"/>
      <c r="Z72" s="92"/>
      <c r="AA72" s="78"/>
    </row>
    <row r="73" spans="1:27" s="97" customFormat="1" ht="17.25" customHeight="1">
      <c r="B73" s="97" t="str">
        <f t="shared" si="1"/>
        <v>Nhon Trach 6 IZ, Long Tho Commune, Nhon Trach Dist</v>
      </c>
      <c r="C73" s="92"/>
      <c r="D73" s="92"/>
      <c r="E73" s="92"/>
      <c r="F73" s="92"/>
      <c r="G73" s="92"/>
      <c r="H73" s="92"/>
      <c r="I73" s="103"/>
      <c r="J73" s="100" t="s">
        <v>10</v>
      </c>
      <c r="K73" s="100"/>
      <c r="L73" s="100"/>
      <c r="M73" s="100"/>
      <c r="N73" s="100"/>
      <c r="O73" s="87"/>
      <c r="P73" s="116"/>
      <c r="Q73" s="87"/>
      <c r="R73" s="87"/>
      <c r="S73" s="87"/>
      <c r="T73" s="82"/>
      <c r="U73" s="82"/>
      <c r="V73" s="82"/>
      <c r="W73" s="82"/>
      <c r="X73" s="82"/>
      <c r="Y73" s="82"/>
      <c r="Z73" s="92"/>
      <c r="AA73" s="78"/>
    </row>
    <row r="74" spans="1:27" s="97" customFormat="1" ht="17.25" customHeight="1">
      <c r="B74" s="97" t="str">
        <f t="shared" si="1"/>
        <v>Dong Nai Province, Vietnam</v>
      </c>
      <c r="C74" s="92"/>
      <c r="D74" s="92"/>
      <c r="E74" s="92"/>
      <c r="F74" s="92"/>
      <c r="G74" s="92"/>
      <c r="H74" s="92"/>
      <c r="I74" s="103"/>
      <c r="J74" s="100"/>
      <c r="K74" s="100"/>
      <c r="L74" s="100"/>
      <c r="M74" s="100"/>
      <c r="N74" s="100"/>
      <c r="O74" s="87"/>
      <c r="P74" s="116"/>
      <c r="Q74" s="87"/>
      <c r="R74" s="87"/>
      <c r="S74" s="87"/>
      <c r="T74" s="82"/>
      <c r="U74" s="82"/>
      <c r="V74" s="82"/>
      <c r="W74" s="82"/>
      <c r="X74" s="82"/>
      <c r="Y74" s="82"/>
      <c r="Z74" s="92"/>
      <c r="AA74" s="78"/>
    </row>
    <row r="75" spans="1:27" s="97" customFormat="1" ht="17.25" customHeight="1">
      <c r="B75" s="97" t="str">
        <f t="shared" si="1"/>
        <v>TEL: +84 2513 569 066</v>
      </c>
      <c r="C75" s="92"/>
      <c r="D75" s="92"/>
      <c r="E75" s="92"/>
      <c r="F75" s="92"/>
      <c r="G75" s="92"/>
      <c r="H75" s="92"/>
      <c r="I75" s="103"/>
      <c r="J75" s="100"/>
      <c r="K75" s="100"/>
      <c r="L75" s="100"/>
      <c r="M75" s="100"/>
      <c r="N75" s="100"/>
      <c r="O75" s="87"/>
      <c r="P75" s="116"/>
      <c r="Q75" s="87"/>
      <c r="R75" s="87"/>
      <c r="S75" s="87"/>
      <c r="T75" s="82"/>
      <c r="U75" s="82"/>
      <c r="V75" s="82"/>
      <c r="W75" s="82"/>
      <c r="X75" s="82"/>
      <c r="Y75" s="82"/>
      <c r="Z75" s="92"/>
      <c r="AA75" s="78"/>
    </row>
    <row r="76" spans="1:27" s="97" customFormat="1" ht="17.25" customHeight="1">
      <c r="A76" s="104"/>
      <c r="B76" s="102">
        <f t="shared" si="1"/>
        <v>0</v>
      </c>
      <c r="C76" s="104"/>
      <c r="D76" s="104"/>
      <c r="E76" s="104"/>
      <c r="F76" s="92"/>
      <c r="G76" s="92"/>
      <c r="H76" s="92"/>
      <c r="I76" s="103"/>
      <c r="J76" s="100"/>
      <c r="K76" s="128">
        <f>K27</f>
        <v>0</v>
      </c>
      <c r="L76" s="78">
        <v>0</v>
      </c>
      <c r="M76" s="78"/>
      <c r="N76" s="128" t="s">
        <v>36</v>
      </c>
      <c r="O76" s="202"/>
      <c r="P76" s="203" t="s">
        <v>37</v>
      </c>
      <c r="Q76" s="202"/>
      <c r="R76" s="86" t="s">
        <v>38</v>
      </c>
      <c r="S76" s="202">
        <v>0</v>
      </c>
      <c r="T76" s="86" t="s">
        <v>39</v>
      </c>
      <c r="U76" s="209" t="s">
        <v>41</v>
      </c>
      <c r="V76" s="202" t="s">
        <v>42</v>
      </c>
      <c r="W76" s="202">
        <v>0</v>
      </c>
      <c r="X76" s="209" t="s">
        <v>52</v>
      </c>
      <c r="Y76" s="82"/>
      <c r="Z76" s="163">
        <v>0</v>
      </c>
      <c r="AA76" s="78"/>
    </row>
    <row r="77" spans="1:27" s="97" customFormat="1" ht="17.25" customHeight="1">
      <c r="A77" s="107" t="s">
        <v>7</v>
      </c>
      <c r="B77" s="108"/>
      <c r="C77" s="108"/>
      <c r="D77" s="108"/>
      <c r="E77" s="108"/>
      <c r="F77" s="108"/>
      <c r="G77" s="108"/>
      <c r="H77" s="108"/>
      <c r="I77" s="101"/>
      <c r="J77" s="78"/>
      <c r="K77" s="128">
        <v>0</v>
      </c>
      <c r="L77" s="78">
        <v>0</v>
      </c>
      <c r="M77" s="78"/>
      <c r="N77" s="128">
        <v>0</v>
      </c>
      <c r="O77" s="204">
        <v>0</v>
      </c>
      <c r="P77" s="203"/>
      <c r="Q77" s="202"/>
      <c r="R77" s="129"/>
      <c r="S77" s="202">
        <v>0</v>
      </c>
      <c r="T77" s="129"/>
      <c r="U77" s="211"/>
      <c r="V77" s="129"/>
      <c r="W77" s="202">
        <v>0</v>
      </c>
      <c r="X77" s="129"/>
      <c r="Y77" s="82"/>
      <c r="Z77" s="92"/>
      <c r="AA77" s="78"/>
    </row>
    <row r="78" spans="1:27" s="97" customFormat="1" ht="17.25" customHeight="1">
      <c r="A78" s="112"/>
      <c r="B78" s="112"/>
      <c r="C78" s="112"/>
      <c r="D78" s="112"/>
      <c r="E78" s="112"/>
      <c r="F78" s="112"/>
      <c r="G78" s="92"/>
      <c r="H78" s="92"/>
      <c r="I78" s="103"/>
      <c r="J78" s="78"/>
      <c r="K78" s="86"/>
      <c r="L78" s="112"/>
      <c r="M78" s="112"/>
      <c r="N78" s="91"/>
      <c r="O78" s="129"/>
      <c r="P78" s="91"/>
      <c r="Q78" s="86"/>
      <c r="R78" s="213"/>
      <c r="S78" s="91"/>
      <c r="T78" s="91"/>
      <c r="U78" s="230"/>
      <c r="V78" s="205"/>
      <c r="W78" s="91"/>
      <c r="X78" s="210"/>
      <c r="Y78" s="82"/>
      <c r="Z78" s="92"/>
      <c r="AA78" s="78"/>
    </row>
    <row r="79" spans="1:27" s="97" customFormat="1" ht="17.25" customHeight="1">
      <c r="A79" s="112"/>
      <c r="B79" s="116" t="str">
        <f t="shared" ref="B79:B84" si="2">B11</f>
        <v>GENTEX CORPORATION</v>
      </c>
      <c r="C79" s="112"/>
      <c r="D79" s="112"/>
      <c r="E79" s="112"/>
      <c r="F79" s="112"/>
      <c r="G79" s="92"/>
      <c r="H79" s="92"/>
      <c r="I79" s="103"/>
      <c r="J79" s="100"/>
      <c r="K79" s="86"/>
      <c r="L79" s="112"/>
      <c r="M79" s="112"/>
      <c r="N79" s="91"/>
      <c r="O79" s="129"/>
      <c r="P79" s="91"/>
      <c r="Q79" s="86"/>
      <c r="R79" s="231"/>
      <c r="S79" s="91"/>
      <c r="T79" s="91"/>
      <c r="U79" s="230"/>
      <c r="V79" s="205"/>
      <c r="W79" s="91"/>
      <c r="X79" s="210"/>
      <c r="Y79" s="82"/>
      <c r="Z79" s="92"/>
      <c r="AA79" s="78"/>
    </row>
    <row r="80" spans="1:27" s="97" customFormat="1" ht="17.25" customHeight="1">
      <c r="A80" s="112"/>
      <c r="B80" s="112" t="str">
        <f t="shared" si="2"/>
        <v xml:space="preserve">600 N. Centennial Street. </v>
      </c>
      <c r="C80" s="112"/>
      <c r="D80" s="112"/>
      <c r="E80" s="112"/>
      <c r="F80" s="112"/>
      <c r="G80" s="92"/>
      <c r="H80" s="92"/>
      <c r="I80" s="103"/>
      <c r="J80" s="100"/>
      <c r="K80" s="86"/>
      <c r="L80" s="112"/>
      <c r="M80" s="112"/>
      <c r="N80" s="91"/>
      <c r="O80" s="129"/>
      <c r="P80" s="91"/>
      <c r="Q80" s="86"/>
      <c r="R80" s="231"/>
      <c r="S80" s="91"/>
      <c r="T80" s="91"/>
      <c r="U80" s="230"/>
      <c r="V80" s="205"/>
      <c r="W80" s="91"/>
      <c r="X80" s="210"/>
      <c r="Y80" s="82"/>
      <c r="Z80" s="92"/>
      <c r="AA80" s="78"/>
    </row>
    <row r="81" spans="1:27" s="97" customFormat="1" ht="17.25" customHeight="1">
      <c r="A81" s="112"/>
      <c r="B81" s="112" t="str">
        <f t="shared" si="2"/>
        <v>Zeeland, Michigan 49464 USA</v>
      </c>
      <c r="C81" s="112"/>
      <c r="D81" s="112"/>
      <c r="E81" s="112"/>
      <c r="F81" s="112"/>
      <c r="G81" s="92"/>
      <c r="H81" s="92"/>
      <c r="I81" s="103"/>
      <c r="J81" s="100"/>
      <c r="K81" s="86"/>
      <c r="L81" s="112"/>
      <c r="M81" s="112"/>
      <c r="N81" s="91"/>
      <c r="O81" s="129"/>
      <c r="P81" s="91"/>
      <c r="Q81" s="86"/>
      <c r="R81" s="231"/>
      <c r="S81" s="91"/>
      <c r="T81" s="91"/>
      <c r="U81" s="230"/>
      <c r="V81" s="205"/>
      <c r="W81" s="91"/>
      <c r="X81" s="210"/>
      <c r="Y81" s="82"/>
      <c r="Z81" s="92"/>
      <c r="AA81" s="78"/>
    </row>
    <row r="82" spans="1:27" s="97" customFormat="1" ht="17.25" customHeight="1">
      <c r="A82" s="112"/>
      <c r="B82" s="112" t="str">
        <f t="shared" si="2"/>
        <v>ATTN : Mr. Douglas L. Dozeman</v>
      </c>
      <c r="C82" s="112"/>
      <c r="D82" s="112"/>
      <c r="E82" s="112"/>
      <c r="F82" s="112"/>
      <c r="G82" s="92"/>
      <c r="H82" s="92"/>
      <c r="I82" s="103"/>
      <c r="J82" s="78"/>
      <c r="K82" s="86"/>
      <c r="L82" s="112"/>
      <c r="M82" s="112"/>
      <c r="N82" s="91"/>
      <c r="O82" s="129"/>
      <c r="P82" s="91"/>
      <c r="Q82" s="86"/>
      <c r="R82" s="231"/>
      <c r="S82" s="91"/>
      <c r="T82" s="91"/>
      <c r="U82" s="230"/>
      <c r="V82" s="205"/>
      <c r="W82" s="91"/>
      <c r="X82" s="210"/>
      <c r="Y82" s="82"/>
      <c r="Z82" s="92"/>
      <c r="AA82" s="78"/>
    </row>
    <row r="83" spans="1:27" s="97" customFormat="1" ht="17.25" customHeight="1">
      <c r="A83" s="112"/>
      <c r="B83" s="112" t="str">
        <f t="shared" si="2"/>
        <v>Tel. 616-403-4846</v>
      </c>
      <c r="C83" s="112"/>
      <c r="D83" s="112"/>
      <c r="E83" s="112"/>
      <c r="F83" s="112"/>
      <c r="G83" s="92"/>
      <c r="H83" s="92"/>
      <c r="I83" s="103"/>
      <c r="J83" s="78"/>
      <c r="K83" s="112"/>
      <c r="L83" s="112"/>
      <c r="M83" s="112"/>
      <c r="N83" s="91"/>
      <c r="O83" s="129"/>
      <c r="P83" s="91"/>
      <c r="Q83" s="86"/>
      <c r="R83" s="231"/>
      <c r="S83" s="91"/>
      <c r="T83" s="91"/>
      <c r="U83" s="230"/>
      <c r="V83" s="205"/>
      <c r="W83" s="91"/>
      <c r="X83" s="210"/>
      <c r="Y83" s="82"/>
      <c r="Z83" s="92"/>
      <c r="AA83" s="78"/>
    </row>
    <row r="84" spans="1:27" s="97" customFormat="1" ht="17.25" customHeight="1">
      <c r="A84" s="112"/>
      <c r="B84" s="116">
        <f t="shared" si="2"/>
        <v>0</v>
      </c>
      <c r="C84" s="112"/>
      <c r="D84" s="112"/>
      <c r="E84" s="112"/>
      <c r="F84" s="112"/>
      <c r="G84" s="92"/>
      <c r="H84" s="92"/>
      <c r="I84" s="103"/>
      <c r="J84" s="92"/>
      <c r="K84" s="92"/>
      <c r="L84" s="92"/>
      <c r="M84" s="92"/>
      <c r="N84" s="91"/>
      <c r="O84" s="129"/>
      <c r="P84" s="91"/>
      <c r="Q84" s="86"/>
      <c r="R84" s="231"/>
      <c r="S84" s="91"/>
      <c r="T84" s="91"/>
      <c r="U84" s="230"/>
      <c r="V84" s="205"/>
      <c r="W84" s="91"/>
      <c r="X84" s="210"/>
      <c r="Y84" s="82"/>
      <c r="Z84" s="175"/>
      <c r="AA84" s="78"/>
    </row>
    <row r="85" spans="1:27" s="97" customFormat="1" ht="17.25" customHeight="1">
      <c r="A85" s="107" t="s">
        <v>51</v>
      </c>
      <c r="B85" s="108"/>
      <c r="C85" s="108"/>
      <c r="D85" s="108"/>
      <c r="E85" s="110"/>
      <c r="F85" s="110"/>
      <c r="G85" s="108"/>
      <c r="H85" s="108"/>
      <c r="I85" s="101"/>
      <c r="J85" s="78"/>
      <c r="K85" s="128"/>
      <c r="L85" s="78"/>
      <c r="M85" s="78"/>
      <c r="N85" s="91"/>
      <c r="O85" s="129"/>
      <c r="P85" s="91"/>
      <c r="Q85" s="86"/>
      <c r="R85" s="231"/>
      <c r="S85" s="91"/>
      <c r="T85" s="91"/>
      <c r="U85" s="230"/>
      <c r="V85" s="205"/>
      <c r="W85" s="91"/>
      <c r="X85" s="210"/>
      <c r="Y85" s="82"/>
      <c r="Z85" s="176">
        <v>0</v>
      </c>
      <c r="AA85" s="78"/>
    </row>
    <row r="86" spans="1:27" s="97" customFormat="1" ht="17.25" customHeight="1">
      <c r="A86" s="92"/>
      <c r="B86" s="92"/>
      <c r="C86" s="92"/>
      <c r="D86" s="92"/>
      <c r="E86" s="92"/>
      <c r="F86" s="92"/>
      <c r="G86" s="92"/>
      <c r="H86" s="92"/>
      <c r="I86" s="103"/>
      <c r="J86" s="78"/>
      <c r="K86" s="128"/>
      <c r="L86" s="78"/>
      <c r="M86" s="78"/>
      <c r="N86" s="91"/>
      <c r="O86" s="129"/>
      <c r="P86" s="91"/>
      <c r="Q86" s="86"/>
      <c r="R86" s="231"/>
      <c r="S86" s="91"/>
      <c r="T86" s="91"/>
      <c r="U86" s="230"/>
      <c r="V86" s="205"/>
      <c r="W86" s="91"/>
      <c r="X86" s="210"/>
      <c r="Y86" s="78"/>
      <c r="Z86" s="176">
        <v>0</v>
      </c>
      <c r="AA86" s="78"/>
    </row>
    <row r="87" spans="1:27" s="97" customFormat="1" ht="17.25" customHeight="1">
      <c r="A87" s="92"/>
      <c r="B87" s="102" t="str">
        <f>B19</f>
        <v>RELIANCE FINISHING</v>
      </c>
      <c r="C87" s="92"/>
      <c r="D87" s="92"/>
      <c r="E87" s="92"/>
      <c r="F87" s="92"/>
      <c r="G87" s="92"/>
      <c r="H87" s="102"/>
      <c r="I87" s="103"/>
      <c r="J87" s="78"/>
      <c r="K87" s="92"/>
      <c r="L87" s="92"/>
      <c r="M87" s="92"/>
      <c r="N87" s="91"/>
      <c r="O87" s="129"/>
      <c r="P87" s="91"/>
      <c r="Q87" s="86"/>
      <c r="R87" s="231"/>
      <c r="S87" s="91"/>
      <c r="T87" s="91"/>
      <c r="U87" s="230"/>
      <c r="V87" s="205"/>
      <c r="W87" s="91"/>
      <c r="X87" s="210"/>
      <c r="Y87" s="82"/>
      <c r="Z87" s="125"/>
      <c r="AA87" s="78"/>
    </row>
    <row r="88" spans="1:27" s="97" customFormat="1" ht="17.25" customHeight="1">
      <c r="A88" s="92"/>
      <c r="B88" s="97" t="str">
        <f t="shared" ref="B88:B91" si="3">B20</f>
        <v>1236 Judd Ave., S.W.</v>
      </c>
      <c r="C88" s="92"/>
      <c r="D88" s="92"/>
      <c r="E88" s="92"/>
      <c r="F88" s="92"/>
      <c r="G88" s="92"/>
      <c r="H88" s="102"/>
      <c r="I88" s="103"/>
      <c r="J88" s="78"/>
      <c r="K88" s="129"/>
      <c r="L88" s="78"/>
      <c r="M88" s="92"/>
      <c r="N88" s="91"/>
      <c r="O88" s="129"/>
      <c r="P88" s="91"/>
      <c r="Q88" s="86"/>
      <c r="R88" s="231"/>
      <c r="S88" s="91"/>
      <c r="T88" s="91"/>
      <c r="U88" s="230"/>
      <c r="V88" s="205"/>
      <c r="W88" s="91"/>
      <c r="X88" s="210"/>
      <c r="Y88" s="82"/>
      <c r="Z88" s="125"/>
      <c r="AA88" s="78"/>
    </row>
    <row r="89" spans="1:27" s="97" customFormat="1" ht="17.25" customHeight="1">
      <c r="A89" s="92"/>
      <c r="B89" s="97" t="str">
        <f t="shared" si="3"/>
        <v>Grand Rapids Mi. 49509 USA</v>
      </c>
      <c r="C89" s="92"/>
      <c r="D89" s="92"/>
      <c r="E89" s="92"/>
      <c r="F89" s="92"/>
      <c r="G89" s="92"/>
      <c r="H89" s="102"/>
      <c r="I89" s="103"/>
      <c r="J89" s="78"/>
      <c r="L89" s="128">
        <f>L42</f>
        <v>0</v>
      </c>
      <c r="M89" s="92"/>
      <c r="N89" s="91"/>
      <c r="O89" s="129"/>
      <c r="P89" s="91"/>
      <c r="Q89" s="86"/>
      <c r="R89" s="231"/>
      <c r="S89" s="91"/>
      <c r="T89" s="91"/>
      <c r="U89" s="230"/>
      <c r="V89" s="205"/>
      <c r="W89" s="91"/>
      <c r="X89" s="210"/>
      <c r="Y89" s="82"/>
      <c r="Z89" s="125"/>
      <c r="AA89" s="78"/>
    </row>
    <row r="90" spans="1:27" s="97" customFormat="1" ht="17.25" customHeight="1">
      <c r="A90" s="92"/>
      <c r="B90" s="97" t="str">
        <f t="shared" si="3"/>
        <v>Attn: Pat Cell</v>
      </c>
      <c r="C90" s="92"/>
      <c r="D90" s="92"/>
      <c r="E90" s="92"/>
      <c r="F90" s="92"/>
      <c r="G90" s="92"/>
      <c r="H90" s="102"/>
      <c r="I90" s="103"/>
      <c r="J90" s="78"/>
      <c r="L90" s="78"/>
      <c r="M90" s="92"/>
      <c r="N90" s="91"/>
      <c r="O90" s="129"/>
      <c r="P90" s="91"/>
      <c r="Q90" s="86"/>
      <c r="R90" s="231"/>
      <c r="S90" s="91"/>
      <c r="T90" s="91"/>
      <c r="U90" s="230"/>
      <c r="V90" s="205"/>
      <c r="W90" s="91"/>
      <c r="X90" s="210"/>
      <c r="Y90" s="82"/>
      <c r="Z90" s="125"/>
      <c r="AA90" s="78"/>
    </row>
    <row r="91" spans="1:27" s="97" customFormat="1" ht="17.25" customHeight="1">
      <c r="A91" s="92"/>
      <c r="B91" s="97" t="str">
        <f t="shared" si="3"/>
        <v>Tel: 616-241-4436</v>
      </c>
      <c r="C91" s="92"/>
      <c r="D91" s="92"/>
      <c r="E91" s="92"/>
      <c r="F91" s="92"/>
      <c r="G91" s="92"/>
      <c r="H91" s="92"/>
      <c r="I91" s="103"/>
      <c r="J91" s="78"/>
      <c r="L91" s="92"/>
      <c r="M91" s="92"/>
      <c r="N91" s="91"/>
      <c r="O91" s="129"/>
      <c r="P91" s="91"/>
      <c r="Q91" s="86"/>
      <c r="R91" s="231"/>
      <c r="S91" s="91"/>
      <c r="T91" s="91"/>
      <c r="U91" s="230"/>
      <c r="V91" s="205"/>
      <c r="W91" s="91"/>
      <c r="X91" s="210"/>
      <c r="Y91" s="82"/>
      <c r="Z91" s="125"/>
      <c r="AA91" s="78"/>
    </row>
    <row r="92" spans="1:27" s="97" customFormat="1" ht="17.25" customHeight="1">
      <c r="A92" s="92"/>
      <c r="B92" s="97">
        <v>0</v>
      </c>
      <c r="C92" s="92"/>
      <c r="D92" s="92"/>
      <c r="E92" s="92"/>
      <c r="F92" s="92"/>
      <c r="G92" s="92"/>
      <c r="H92" s="92"/>
      <c r="I92" s="103"/>
      <c r="J92" s="78"/>
      <c r="K92" s="92"/>
      <c r="L92" s="92"/>
      <c r="M92" s="92"/>
      <c r="N92" s="91"/>
      <c r="O92" s="129"/>
      <c r="P92" s="91"/>
      <c r="Q92" s="86"/>
      <c r="R92" s="231"/>
      <c r="S92" s="91"/>
      <c r="T92" s="91"/>
      <c r="U92" s="230"/>
      <c r="V92" s="205"/>
      <c r="W92" s="91"/>
      <c r="X92" s="210"/>
      <c r="Y92" s="92"/>
      <c r="Z92" s="92"/>
      <c r="AA92" s="78"/>
    </row>
    <row r="93" spans="1:27" s="97" customFormat="1" ht="17.25" customHeight="1">
      <c r="A93" s="107" t="s">
        <v>5</v>
      </c>
      <c r="B93" s="108"/>
      <c r="C93" s="108"/>
      <c r="D93" s="108"/>
      <c r="E93" s="101"/>
      <c r="F93" s="183" t="s">
        <v>4</v>
      </c>
      <c r="G93" s="107"/>
      <c r="H93" s="107"/>
      <c r="I93" s="184"/>
      <c r="J93" s="92"/>
      <c r="K93" s="129" t="s">
        <v>6</v>
      </c>
      <c r="L93" s="92"/>
      <c r="M93" s="92"/>
      <c r="N93" s="112" t="s">
        <v>43</v>
      </c>
      <c r="O93" s="91" t="s">
        <v>1</v>
      </c>
      <c r="P93" s="177" t="s">
        <v>55</v>
      </c>
      <c r="Q93" s="112"/>
      <c r="R93" s="154"/>
      <c r="S93" s="112" t="s">
        <v>44</v>
      </c>
      <c r="T93" s="182"/>
      <c r="U93" s="181"/>
      <c r="V93" s="92"/>
      <c r="W93" s="92"/>
      <c r="X93" s="179">
        <f>SUM(X78:Z85)</f>
        <v>0</v>
      </c>
      <c r="Y93" s="180"/>
      <c r="Z93" s="82"/>
      <c r="AA93" s="78"/>
    </row>
    <row r="94" spans="1:27" s="97" customFormat="1" ht="17.25" customHeight="1">
      <c r="A94" s="266">
        <f>A32</f>
        <v>0</v>
      </c>
      <c r="B94" s="266"/>
      <c r="C94" s="266"/>
      <c r="D94" s="266"/>
      <c r="E94" s="267"/>
      <c r="F94" s="274" t="str">
        <f>F32</f>
        <v>U.S.A</v>
      </c>
      <c r="G94" s="275"/>
      <c r="H94" s="275"/>
      <c r="I94" s="276"/>
      <c r="J94" s="102"/>
      <c r="K94" s="129" t="s">
        <v>6</v>
      </c>
      <c r="L94" s="102"/>
      <c r="M94" s="102"/>
      <c r="N94" s="112" t="s">
        <v>45</v>
      </c>
      <c r="O94" s="91" t="s">
        <v>1</v>
      </c>
      <c r="P94" s="178">
        <v>1.581</v>
      </c>
      <c r="Q94" s="116"/>
      <c r="R94" s="116"/>
      <c r="S94" s="112" t="s">
        <v>44</v>
      </c>
      <c r="T94" s="102"/>
      <c r="U94" s="102"/>
      <c r="V94" s="102"/>
      <c r="W94" s="102"/>
      <c r="X94" s="180">
        <f>SUM(X107)</f>
        <v>0</v>
      </c>
      <c r="Y94" s="185"/>
      <c r="Z94" s="87"/>
      <c r="AA94" s="100"/>
    </row>
    <row r="95" spans="1:27" s="97" customFormat="1" ht="17.25" customHeight="1">
      <c r="A95" s="102" t="s">
        <v>3</v>
      </c>
      <c r="B95" s="92"/>
      <c r="C95" s="78"/>
      <c r="D95" s="78"/>
      <c r="E95" s="103"/>
      <c r="F95" s="127" t="s">
        <v>2</v>
      </c>
      <c r="G95" s="100"/>
      <c r="H95" s="100"/>
      <c r="I95" s="186"/>
      <c r="J95" s="187"/>
      <c r="K95" s="129" t="s">
        <v>6</v>
      </c>
      <c r="L95" s="78"/>
      <c r="M95" s="78"/>
      <c r="N95" s="112" t="s">
        <v>46</v>
      </c>
      <c r="O95" s="188"/>
      <c r="P95" s="92"/>
      <c r="Q95" s="92"/>
      <c r="R95" s="92"/>
      <c r="S95" s="92"/>
      <c r="T95" s="92"/>
      <c r="U95" s="189"/>
      <c r="V95" s="189"/>
      <c r="W95" s="92"/>
      <c r="X95" s="92"/>
      <c r="Y95" s="78"/>
      <c r="Z95" s="92"/>
      <c r="AA95" s="78"/>
    </row>
    <row r="96" spans="1:27" s="97" customFormat="1" ht="17.25" customHeight="1">
      <c r="A96" s="269">
        <f>A34</f>
        <v>0</v>
      </c>
      <c r="B96" s="269"/>
      <c r="C96" s="269"/>
      <c r="D96" s="269"/>
      <c r="E96" s="270"/>
      <c r="F96" s="271">
        <f>F34</f>
        <v>0</v>
      </c>
      <c r="G96" s="272"/>
      <c r="H96" s="272"/>
      <c r="I96" s="273"/>
      <c r="J96" s="187"/>
      <c r="K96" s="128"/>
      <c r="L96" s="78"/>
      <c r="M96" s="78"/>
      <c r="N96" s="128"/>
      <c r="O96" s="117"/>
      <c r="P96" s="78"/>
      <c r="Q96" s="78"/>
      <c r="R96" s="78"/>
      <c r="S96" s="78"/>
      <c r="T96" s="78"/>
      <c r="U96" s="78"/>
      <c r="V96" s="78"/>
      <c r="W96" s="78"/>
      <c r="X96" s="92"/>
      <c r="Y96" s="78"/>
      <c r="Z96" s="92"/>
      <c r="AA96" s="78"/>
    </row>
    <row r="97" spans="1:30" s="46" customFormat="1" ht="15" customHeight="1">
      <c r="A97" s="61" t="s">
        <v>47</v>
      </c>
      <c r="B97" s="65"/>
      <c r="C97" s="65"/>
      <c r="D97" s="65"/>
      <c r="E97" s="65"/>
      <c r="F97" s="76"/>
      <c r="G97" s="50"/>
      <c r="H97" s="50"/>
      <c r="I97" s="50"/>
      <c r="J97" s="65"/>
      <c r="K97" s="65"/>
      <c r="L97" s="65"/>
      <c r="M97" s="65"/>
      <c r="N97" s="65"/>
      <c r="O97" s="65"/>
      <c r="P97" s="65"/>
      <c r="Q97" s="65"/>
      <c r="R97" s="65"/>
      <c r="S97" s="61"/>
      <c r="T97" s="61"/>
      <c r="U97" s="65"/>
      <c r="V97" s="65"/>
      <c r="W97" s="65"/>
      <c r="X97" s="65"/>
      <c r="Y97" s="65"/>
      <c r="Z97" s="50"/>
      <c r="AA97" s="50"/>
      <c r="AB97" s="51"/>
      <c r="AD97" s="75"/>
    </row>
    <row r="98" spans="1:30" s="46" customFormat="1" ht="15" customHeight="1">
      <c r="A98" s="55"/>
      <c r="B98" s="50"/>
      <c r="C98" s="50"/>
      <c r="D98" s="50"/>
      <c r="E98" s="50"/>
      <c r="F98" s="76"/>
      <c r="G98" s="50"/>
      <c r="H98" s="50"/>
      <c r="I98" s="50"/>
      <c r="J98" s="50"/>
      <c r="K98" s="50"/>
      <c r="L98" s="50"/>
      <c r="M98" s="50"/>
      <c r="N98" s="50"/>
      <c r="O98" s="50"/>
      <c r="P98" s="50"/>
      <c r="Q98" s="50"/>
      <c r="R98" s="50"/>
      <c r="S98" s="55"/>
      <c r="T98" s="55"/>
      <c r="U98" s="50"/>
      <c r="V98" s="50"/>
      <c r="W98" s="50"/>
      <c r="X98" s="50"/>
      <c r="Y98" s="50"/>
      <c r="Z98" s="50"/>
      <c r="AA98" s="50"/>
      <c r="AB98" s="51"/>
      <c r="AD98" s="75"/>
    </row>
    <row r="99" spans="1:30" ht="17.25" customHeight="1" thickBot="1">
      <c r="A99" s="47"/>
      <c r="B99" s="47"/>
      <c r="C99" s="47"/>
      <c r="D99" s="47"/>
      <c r="E99" s="47"/>
      <c r="F99" s="47"/>
      <c r="G99" s="47"/>
      <c r="H99" s="47"/>
      <c r="I99" s="47"/>
      <c r="J99" s="47"/>
      <c r="K99" s="47"/>
      <c r="L99" s="47"/>
      <c r="M99" s="47"/>
      <c r="N99" s="47"/>
      <c r="O99" s="47"/>
      <c r="P99" s="47"/>
      <c r="Q99" s="47"/>
      <c r="R99" s="47"/>
      <c r="S99" s="47"/>
      <c r="T99" s="47"/>
      <c r="U99" s="47"/>
      <c r="V99" s="47"/>
      <c r="W99" s="47"/>
      <c r="X99" s="63"/>
      <c r="Y99" s="47"/>
      <c r="Z99" s="45"/>
      <c r="AA99" s="47"/>
    </row>
    <row r="100" spans="1:30" s="46" customFormat="1" ht="17.25" customHeight="1" thickTop="1">
      <c r="A100" s="47"/>
      <c r="B100" s="260" t="s">
        <v>54</v>
      </c>
      <c r="C100" s="261"/>
      <c r="D100" s="261"/>
      <c r="E100" s="262"/>
      <c r="F100" s="47"/>
      <c r="G100" s="47"/>
      <c r="H100" s="47"/>
      <c r="I100" s="47"/>
      <c r="J100" s="47"/>
      <c r="K100" s="47"/>
      <c r="L100" s="47"/>
      <c r="M100" s="47"/>
      <c r="N100" s="47"/>
      <c r="O100" s="47"/>
      <c r="P100" s="47"/>
      <c r="Q100" s="47"/>
      <c r="R100" s="47"/>
      <c r="S100" s="47"/>
      <c r="T100" s="47"/>
      <c r="U100" s="47"/>
      <c r="V100" s="47"/>
      <c r="W100" s="47"/>
      <c r="X100" s="63"/>
      <c r="Y100" s="47"/>
      <c r="Z100" s="45"/>
      <c r="AA100" s="47"/>
    </row>
    <row r="101" spans="1:30" s="46" customFormat="1" ht="17.25" customHeight="1" thickBot="1">
      <c r="A101" s="47"/>
      <c r="B101" s="263"/>
      <c r="C101" s="264"/>
      <c r="D101" s="264"/>
      <c r="E101" s="265"/>
      <c r="F101" s="47"/>
      <c r="G101" s="47"/>
      <c r="H101" s="47"/>
      <c r="I101" s="47"/>
      <c r="J101" s="47"/>
      <c r="K101" s="47"/>
      <c r="L101" s="47"/>
      <c r="M101" s="47"/>
      <c r="N101" s="47"/>
      <c r="O101" s="47"/>
      <c r="P101" s="47"/>
      <c r="Q101" s="47"/>
      <c r="R101" s="47"/>
      <c r="S101" s="47"/>
      <c r="T101" s="47"/>
      <c r="U101" s="47"/>
      <c r="V101" s="47"/>
      <c r="W101" s="47"/>
      <c r="X101" s="63"/>
      <c r="Y101" s="47"/>
      <c r="Z101" s="45"/>
      <c r="AA101" s="47"/>
    </row>
    <row r="102" spans="1:30" ht="17.25" customHeight="1" thickTop="1">
      <c r="A102" s="50"/>
      <c r="B102" s="45"/>
      <c r="C102" s="45"/>
      <c r="D102" s="45"/>
      <c r="E102" s="45"/>
      <c r="F102" s="45"/>
      <c r="G102" s="45"/>
      <c r="H102" s="45"/>
      <c r="I102" s="45"/>
      <c r="J102" s="45"/>
      <c r="K102" s="45"/>
      <c r="L102" s="45"/>
      <c r="M102" s="45"/>
      <c r="N102" s="45"/>
      <c r="O102" s="45"/>
      <c r="P102" s="45"/>
      <c r="Q102" s="45"/>
      <c r="R102" s="45"/>
      <c r="S102" s="45"/>
      <c r="T102" s="45"/>
      <c r="U102" s="45"/>
      <c r="V102" s="45"/>
      <c r="W102" s="45"/>
      <c r="X102" s="58"/>
      <c r="Y102" s="52"/>
      <c r="Z102" s="57"/>
      <c r="AA102" s="47"/>
    </row>
    <row r="103" spans="1:30" s="97" customFormat="1" ht="17.25" customHeight="1">
      <c r="A103" s="82"/>
      <c r="B103" s="86"/>
      <c r="C103" s="87"/>
      <c r="D103" s="238"/>
      <c r="E103" s="238"/>
      <c r="F103" s="88"/>
      <c r="G103" s="88"/>
      <c r="H103" s="92"/>
      <c r="I103" s="239"/>
      <c r="J103" s="239"/>
      <c r="K103" s="239"/>
      <c r="L103" s="239"/>
      <c r="M103" s="239"/>
      <c r="N103" s="92"/>
      <c r="O103" s="93"/>
      <c r="P103" s="218"/>
      <c r="Q103" s="240">
        <f>G103*0.142</f>
        <v>0</v>
      </c>
      <c r="R103" s="240"/>
      <c r="S103" s="240"/>
      <c r="T103" s="219"/>
      <c r="U103" s="89">
        <f>ROUNDUP(Q103+(P103*22.65)+(I103*0.5),0)</f>
        <v>0</v>
      </c>
      <c r="V103" s="90"/>
      <c r="W103" s="90"/>
      <c r="X103" s="222">
        <f>$P$94*P103</f>
        <v>0</v>
      </c>
      <c r="Y103" s="98"/>
      <c r="Z103" s="80"/>
      <c r="AA103" s="78"/>
    </row>
    <row r="104" spans="1:30" s="97" customFormat="1" ht="17.25" customHeight="1">
      <c r="A104" s="82"/>
      <c r="B104" s="86"/>
      <c r="C104" s="87"/>
      <c r="D104" s="238"/>
      <c r="E104" s="238"/>
      <c r="F104" s="88"/>
      <c r="G104" s="88"/>
      <c r="H104" s="92"/>
      <c r="I104" s="239"/>
      <c r="J104" s="239"/>
      <c r="K104" s="239"/>
      <c r="L104" s="239"/>
      <c r="M104" s="239"/>
      <c r="N104" s="92"/>
      <c r="O104" s="93"/>
      <c r="P104" s="218"/>
      <c r="Q104" s="240">
        <f>G104*0.142</f>
        <v>0</v>
      </c>
      <c r="R104" s="240"/>
      <c r="S104" s="240"/>
      <c r="T104" s="219"/>
      <c r="U104" s="89">
        <f>ROUNDUP(Q104+(P104*22.65)+(I104*0.5),0)</f>
        <v>0</v>
      </c>
      <c r="V104" s="90"/>
      <c r="W104" s="90"/>
      <c r="X104" s="222">
        <f t="shared" ref="X104:X106" si="4">$P$94*P104</f>
        <v>0</v>
      </c>
      <c r="Y104" s="98"/>
      <c r="Z104" s="80"/>
      <c r="AA104" s="78"/>
    </row>
    <row r="105" spans="1:30" ht="17.25" customHeight="1">
      <c r="A105" s="50"/>
      <c r="B105" s="86"/>
      <c r="C105" s="87"/>
      <c r="D105" s="238"/>
      <c r="E105" s="238"/>
      <c r="F105" s="88"/>
      <c r="G105" s="88"/>
      <c r="H105" s="92"/>
      <c r="I105" s="239"/>
      <c r="J105" s="239"/>
      <c r="K105" s="239"/>
      <c r="L105" s="239"/>
      <c r="M105" s="239"/>
      <c r="N105" s="92"/>
      <c r="O105" s="93"/>
      <c r="P105" s="218"/>
      <c r="Q105" s="240">
        <f>G105*0.142</f>
        <v>0</v>
      </c>
      <c r="R105" s="240"/>
      <c r="S105" s="240"/>
      <c r="T105" s="219"/>
      <c r="U105" s="89">
        <f>ROUNDUP(Q105+(P105*22.65)+(I105*0.5),0)</f>
        <v>0</v>
      </c>
      <c r="V105" s="90"/>
      <c r="W105" s="90"/>
      <c r="X105" s="222">
        <f t="shared" si="4"/>
        <v>0</v>
      </c>
      <c r="Y105" s="45"/>
      <c r="Z105" s="46"/>
      <c r="AA105" s="47"/>
    </row>
    <row r="106" spans="1:30" ht="17.25" customHeight="1">
      <c r="A106" s="50"/>
      <c r="B106" s="86"/>
      <c r="C106" s="87"/>
      <c r="D106" s="238"/>
      <c r="E106" s="238"/>
      <c r="F106" s="88"/>
      <c r="G106" s="88"/>
      <c r="H106" s="92"/>
      <c r="I106" s="239"/>
      <c r="J106" s="239"/>
      <c r="K106" s="239"/>
      <c r="L106" s="239"/>
      <c r="M106" s="239"/>
      <c r="N106" s="92"/>
      <c r="O106" s="93"/>
      <c r="P106" s="218"/>
      <c r="Q106" s="240">
        <f>G106*0.142</f>
        <v>0</v>
      </c>
      <c r="R106" s="240"/>
      <c r="S106" s="240"/>
      <c r="T106" s="219"/>
      <c r="U106" s="89">
        <f>ROUNDUP(Q106+(P106*22.65)+(I106*0.5),0)</f>
        <v>0</v>
      </c>
      <c r="V106" s="90"/>
      <c r="W106" s="90"/>
      <c r="X106" s="222">
        <f t="shared" si="4"/>
        <v>0</v>
      </c>
      <c r="Y106" s="45"/>
      <c r="Z106" s="46"/>
      <c r="AA106" s="47"/>
    </row>
    <row r="107" spans="1:30" s="97" customFormat="1" ht="17.25" customHeight="1">
      <c r="A107" s="82"/>
      <c r="B107" s="86"/>
      <c r="C107" s="82"/>
      <c r="D107" s="95" t="s">
        <v>48</v>
      </c>
      <c r="E107" s="95"/>
      <c r="F107" s="96"/>
      <c r="G107" s="81">
        <f>SUM(G103:G106)</f>
        <v>0</v>
      </c>
      <c r="H107" s="96"/>
      <c r="I107" s="251">
        <f>SUM(I103:I106)</f>
        <v>0</v>
      </c>
      <c r="J107" s="251"/>
      <c r="K107" s="251"/>
      <c r="L107" s="251"/>
      <c r="M107" s="251"/>
      <c r="N107" s="247">
        <f>SUM(N103:N106)</f>
        <v>0</v>
      </c>
      <c r="O107" s="247"/>
      <c r="P107" s="247"/>
      <c r="Q107" s="247">
        <f>SUM(Q103:Q106)</f>
        <v>0</v>
      </c>
      <c r="R107" s="247"/>
      <c r="S107" s="247"/>
      <c r="T107" s="83"/>
      <c r="U107" s="229">
        <f>SUM(U103:U106)</f>
        <v>0</v>
      </c>
      <c r="V107" s="83"/>
      <c r="W107" s="83"/>
      <c r="X107" s="223">
        <f>SUM(X103:X106)</f>
        <v>0</v>
      </c>
      <c r="Y107" s="92"/>
      <c r="AA107" s="78"/>
    </row>
    <row r="108" spans="1:30" ht="17.25" customHeight="1">
      <c r="A108" s="50"/>
      <c r="B108" s="59"/>
      <c r="C108" s="50"/>
      <c r="D108" s="50"/>
      <c r="E108" s="45"/>
      <c r="F108" s="45"/>
      <c r="G108" s="45"/>
      <c r="H108" s="45"/>
      <c r="I108" s="45"/>
      <c r="J108" s="45"/>
      <c r="K108" s="45"/>
      <c r="L108" s="45"/>
      <c r="M108" s="45"/>
      <c r="N108" s="45"/>
      <c r="O108" s="45"/>
      <c r="P108" s="45"/>
      <c r="Q108" s="45"/>
      <c r="R108" s="243"/>
      <c r="S108" s="243"/>
      <c r="T108" s="243"/>
      <c r="U108" s="45"/>
      <c r="V108" s="45"/>
      <c r="W108" s="45"/>
      <c r="X108" s="46"/>
      <c r="Y108" s="45"/>
      <c r="Z108" s="46"/>
      <c r="AA108" s="45"/>
      <c r="AB108" s="45"/>
      <c r="AC108" s="45"/>
    </row>
    <row r="109" spans="1:30" ht="17.25" customHeight="1">
      <c r="A109" s="50"/>
      <c r="B109" s="59"/>
      <c r="C109" s="50"/>
      <c r="D109" s="50"/>
      <c r="E109" s="50"/>
      <c r="F109" s="50"/>
      <c r="G109" s="50"/>
      <c r="H109" s="50"/>
      <c r="I109" s="50"/>
      <c r="J109" s="244"/>
      <c r="K109" s="244"/>
      <c r="L109" s="244"/>
      <c r="M109" s="244"/>
      <c r="N109" s="245"/>
      <c r="O109" s="245"/>
      <c r="P109" s="245"/>
      <c r="Q109" s="243"/>
      <c r="R109" s="243"/>
      <c r="S109" s="243"/>
      <c r="T109" s="246"/>
      <c r="U109" s="246"/>
      <c r="V109" s="246"/>
      <c r="W109" s="246"/>
      <c r="X109" s="60"/>
      <c r="Y109" s="60"/>
      <c r="Z109" s="60"/>
      <c r="AA109" s="60"/>
      <c r="AB109" s="45"/>
      <c r="AC109" s="45"/>
    </row>
    <row r="110" spans="1:30" ht="17.25" customHeight="1">
      <c r="A110" s="55"/>
      <c r="B110" s="56"/>
      <c r="C110" s="55"/>
      <c r="D110" s="55"/>
      <c r="E110" s="49"/>
      <c r="F110" s="49"/>
      <c r="G110" s="49"/>
      <c r="H110" s="49"/>
      <c r="I110" s="49"/>
      <c r="J110" s="49"/>
      <c r="K110" s="49"/>
      <c r="L110" s="49"/>
      <c r="M110" s="49"/>
      <c r="N110" s="49"/>
      <c r="O110" s="49"/>
      <c r="P110" s="49"/>
      <c r="Q110" s="49"/>
      <c r="R110" s="49"/>
      <c r="S110" s="49"/>
      <c r="T110" s="49"/>
      <c r="U110" s="49"/>
      <c r="V110" s="49"/>
      <c r="W110" s="49"/>
      <c r="X110" s="49"/>
      <c r="Y110" s="54"/>
      <c r="Z110" s="53"/>
      <c r="AA110" s="48"/>
      <c r="AB110" s="49"/>
      <c r="AC110" s="49"/>
    </row>
    <row r="111" spans="1:30" s="97" customFormat="1" ht="17.25" customHeight="1">
      <c r="A111" s="112" t="s">
        <v>20</v>
      </c>
      <c r="B111" s="112"/>
      <c r="C111" s="112"/>
      <c r="D111" s="112"/>
      <c r="E111" s="190"/>
      <c r="F111" s="190"/>
      <c r="G111" s="190"/>
      <c r="H111" s="190"/>
      <c r="I111" s="190"/>
      <c r="J111" s="191"/>
      <c r="K111" s="191"/>
      <c r="L111" s="191"/>
      <c r="M111" s="191"/>
      <c r="N111" s="192"/>
      <c r="O111" s="98"/>
      <c r="P111" s="82"/>
      <c r="Q111" s="82"/>
      <c r="R111" s="112"/>
      <c r="S111" s="112"/>
      <c r="T111" s="112"/>
      <c r="U111" s="112"/>
      <c r="V111" s="112"/>
      <c r="W111" s="112"/>
      <c r="X111" s="82"/>
      <c r="Y111" s="82"/>
      <c r="Z111" s="92"/>
      <c r="AA111" s="78"/>
      <c r="AB111" s="92"/>
      <c r="AC111" s="92"/>
    </row>
    <row r="112" spans="1:30" s="97" customFormat="1" ht="17.25" customHeight="1">
      <c r="A112" s="112" t="s">
        <v>19</v>
      </c>
      <c r="B112" s="112"/>
      <c r="C112" s="112"/>
      <c r="D112" s="112"/>
      <c r="E112" s="190"/>
      <c r="F112" s="190"/>
      <c r="G112" s="190"/>
      <c r="H112" s="190"/>
      <c r="I112" s="190"/>
      <c r="J112" s="191"/>
      <c r="K112" s="191"/>
      <c r="L112" s="191"/>
      <c r="M112" s="191"/>
      <c r="N112" s="192"/>
      <c r="O112" s="98"/>
      <c r="P112" s="82"/>
      <c r="Q112" s="89"/>
      <c r="R112" s="112"/>
      <c r="S112" s="112"/>
      <c r="T112" s="112"/>
      <c r="U112" s="112"/>
      <c r="V112" s="112"/>
      <c r="W112" s="112"/>
      <c r="X112" s="82"/>
      <c r="Y112" s="82"/>
      <c r="Z112" s="92"/>
      <c r="AA112" s="78"/>
      <c r="AB112" s="92"/>
      <c r="AC112" s="93"/>
    </row>
    <row r="113" spans="1:29" s="97" customFormat="1" ht="17.25" customHeight="1">
      <c r="A113" s="92"/>
      <c r="B113" s="92"/>
      <c r="C113" s="92"/>
      <c r="D113" s="92"/>
      <c r="E113" s="193"/>
      <c r="F113" s="193"/>
      <c r="G113" s="193"/>
      <c r="H113" s="193"/>
      <c r="I113" s="193"/>
      <c r="J113" s="194"/>
      <c r="K113" s="194"/>
      <c r="L113" s="194"/>
      <c r="M113" s="194"/>
      <c r="N113" s="195"/>
      <c r="O113" s="196"/>
      <c r="P113" s="78"/>
      <c r="Q113" s="78"/>
      <c r="R113" s="92"/>
      <c r="S113" s="92"/>
      <c r="T113" s="92"/>
      <c r="U113" s="92"/>
      <c r="V113" s="92"/>
      <c r="W113" s="92"/>
      <c r="X113" s="92"/>
      <c r="Y113" s="78"/>
      <c r="Z113" s="92"/>
      <c r="AA113" s="78"/>
      <c r="AB113" s="92"/>
      <c r="AC113" s="92"/>
    </row>
    <row r="114" spans="1:29" s="97" customFormat="1" ht="17.25" customHeight="1">
      <c r="A114" s="92"/>
      <c r="B114" s="92"/>
      <c r="C114" s="92"/>
      <c r="D114" s="92"/>
      <c r="E114" s="193"/>
      <c r="F114" s="193"/>
      <c r="G114" s="193"/>
      <c r="H114" s="193"/>
      <c r="I114" s="193"/>
      <c r="J114" s="194"/>
      <c r="K114" s="194"/>
      <c r="L114" s="194"/>
      <c r="M114" s="194"/>
      <c r="N114" s="195"/>
      <c r="O114" s="196"/>
      <c r="P114" s="78"/>
      <c r="Q114" s="78"/>
      <c r="R114" s="92"/>
      <c r="S114" s="92"/>
      <c r="T114" s="92"/>
      <c r="U114" s="92"/>
      <c r="V114" s="92"/>
      <c r="W114" s="92"/>
      <c r="X114" s="92"/>
      <c r="Y114" s="78"/>
      <c r="Z114" s="92"/>
      <c r="AA114" s="78"/>
      <c r="AB114" s="92"/>
      <c r="AC114" s="92"/>
    </row>
    <row r="115" spans="1:29" s="97" customFormat="1" ht="17.25" customHeight="1">
      <c r="A115" s="92"/>
      <c r="B115" s="92"/>
      <c r="C115" s="92"/>
      <c r="D115" s="92"/>
      <c r="E115" s="193"/>
      <c r="F115" s="193"/>
      <c r="G115" s="193"/>
      <c r="H115" s="193"/>
      <c r="I115" s="193"/>
      <c r="J115" s="194"/>
      <c r="K115" s="194"/>
      <c r="L115" s="194"/>
      <c r="M115" s="194"/>
      <c r="N115" s="195"/>
      <c r="O115" s="196"/>
      <c r="P115" s="78"/>
      <c r="Q115" s="168"/>
      <c r="R115" s="92"/>
      <c r="S115" s="92"/>
      <c r="T115" s="92"/>
      <c r="U115" s="92"/>
      <c r="V115" s="92"/>
      <c r="W115" s="92"/>
      <c r="X115" s="92"/>
      <c r="Y115" s="78"/>
      <c r="Z115" s="92"/>
      <c r="AA115" s="78"/>
      <c r="AB115" s="92"/>
      <c r="AC115" s="92"/>
    </row>
    <row r="116" spans="1:29" s="97" customFormat="1" ht="17.25" customHeight="1">
      <c r="A116" s="92"/>
      <c r="B116" s="92"/>
      <c r="C116" s="92"/>
      <c r="D116" s="92"/>
      <c r="E116" s="193"/>
      <c r="F116" s="193"/>
      <c r="G116" s="193"/>
      <c r="H116" s="193"/>
      <c r="I116" s="193"/>
      <c r="J116" s="194"/>
      <c r="K116" s="194"/>
      <c r="L116" s="194"/>
      <c r="M116" s="194"/>
      <c r="N116" s="195"/>
      <c r="O116" s="196"/>
      <c r="P116" s="78"/>
      <c r="Q116" s="168"/>
      <c r="R116" s="92"/>
      <c r="S116" s="92"/>
      <c r="T116" s="92"/>
      <c r="U116" s="92"/>
      <c r="V116" s="92"/>
      <c r="W116" s="92"/>
      <c r="X116" s="92"/>
      <c r="Y116" s="78"/>
      <c r="Z116" s="92"/>
      <c r="AA116" s="78"/>
      <c r="AB116" s="92"/>
      <c r="AC116" s="92"/>
    </row>
    <row r="117" spans="1:29" s="97" customFormat="1" ht="17.25" customHeight="1">
      <c r="A117" s="92"/>
      <c r="B117" s="92"/>
      <c r="C117" s="92"/>
      <c r="D117" s="92"/>
      <c r="E117" s="193"/>
      <c r="F117" s="193"/>
      <c r="G117" s="193"/>
      <c r="H117" s="193"/>
      <c r="I117" s="193"/>
      <c r="J117" s="194"/>
      <c r="K117" s="194"/>
      <c r="L117" s="194"/>
      <c r="M117" s="194"/>
      <c r="N117" s="195"/>
      <c r="O117" s="196"/>
      <c r="P117" s="78"/>
      <c r="Q117" s="168"/>
      <c r="R117" s="92"/>
      <c r="S117" s="92"/>
      <c r="T117" s="92"/>
      <c r="U117" s="92"/>
      <c r="V117" s="92"/>
      <c r="W117" s="92"/>
      <c r="X117" s="92"/>
      <c r="Y117" s="78"/>
      <c r="Z117" s="92"/>
      <c r="AA117" s="78"/>
      <c r="AB117" s="92"/>
      <c r="AC117" s="92"/>
    </row>
    <row r="118" spans="1:29" s="97" customFormat="1" ht="17.25" customHeight="1">
      <c r="A118" s="92"/>
      <c r="B118" s="92"/>
      <c r="C118" s="92"/>
      <c r="D118" s="92"/>
      <c r="E118" s="193"/>
      <c r="F118" s="193"/>
      <c r="G118" s="193"/>
      <c r="H118" s="193"/>
      <c r="I118" s="193"/>
      <c r="J118" s="194"/>
      <c r="K118" s="194"/>
      <c r="L118" s="194"/>
      <c r="M118" s="194"/>
      <c r="N118" s="195"/>
      <c r="O118" s="196"/>
      <c r="P118" s="78"/>
      <c r="Q118" s="78"/>
      <c r="R118" s="92"/>
      <c r="S118" s="92"/>
      <c r="T118" s="92"/>
      <c r="U118" s="92"/>
      <c r="V118" s="92"/>
      <c r="W118" s="92"/>
      <c r="X118" s="92"/>
      <c r="Y118" s="78"/>
      <c r="Z118" s="92"/>
      <c r="AA118" s="78"/>
      <c r="AB118" s="92"/>
      <c r="AC118" s="92"/>
    </row>
    <row r="119" spans="1:29" s="97" customFormat="1" ht="17.25" customHeight="1">
      <c r="A119" s="92"/>
      <c r="B119" s="92"/>
      <c r="C119" s="92"/>
      <c r="D119" s="92"/>
      <c r="E119" s="193"/>
      <c r="F119" s="193"/>
      <c r="G119" s="193"/>
      <c r="H119" s="193"/>
      <c r="I119" s="193"/>
      <c r="J119" s="194"/>
      <c r="K119" s="194"/>
      <c r="L119" s="194"/>
      <c r="M119" s="194"/>
      <c r="N119" s="195"/>
      <c r="O119" s="196"/>
      <c r="P119" s="78"/>
      <c r="Q119" s="78"/>
      <c r="R119" s="92"/>
      <c r="S119" s="92"/>
      <c r="T119" s="92"/>
      <c r="U119" s="92"/>
      <c r="V119" s="92"/>
      <c r="W119" s="92"/>
      <c r="X119" s="92"/>
      <c r="Y119" s="78"/>
      <c r="Z119" s="92"/>
      <c r="AA119" s="78"/>
      <c r="AB119" s="92"/>
      <c r="AC119" s="92"/>
    </row>
    <row r="120" spans="1:29" s="97" customFormat="1" ht="17.25" customHeight="1">
      <c r="A120" s="92"/>
      <c r="B120" s="92"/>
      <c r="C120" s="92"/>
      <c r="D120" s="92"/>
      <c r="E120" s="193"/>
      <c r="F120" s="193"/>
      <c r="G120" s="193"/>
      <c r="H120" s="193"/>
      <c r="I120" s="193"/>
      <c r="J120" s="194"/>
      <c r="K120" s="194"/>
      <c r="L120" s="194"/>
      <c r="M120" s="194"/>
      <c r="N120" s="195"/>
      <c r="O120" s="196"/>
      <c r="P120" s="78"/>
      <c r="Q120" s="78"/>
      <c r="R120" s="92"/>
      <c r="S120" s="92"/>
      <c r="T120" s="92"/>
      <c r="U120" s="92"/>
      <c r="V120" s="92"/>
      <c r="W120" s="92"/>
      <c r="X120" s="92"/>
      <c r="Y120" s="78"/>
      <c r="Z120" s="92"/>
      <c r="AA120" s="78"/>
    </row>
    <row r="121" spans="1:29" s="97" customFormat="1" ht="17.25" customHeight="1" thickBot="1">
      <c r="A121" s="102"/>
      <c r="B121" s="92"/>
      <c r="C121" s="92"/>
      <c r="D121" s="92"/>
      <c r="E121" s="166"/>
      <c r="F121" s="92"/>
      <c r="G121" s="92"/>
      <c r="H121" s="92"/>
      <c r="I121" s="92"/>
      <c r="J121" s="92"/>
      <c r="K121" s="92"/>
      <c r="L121" s="92"/>
      <c r="M121" s="92"/>
      <c r="O121" s="100" t="s">
        <v>18</v>
      </c>
      <c r="P121" s="78"/>
      <c r="Q121" s="197"/>
      <c r="R121" s="197"/>
      <c r="S121" s="197"/>
      <c r="T121" s="197"/>
      <c r="U121" s="197"/>
      <c r="V121" s="197"/>
      <c r="W121" s="78"/>
      <c r="X121" s="198"/>
      <c r="Y121" s="78"/>
      <c r="Z121" s="92"/>
      <c r="AA121" s="78"/>
    </row>
    <row r="122" spans="1:29" s="97" customFormat="1" ht="17.25" customHeight="1" thickTop="1">
      <c r="A122" s="92"/>
      <c r="B122" s="92"/>
      <c r="C122" s="92"/>
      <c r="D122" s="92"/>
      <c r="E122" s="166"/>
      <c r="F122" s="92"/>
      <c r="G122" s="92"/>
      <c r="H122" s="92"/>
      <c r="I122" s="92"/>
      <c r="J122" s="92"/>
      <c r="K122" s="92"/>
      <c r="L122" s="92"/>
      <c r="M122" s="92"/>
      <c r="N122" s="92"/>
      <c r="O122" s="78"/>
      <c r="P122" s="78"/>
      <c r="Q122" s="78"/>
      <c r="R122" s="78"/>
      <c r="S122" s="78"/>
      <c r="T122" s="92"/>
      <c r="U122" s="92"/>
      <c r="V122" s="92"/>
      <c r="W122" s="92"/>
      <c r="X122" s="78"/>
      <c r="Y122" s="78"/>
      <c r="Z122" s="92"/>
      <c r="AA122" s="78"/>
    </row>
  </sheetData>
  <mergeCells count="45">
    <mergeCell ref="U28:V28"/>
    <mergeCell ref="P30:U30"/>
    <mergeCell ref="B100:E101"/>
    <mergeCell ref="A32:E32"/>
    <mergeCell ref="A69:Y69"/>
    <mergeCell ref="W71:X71"/>
    <mergeCell ref="A96:E96"/>
    <mergeCell ref="F96:I96"/>
    <mergeCell ref="F94:I94"/>
    <mergeCell ref="A94:E94"/>
    <mergeCell ref="B38:E39"/>
    <mergeCell ref="T48:X48"/>
    <mergeCell ref="A34:E34"/>
    <mergeCell ref="Q107:S107"/>
    <mergeCell ref="F32:I32"/>
    <mergeCell ref="I107:M107"/>
    <mergeCell ref="J48:O48"/>
    <mergeCell ref="P48:S48"/>
    <mergeCell ref="J46:O46"/>
    <mergeCell ref="F34:I34"/>
    <mergeCell ref="Q103:S103"/>
    <mergeCell ref="I103:M103"/>
    <mergeCell ref="Q105:S105"/>
    <mergeCell ref="I104:M104"/>
    <mergeCell ref="Q104:S104"/>
    <mergeCell ref="N107:P107"/>
    <mergeCell ref="I105:M105"/>
    <mergeCell ref="R108:T108"/>
    <mergeCell ref="J109:M109"/>
    <mergeCell ref="N109:P109"/>
    <mergeCell ref="Q109:S109"/>
    <mergeCell ref="T109:W109"/>
    <mergeCell ref="D106:E106"/>
    <mergeCell ref="I106:M106"/>
    <mergeCell ref="Q106:S106"/>
    <mergeCell ref="L15:R15"/>
    <mergeCell ref="L16:R16"/>
    <mergeCell ref="D104:E104"/>
    <mergeCell ref="D103:E103"/>
    <mergeCell ref="D105:E105"/>
    <mergeCell ref="L11:R11"/>
    <mergeCell ref="A1:Z1"/>
    <mergeCell ref="X3:Y3"/>
    <mergeCell ref="B13:G13"/>
    <mergeCell ref="L13:R13"/>
  </mergeCells>
  <phoneticPr fontId="72" type="noConversion"/>
  <printOptions horizontalCentered="1"/>
  <pageMargins left="0.2" right="0.23" top="0.51181102362204722" bottom="0.51181102362204722" header="0.51181102362204722" footer="0.51181102362204722"/>
  <pageSetup paperSize="9" scale="68" fitToHeight="0" orientation="portrait" r:id="rId1"/>
  <headerFooter alignWithMargins="0"/>
  <rowBreaks count="1" manualBreakCount="1">
    <brk id="68" max="26" man="1"/>
  </row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IV &amp; PK</vt:lpstr>
      <vt:lpstr>'IV &amp; PK'!Print_Area</vt:lpstr>
    </vt:vector>
  </TitlesOfParts>
  <Company>Grizli777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OTM-COFERENCE ROOM</dc:creator>
  <cp:lastModifiedBy>Huy Nguyễn</cp:lastModifiedBy>
  <cp:lastPrinted>2020-11-20T06:29:35Z</cp:lastPrinted>
  <dcterms:created xsi:type="dcterms:W3CDTF">2020-02-13T09:46:39Z</dcterms:created>
  <dcterms:modified xsi:type="dcterms:W3CDTF">2021-06-03T11:57:06Z</dcterms:modified>
</cp:coreProperties>
</file>