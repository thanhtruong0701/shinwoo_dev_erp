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00\VuejsProjects\gsf20\resources\report\50\10\"/>
    </mc:Choice>
  </mc:AlternateContent>
  <bookViews>
    <workbookView xWindow="-120" yWindow="-120" windowWidth="29040" windowHeight="15990"/>
  </bookViews>
  <sheets>
    <sheet name="IV &amp; PK" sheetId="1" r:id="rId1"/>
  </sheets>
  <definedNames>
    <definedName name="_xlnm.Print_Area" localSheetId="0">'IV &amp; PK'!$A$1:$Y$147</definedName>
  </definedNames>
  <calcPr calcId="162913"/>
</workbook>
</file>

<file path=xl/calcChain.xml><?xml version="1.0" encoding="utf-8"?>
<calcChain xmlns="http://schemas.openxmlformats.org/spreadsheetml/2006/main">
  <c r="F127" i="1" l="1"/>
  <c r="M126" i="1"/>
  <c r="O126" i="1" s="1"/>
  <c r="F126" i="1"/>
  <c r="Y19" i="1" l="1"/>
  <c r="B85" i="1"/>
  <c r="B86" i="1"/>
  <c r="B87" i="1"/>
  <c r="B88" i="1"/>
  <c r="B89" i="1"/>
  <c r="B90" i="1"/>
  <c r="B91" i="1"/>
  <c r="B95" i="1"/>
  <c r="B96" i="1"/>
  <c r="B97" i="1"/>
  <c r="B98" i="1"/>
  <c r="G109" i="1"/>
  <c r="K111" i="1"/>
  <c r="L111" i="1"/>
  <c r="E118" i="1"/>
  <c r="E119" i="1"/>
  <c r="E123" i="1"/>
  <c r="E133" i="1"/>
  <c r="A136" i="1"/>
  <c r="A137" i="1"/>
</calcChain>
</file>

<file path=xl/sharedStrings.xml><?xml version="1.0" encoding="utf-8"?>
<sst xmlns="http://schemas.openxmlformats.org/spreadsheetml/2006/main" count="243" uniqueCount="157">
  <si>
    <t>17)Signed By</t>
  </si>
  <si>
    <t xml:space="preserve">  T O T A L</t>
  </si>
  <si>
    <t>AST/ ESE</t>
  </si>
  <si>
    <t>16)Commodity HTS Number                                "Automotive Seat Belt Component" (HS: 8708.29.0000)</t>
  </si>
  <si>
    <t>10)Marks and numbers of PKGS 11)Description of goods   12)Quantity       13)Net Weight          14)Gross Weight                    15)Measurement</t>
  </si>
  <si>
    <t>:</t>
  </si>
  <si>
    <t>WEIGHT</t>
  </si>
  <si>
    <t xml:space="preserve">※ </t>
  </si>
  <si>
    <t>7)Sailing on or about</t>
  </si>
  <si>
    <t>6)Carrier</t>
  </si>
  <si>
    <t>5)Final destination</t>
  </si>
  <si>
    <t>4)Port of loading</t>
  </si>
  <si>
    <t xml:space="preserve">SKID SIZE </t>
  </si>
  <si>
    <t>※</t>
  </si>
  <si>
    <t>3)Notify party</t>
  </si>
  <si>
    <t>Q'TY/CTN</t>
  </si>
  <si>
    <t>C/No.</t>
  </si>
  <si>
    <t>RAN No.</t>
  </si>
  <si>
    <t>SKID No</t>
  </si>
  <si>
    <t>P/No.</t>
  </si>
  <si>
    <t>2)For Account &amp; Risk of Messrs.</t>
  </si>
  <si>
    <t>TEL: +84 2513 569 066</t>
  </si>
  <si>
    <t>Dong Nai Province, Vietnam</t>
  </si>
  <si>
    <t>9)Remarks :</t>
  </si>
  <si>
    <t>Nhon Trach 6 IZ, Long Tho Commune, Nhon Trach Dist</t>
  </si>
  <si>
    <t xml:space="preserve">Lot No B-3.1, Nhon Trach 6B Subdivision of IZ, </t>
  </si>
  <si>
    <t>OT MOTOR VINA CO.,LTD</t>
  </si>
  <si>
    <t>8)No. &amp; date of invoice</t>
  </si>
  <si>
    <t>1)Shipper/Exporter</t>
  </si>
  <si>
    <t>PACKING LIST</t>
  </si>
  <si>
    <t>- Swift code : IBKOKRSE</t>
  </si>
  <si>
    <t xml:space="preserve">* BANK INFORMATION </t>
  </si>
  <si>
    <t>18)Signed By</t>
  </si>
  <si>
    <t>//////////////////////////////////</t>
  </si>
  <si>
    <t>MADE IN VIET NAM</t>
  </si>
  <si>
    <t>17)Commodity HTS Number                                          " Automotive Component" (HS: 87082920)</t>
  </si>
  <si>
    <t>OUT BOUND SHIPMENT</t>
  </si>
  <si>
    <t>LOS ANGELES, CA</t>
  </si>
  <si>
    <t>LOT No.</t>
  </si>
  <si>
    <t>PO No.</t>
  </si>
  <si>
    <t>12)Remarks :</t>
  </si>
  <si>
    <t>SAN DIEGO CA 92154 US</t>
  </si>
  <si>
    <t>9355 Airway Road, Ste 1</t>
  </si>
  <si>
    <t xml:space="preserve">C/O Casas International Warehouse </t>
  </si>
  <si>
    <t>BROKER FOR AST FACILITY</t>
  </si>
  <si>
    <t xml:space="preserve">11) Consignee </t>
  </si>
  <si>
    <t>Tel ) 619-662-8038</t>
    <phoneticPr fontId="29" type="noConversion"/>
  </si>
  <si>
    <t>TAX ID. AST000626JH5</t>
    <phoneticPr fontId="29" type="noConversion"/>
  </si>
  <si>
    <t>Fracc. E1 Aguila Tijuana BC, MEXICO C.P 22215</t>
    <phoneticPr fontId="29" type="noConversion"/>
  </si>
  <si>
    <t>Calle Aguila Coronada #2000</t>
    <phoneticPr fontId="29" type="noConversion"/>
  </si>
  <si>
    <t>AUTOLIV SAFETY TECHNOLOGY(AST)</t>
    <phoneticPr fontId="29" type="noConversion"/>
  </si>
  <si>
    <t xml:space="preserve">ATTN : Luis-Gustavo Moreno </t>
    <phoneticPr fontId="29" type="noConversion"/>
  </si>
  <si>
    <t>10) Country of Origin of Goods                   VIET NAM</t>
  </si>
  <si>
    <t>9) Terms of delivery and payment</t>
  </si>
  <si>
    <t>1)Shipper/Exporter/Manufacturer</t>
  </si>
  <si>
    <t>COMMERCIAL INVOICE</t>
  </si>
  <si>
    <t>AUTOLIV SAFETY TECHNOLOGY(AST)</t>
  </si>
  <si>
    <t>Calle Aguila Coronada #2000</t>
  </si>
  <si>
    <t xml:space="preserve">Parque Industrial BajaMaq
</t>
  </si>
  <si>
    <t>Fracc. E1 Aguila Tijuana BC, MEXICO C.P 22215</t>
  </si>
  <si>
    <t>TAX ID. AST000626JH5</t>
  </si>
  <si>
    <t>Tel ) 619-662-8038</t>
  </si>
  <si>
    <t xml:space="preserve"> </t>
  </si>
  <si>
    <t>Parque Industrial BajaMaq</t>
    <phoneticPr fontId="29" type="noConversion"/>
  </si>
  <si>
    <t>13)Marks and numbers of PKGS 14)Description of goods  15)Quantity/Unit       16)Unit Price                                         17)Amount</t>
  </si>
  <si>
    <t>- Bank Name : Industrial Bank of Korea - Ho Chi Minh City Branch</t>
  </si>
  <si>
    <t>- Address : Unit 604, Diamond Plaza, 34 Le Duan Blvd., Dist. 1, HCMC, Vietnam</t>
  </si>
  <si>
    <t>- Bank Account Number/SWIFT: 0764-0054-932-0001 // IBKOVNVX</t>
  </si>
  <si>
    <t>$[DM_PORT]</t>
  </si>
  <si>
    <t>$[CARRIER]</t>
  </si>
  <si>
    <t>$[ETD_FROM]</t>
  </si>
  <si>
    <t>$[CO_INVOICE_NO]</t>
  </si>
  <si>
    <t>$[CO_INVOICE_DATE]</t>
  </si>
  <si>
    <t>$[PRICE_TYPE]</t>
  </si>
  <si>
    <t>$[PAYMENT_METHOD]</t>
  </si>
  <si>
    <t>$[PARTNER_NAME]</t>
  </si>
  <si>
    <t>$[ADDR2_B4]</t>
  </si>
  <si>
    <t>$[ADDR2_B5]</t>
  </si>
  <si>
    <t>$[ADDR2_B6]</t>
  </si>
  <si>
    <t>$[PHONE_NO]</t>
  </si>
  <si>
    <t>$[COL1_ROW17]</t>
  </si>
  <si>
    <t>$[COL1_ROW02]</t>
  </si>
  <si>
    <t>$[COL1_ROW03]</t>
  </si>
  <si>
    <t>$[COL1_ROW04]</t>
  </si>
  <si>
    <t>$[COL1_ROW05]</t>
  </si>
  <si>
    <t>$[COL1_ROW06]</t>
  </si>
  <si>
    <t>$[COL1_ROW07]</t>
  </si>
  <si>
    <t>$[COL1_ROW08]</t>
  </si>
  <si>
    <t>$[COL1_ROW09]</t>
  </si>
  <si>
    <t>$[COL2_ROW17]</t>
  </si>
  <si>
    <t>$[COL2_ROW02]</t>
  </si>
  <si>
    <t>$[COL2_ROW03]</t>
  </si>
  <si>
    <t>$[COL2_ROW04]</t>
  </si>
  <si>
    <t>$[COL2_ROW05]</t>
  </si>
  <si>
    <t>$[COL2_ROW06]</t>
  </si>
  <si>
    <t>$[COL2_ROW07]</t>
  </si>
  <si>
    <t>$[COL2_ROW08]</t>
  </si>
  <si>
    <t>$[COL2_ROW09]</t>
  </si>
  <si>
    <t>$[COL3_ROW17]</t>
  </si>
  <si>
    <t>$[COL3_ROW02]</t>
  </si>
  <si>
    <t>$[COL3_ROW03]</t>
  </si>
  <si>
    <t>$[COL4_ROW04]</t>
  </si>
  <si>
    <t>$[COL3_ROW05]</t>
  </si>
  <si>
    <t>$[COL3_ROW06]</t>
  </si>
  <si>
    <t>$[COL3_ROW07]</t>
  </si>
  <si>
    <t>$[COL3_ROW08]</t>
  </si>
  <si>
    <t>$[COL3_ROW09]</t>
  </si>
  <si>
    <t>$[COL3_ROW04]</t>
  </si>
  <si>
    <t>$[COL4_ROW17]</t>
  </si>
  <si>
    <t>$[COL4_ROW02]</t>
  </si>
  <si>
    <t>$[COL4_ROW03]</t>
  </si>
  <si>
    <t>$[COL4_ROW05]</t>
  </si>
  <si>
    <t>$[COL4_ROW06]</t>
  </si>
  <si>
    <t>$[COL4_ROW07]</t>
  </si>
  <si>
    <t>$[COL4_ROW08]</t>
  </si>
  <si>
    <t>$[COL4_ROW09]</t>
  </si>
  <si>
    <t>$[COL5_ROW17]</t>
  </si>
  <si>
    <t>$[COL5_ROW02]</t>
  </si>
  <si>
    <t>$[COL5_ROW03]</t>
  </si>
  <si>
    <t>$[COL5_ROW04]</t>
  </si>
  <si>
    <t>$[COL5_ROW05]</t>
  </si>
  <si>
    <t>$[COL5_ROW06]</t>
  </si>
  <si>
    <t>$[COL5_ROW07]</t>
  </si>
  <si>
    <t>$[COL5_ROW08]</t>
  </si>
  <si>
    <t>$[COL5_ROW09]</t>
  </si>
  <si>
    <t>$[COL1_ROW11]</t>
  </si>
  <si>
    <t>$[COL1_ROW12]</t>
  </si>
  <si>
    <t>$[COL1_ROW14]</t>
  </si>
  <si>
    <t>$[COL2_ROW11]</t>
  </si>
  <si>
    <t>$[COL3_ROW11]</t>
  </si>
  <si>
    <t>$[COL4_ROW11]</t>
  </si>
  <si>
    <t>$[COL2_ROW12]</t>
  </si>
  <si>
    <t>$[COL3_ROW12]</t>
  </si>
  <si>
    <t>$[COL4_ROW12]</t>
  </si>
  <si>
    <t>$[COL2_ROW14]</t>
  </si>
  <si>
    <t>$[COL3_ROW14]</t>
  </si>
  <si>
    <t>$[COL4_ROW14]</t>
  </si>
  <si>
    <t>$[COL1_ROW18]</t>
  </si>
  <si>
    <t>$[COL1_ROW19]</t>
  </si>
  <si>
    <t>$[COL2_ROW18]</t>
  </si>
  <si>
    <t>$[COL3_ROW18]</t>
  </si>
  <si>
    <t>$[COL2_ROW19]</t>
  </si>
  <si>
    <t>$[COL3_ROW19]</t>
  </si>
  <si>
    <t>$[COL4_ROW18]</t>
  </si>
  <si>
    <t>$[COL4_ROW19]</t>
  </si>
  <si>
    <t>$[QTY]</t>
  </si>
  <si>
    <t>$[AMOUNT]</t>
  </si>
  <si>
    <t>$[COL1_ROW20]</t>
  </si>
  <si>
    <t>$[COL1_ROW15]</t>
  </si>
  <si>
    <t>$[COL2_ROW20]</t>
  </si>
  <si>
    <t>$[COL3_ROW20]</t>
  </si>
  <si>
    <t>$[COL4_ROW20]</t>
  </si>
  <si>
    <t>$[COL5_ROW20]</t>
  </si>
  <si>
    <t>$[COL2_ROW15]</t>
  </si>
  <si>
    <t>$[COL3_ROW15]</t>
  </si>
  <si>
    <t>$[COL4_ROW15]</t>
  </si>
  <si>
    <t>$[COL5_ROW15]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</si>
</sst>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164" formatCode="_-* #,##0_-;\-* #,##0_-;_-* &quot;-&quot;_-;_-@_-"/>
    <numFmt numFmtId="165" formatCode="_-* #,##0.00_-;\-* #,##0.00_-;_-* &quot;-&quot;??_-;_-@_-"/>
    <numFmt numFmtId="166" formatCode="0.00\ &quot;CBM&quot;"/>
    <numFmt numFmtId="167" formatCode="#,##0\ &quot;kgs&quot;"/>
    <numFmt numFmtId="168" formatCode="0.000\ &quot;CBM&quot;"/>
    <numFmt numFmtId="169" formatCode="#,##0\ &quot;PCS&quot;"/>
    <numFmt numFmtId="170" formatCode="[$-409]d&quot;-&quot;mmm&quot;-&quot;yy;@"/>
    <numFmt numFmtId="171" formatCode="\(#\ &quot;BOXES)&quot;"/>
    <numFmt numFmtId="172" formatCode="&quot;(&quot;#\ &quot;SKIDS)&quot;"/>
    <numFmt numFmtId="173" formatCode="&quot;(&quot;#\ &quot;SKID)&quot;"/>
    <numFmt numFmtId="174" formatCode="&quot;0&quot;00#"/>
    <numFmt numFmtId="175" formatCode="&quot;I-000&quot;##&quot;,&quot;"/>
    <numFmt numFmtId="176" formatCode="&quot;￦ &quot;#,##0"/>
    <numFmt numFmtId="177" formatCode="&quot;US$&quot;\ #,##0.00"/>
    <numFmt numFmtId="178" formatCode="&quot;￦ &quot;#,##0.00"/>
    <numFmt numFmtId="179" formatCode="&quot;@$ &quot;0.0000"/>
    <numFmt numFmtId="180" formatCode="&quot;@$ &quot;0.000"/>
    <numFmt numFmtId="181" formatCode="&quot;US$&quot;#,##0.00"/>
    <numFmt numFmtId="182" formatCode="m&quot;/&quot;d&quot;/&quot;yy;@"/>
    <numFmt numFmtId="183" formatCode="&quot;(0&quot;.0#\ &quot;SKID)&quot;"/>
    <numFmt numFmtId="184" formatCode="mm&quot;월&quot;\ dd&quot;일&quot;"/>
    <numFmt numFmtId="185" formatCode="_(* #,##0_);_(* \(#,##0\);_(* &quot;-&quot;??_);_(@_)"/>
    <numFmt numFmtId="186" formatCode="&quot;₩&quot;#,##0.00\ ;\(&quot;₩&quot;#,##0.00\)"/>
    <numFmt numFmtId="187" formatCode="&quot;₩&quot;#,##0;&quot;₩&quot;\-#,##0"/>
  </numFmts>
  <fonts count="49">
    <font>
      <sz val="10"/>
      <name val="MS Sans Serif"/>
      <family val="2"/>
    </font>
    <font>
      <sz val="10"/>
      <name val="MS Sans Serif"/>
      <family val="2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b/>
      <sz val="10"/>
      <color indexed="8"/>
      <name val="Tahoma"/>
      <family val="2"/>
    </font>
    <font>
      <sz val="10"/>
      <color indexed="18"/>
      <name val="Tahoma"/>
      <family val="2"/>
    </font>
    <font>
      <b/>
      <sz val="15"/>
      <name val="Tahoma"/>
      <family val="2"/>
    </font>
    <font>
      <b/>
      <sz val="9"/>
      <name val="Tahoma"/>
      <family val="2"/>
    </font>
    <font>
      <b/>
      <sz val="9"/>
      <color indexed="8"/>
      <name val="Tahoma"/>
      <family val="2"/>
    </font>
    <font>
      <sz val="9"/>
      <name val="Tahoma"/>
      <family val="2"/>
    </font>
    <font>
      <b/>
      <sz val="20"/>
      <name val="Tahoma"/>
      <family val="2"/>
    </font>
    <font>
      <u/>
      <sz val="10"/>
      <name val="Tahoma"/>
      <family val="2"/>
    </font>
    <font>
      <sz val="10"/>
      <color indexed="9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sz val="11"/>
      <color indexed="20"/>
      <name val="Calibri"/>
      <family val="2"/>
    </font>
    <font>
      <b/>
      <sz val="11"/>
      <name val="Helv"/>
      <family val="2"/>
    </font>
    <font>
      <sz val="12"/>
      <name val="굴림체"/>
      <family val="3"/>
      <charset val="129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宋体"/>
      <family val="3"/>
      <charset val="129"/>
    </font>
    <font>
      <sz val="12"/>
      <name val="宋体"/>
      <charset val="129"/>
    </font>
    <font>
      <sz val="13"/>
      <name val="돋움"/>
      <family val="3"/>
      <charset val="129"/>
    </font>
    <font>
      <sz val="12"/>
      <name val="돋움"/>
      <family val="3"/>
      <charset val="129"/>
    </font>
    <font>
      <b/>
      <sz val="14"/>
      <name val="돋움"/>
      <family val="3"/>
      <charset val="129"/>
    </font>
    <font>
      <sz val="11"/>
      <color theme="1"/>
      <name val="Calibri"/>
      <family val="3"/>
      <charset val="129"/>
      <scheme val="minor"/>
    </font>
    <font>
      <sz val="8"/>
      <name val="BatangChe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indexed="64"/>
      </top>
      <bottom/>
      <diagonal/>
    </border>
  </borders>
  <cellStyleXfs count="516">
    <xf numFmtId="0" fontId="0" fillId="0" borderId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6" borderId="0" applyNumberFormat="0" applyBorder="0" applyAlignment="0" applyProtection="0"/>
    <xf numFmtId="0" fontId="15" fillId="9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7" fillId="5" borderId="0" applyNumberFormat="0" applyBorder="0" applyAlignment="0" applyProtection="0"/>
    <xf numFmtId="0" fontId="18" fillId="17" borderId="15" applyNumberFormat="0" applyAlignment="0" applyProtection="0"/>
    <xf numFmtId="0" fontId="19" fillId="0" borderId="0"/>
    <xf numFmtId="0" fontId="20" fillId="18" borderId="16" applyNumberFormat="0" applyAlignment="0" applyProtection="0"/>
    <xf numFmtId="0" fontId="21" fillId="0" borderId="17" applyNumberFormat="0" applyFill="0" applyAlignment="0" applyProtection="0"/>
    <xf numFmtId="0" fontId="22" fillId="0" borderId="0" applyNumberFormat="0" applyFill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22" borderId="0" applyNumberFormat="0" applyBorder="0" applyAlignment="0" applyProtection="0"/>
    <xf numFmtId="0" fontId="23" fillId="8" borderId="15" applyNumberFormat="0" applyAlignment="0" applyProtection="0"/>
    <xf numFmtId="38" fontId="24" fillId="23" borderId="0" applyNumberFormat="0" applyBorder="0" applyAlignment="0" applyProtection="0"/>
    <xf numFmtId="0" fontId="25" fillId="0" borderId="0">
      <alignment horizontal="left"/>
    </xf>
    <xf numFmtId="0" fontId="26" fillId="0" borderId="18" applyNumberFormat="0" applyAlignment="0" applyProtection="0">
      <alignment horizontal="left" vertical="center"/>
    </xf>
    <xf numFmtId="0" fontId="26" fillId="0" borderId="19">
      <alignment horizontal="left" vertical="center"/>
    </xf>
    <xf numFmtId="0" fontId="27" fillId="4" borderId="0" applyNumberFormat="0" applyBorder="0" applyAlignment="0" applyProtection="0"/>
    <xf numFmtId="10" fontId="24" fillId="23" borderId="20" applyNumberFormat="0" applyBorder="0" applyAlignment="0" applyProtection="0"/>
    <xf numFmtId="0" fontId="28" fillId="0" borderId="4"/>
    <xf numFmtId="185" fontId="29" fillId="0" borderId="0"/>
    <xf numFmtId="0" fontId="15" fillId="24" borderId="21" applyNumberFormat="0" applyFont="0" applyAlignment="0" applyProtection="0"/>
    <xf numFmtId="10" fontId="30" fillId="0" borderId="0" applyFont="0" applyFill="0" applyBorder="0" applyAlignment="0" applyProtection="0"/>
    <xf numFmtId="0" fontId="31" fillId="17" borderId="22" applyNumberFormat="0" applyAlignment="0" applyProtection="0"/>
    <xf numFmtId="0" fontId="28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22" fillId="0" borderId="25" applyNumberFormat="0" applyFill="0" applyAlignment="0" applyProtection="0"/>
    <xf numFmtId="2" fontId="37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164" fontId="41" fillId="0" borderId="0" applyFont="0" applyFill="0" applyBorder="0" applyAlignment="0" applyProtection="0">
      <alignment vertical="center"/>
    </xf>
    <xf numFmtId="164" fontId="41" fillId="0" borderId="0" applyFont="0" applyFill="0" applyBorder="0" applyAlignment="0" applyProtection="0">
      <alignment vertical="center"/>
    </xf>
    <xf numFmtId="164" fontId="41" fillId="0" borderId="0" applyFont="0" applyFill="0" applyBorder="0" applyAlignment="0" applyProtection="0">
      <alignment vertical="center"/>
    </xf>
    <xf numFmtId="164" fontId="40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165" fontId="41" fillId="0" borderId="0" applyFont="0" applyFill="0" applyBorder="0" applyAlignment="0" applyProtection="0">
      <alignment vertical="center"/>
    </xf>
    <xf numFmtId="165" fontId="41" fillId="0" borderId="0" applyFont="0" applyFill="0" applyBorder="0" applyAlignment="0" applyProtection="0">
      <alignment vertical="center"/>
    </xf>
    <xf numFmtId="165" fontId="41" fillId="0" borderId="0" applyFont="0" applyFill="0" applyBorder="0" applyAlignment="0" applyProtection="0">
      <alignment vertical="center"/>
    </xf>
    <xf numFmtId="165" fontId="41" fillId="0" borderId="0" applyFont="0" applyFill="0" applyBorder="0" applyAlignment="0" applyProtection="0">
      <alignment vertical="center"/>
    </xf>
    <xf numFmtId="165" fontId="41" fillId="0" borderId="0" applyFont="0" applyFill="0" applyBorder="0" applyAlignment="0" applyProtection="0">
      <alignment vertical="center"/>
    </xf>
    <xf numFmtId="165" fontId="41" fillId="0" borderId="0" applyFont="0" applyFill="0" applyBorder="0" applyAlignment="0" applyProtection="0">
      <alignment vertical="center"/>
    </xf>
    <xf numFmtId="165" fontId="41" fillId="0" borderId="0" applyFont="0" applyFill="0" applyBorder="0" applyAlignment="0" applyProtection="0">
      <alignment vertical="center"/>
    </xf>
    <xf numFmtId="0" fontId="42" fillId="0" borderId="0"/>
    <xf numFmtId="0" fontId="42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4" fontId="37" fillId="0" borderId="0" applyFont="0" applyFill="0" applyBorder="0" applyAlignment="0" applyProtection="0"/>
    <xf numFmtId="3" fontId="37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center"/>
    </xf>
    <xf numFmtId="49" fontId="45" fillId="0" borderId="0" applyNumberFormat="0" applyFill="0" applyBorder="0" applyAlignment="0" applyProtection="0"/>
    <xf numFmtId="49" fontId="40" fillId="0" borderId="0" applyNumberFormat="0" applyFill="0" applyBorder="0" applyAlignment="0" applyProtection="0"/>
    <xf numFmtId="164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49" fontId="46" fillId="0" borderId="0" applyNumberFormat="0" applyFill="0" applyBorder="0" applyAlignment="0" applyProtection="0"/>
    <xf numFmtId="10" fontId="37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" fillId="0" borderId="0"/>
    <xf numFmtId="0" fontId="37" fillId="0" borderId="26" applyNumberFormat="0" applyFont="0" applyFill="0" applyAlignment="0" applyProtection="0"/>
    <xf numFmtId="186" fontId="37" fillId="0" borderId="0" applyFont="0" applyFill="0" applyBorder="0" applyAlignment="0" applyProtection="0"/>
    <xf numFmtId="187" fontId="37" fillId="0" borderId="0" applyFont="0" applyFill="0" applyBorder="0" applyAlignment="0" applyProtection="0"/>
  </cellStyleXfs>
  <cellXfs count="237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166" fontId="2" fillId="2" borderId="0" xfId="0" applyNumberFormat="1" applyFont="1" applyFill="1" applyBorder="1" applyAlignment="1">
      <alignment horizontal="right" vertical="center"/>
    </xf>
    <xf numFmtId="167" fontId="3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Continuous" vertical="center"/>
    </xf>
    <xf numFmtId="0" fontId="5" fillId="2" borderId="0" xfId="0" applyFont="1" applyFill="1" applyBorder="1" applyAlignment="1">
      <alignment vertical="center"/>
    </xf>
    <xf numFmtId="167" fontId="2" fillId="2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167" fontId="2" fillId="0" borderId="0" xfId="0" applyNumberFormat="1" applyFont="1" applyFill="1" applyBorder="1" applyAlignment="1">
      <alignment vertical="center"/>
    </xf>
    <xf numFmtId="166" fontId="2" fillId="0" borderId="0" xfId="0" applyNumberFormat="1" applyFont="1" applyFill="1" applyBorder="1" applyAlignment="1">
      <alignment horizontal="right" vertical="center"/>
    </xf>
    <xf numFmtId="167" fontId="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Continuous" vertical="center"/>
    </xf>
    <xf numFmtId="168" fontId="4" fillId="2" borderId="0" xfId="0" applyNumberFormat="1" applyFont="1" applyFill="1" applyBorder="1" applyAlignment="1">
      <alignment horizontal="right" vertical="center"/>
    </xf>
    <xf numFmtId="166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68" fontId="2" fillId="2" borderId="0" xfId="0" applyNumberFormat="1" applyFont="1" applyFill="1" applyBorder="1" applyAlignment="1">
      <alignment horizontal="right" vertical="center"/>
    </xf>
    <xf numFmtId="168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/>
    </xf>
    <xf numFmtId="166" fontId="3" fillId="2" borderId="0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169" fontId="2" fillId="2" borderId="0" xfId="0" applyNumberFormat="1" applyFont="1" applyFill="1" applyBorder="1" applyAlignment="1">
      <alignment horizontal="center" vertical="center"/>
    </xf>
    <xf numFmtId="168" fontId="2" fillId="0" borderId="0" xfId="0" applyNumberFormat="1" applyFont="1" applyFill="1" applyBorder="1" applyAlignment="1">
      <alignment vertical="center"/>
    </xf>
    <xf numFmtId="168" fontId="4" fillId="0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169" fontId="2" fillId="2" borderId="0" xfId="0" applyNumberFormat="1" applyFont="1" applyFill="1" applyAlignment="1">
      <alignment vertical="center"/>
    </xf>
    <xf numFmtId="168" fontId="2" fillId="2" borderId="0" xfId="0" applyNumberFormat="1" applyFont="1" applyFill="1" applyBorder="1" applyAlignment="1">
      <alignment vertical="center"/>
    </xf>
    <xf numFmtId="0" fontId="2" fillId="0" borderId="0" xfId="0" applyFont="1"/>
    <xf numFmtId="0" fontId="2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vertical="center"/>
    </xf>
    <xf numFmtId="168" fontId="3" fillId="2" borderId="0" xfId="0" quotePrefix="1" applyNumberFormat="1" applyFont="1" applyFill="1" applyAlignment="1">
      <alignment horizontal="left" vertical="center"/>
    </xf>
    <xf numFmtId="0" fontId="4" fillId="2" borderId="12" xfId="0" applyFont="1" applyFill="1" applyBorder="1" applyAlignment="1">
      <alignment vertical="center"/>
    </xf>
    <xf numFmtId="0" fontId="9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168" fontId="6" fillId="0" borderId="0" xfId="0" applyNumberFormat="1" applyFont="1" applyFill="1" applyBorder="1" applyAlignment="1">
      <alignment horizontal="left" vertical="center"/>
    </xf>
    <xf numFmtId="0" fontId="6" fillId="2" borderId="1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168" fontId="3" fillId="0" borderId="0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68" fontId="3" fillId="2" borderId="0" xfId="0" applyNumberFormat="1" applyFont="1" applyFill="1" applyAlignment="1">
      <alignment horizontal="center"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0" xfId="0" applyFont="1" applyFill="1"/>
    <xf numFmtId="169" fontId="3" fillId="0" borderId="0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169" fontId="2" fillId="2" borderId="0" xfId="0" applyNumberFormat="1" applyFont="1" applyFill="1" applyAlignment="1">
      <alignment horizontal="left" vertical="center"/>
    </xf>
    <xf numFmtId="171" fontId="2" fillId="0" borderId="0" xfId="0" applyNumberFormat="1" applyFont="1" applyFill="1" applyBorder="1" applyAlignment="1">
      <alignment horizontal="left" vertical="center"/>
    </xf>
    <xf numFmtId="171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0" borderId="0" xfId="0" quotePrefix="1" applyNumberFormat="1" applyFont="1" applyFill="1" applyAlignment="1">
      <alignment horizontal="left" vertical="center" wrapText="1"/>
    </xf>
    <xf numFmtId="172" fontId="2" fillId="0" borderId="0" xfId="0" applyNumberFormat="1" applyFont="1" applyFill="1" applyBorder="1" applyAlignment="1">
      <alignment horizontal="left" vertical="center"/>
    </xf>
    <xf numFmtId="172" fontId="2" fillId="2" borderId="0" xfId="0" applyNumberFormat="1" applyFont="1" applyFill="1" applyAlignment="1">
      <alignment horizontal="left" vertical="center"/>
    </xf>
    <xf numFmtId="169" fontId="3" fillId="2" borderId="0" xfId="0" applyNumberFormat="1" applyFont="1" applyFill="1" applyBorder="1" applyAlignment="1">
      <alignment horizontal="left" vertical="center"/>
    </xf>
    <xf numFmtId="49" fontId="2" fillId="0" borderId="0" xfId="0" quotePrefix="1" applyNumberFormat="1" applyFont="1" applyFill="1" applyBorder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73" fontId="2" fillId="2" borderId="0" xfId="0" applyNumberFormat="1" applyFont="1" applyFill="1" applyBorder="1" applyAlignment="1">
      <alignment horizontal="left" vertical="center"/>
    </xf>
    <xf numFmtId="169" fontId="3" fillId="0" borderId="0" xfId="0" applyNumberFormat="1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169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171" fontId="2" fillId="0" borderId="0" xfId="0" applyNumberFormat="1" applyFont="1" applyFill="1" applyAlignment="1">
      <alignment horizontal="left" vertical="center"/>
    </xf>
    <xf numFmtId="0" fontId="2" fillId="0" borderId="0" xfId="0" applyNumberFormat="1" applyFont="1" applyFill="1" applyAlignment="1">
      <alignment horizontal="left" vertical="center" wrapText="1"/>
    </xf>
    <xf numFmtId="0" fontId="2" fillId="0" borderId="0" xfId="0" applyNumberFormat="1" applyFont="1" applyFill="1" applyAlignment="1">
      <alignment vertical="center" wrapText="1"/>
    </xf>
    <xf numFmtId="172" fontId="2" fillId="0" borderId="0" xfId="0" applyNumberFormat="1" applyFont="1" applyFill="1" applyAlignment="1">
      <alignment horizontal="left" vertical="center"/>
    </xf>
    <xf numFmtId="174" fontId="2" fillId="0" borderId="0" xfId="0" quotePrefix="1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3" fontId="2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quotePrefix="1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74" fontId="2" fillId="2" borderId="0" xfId="0" applyNumberFormat="1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Continuous" vertical="center"/>
    </xf>
    <xf numFmtId="0" fontId="12" fillId="2" borderId="0" xfId="0" applyFont="1" applyFill="1" applyBorder="1" applyAlignment="1">
      <alignment horizontal="center" vertical="center"/>
    </xf>
    <xf numFmtId="0" fontId="2" fillId="2" borderId="0" xfId="0" quotePrefix="1" applyFont="1" applyFill="1" applyBorder="1" applyAlignment="1">
      <alignment vertical="center"/>
    </xf>
    <xf numFmtId="0" fontId="2" fillId="2" borderId="0" xfId="0" quotePrefix="1" applyFont="1" applyFill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176" fontId="2" fillId="2" borderId="0" xfId="0" applyNumberFormat="1" applyFont="1" applyFill="1" applyBorder="1" applyAlignment="1">
      <alignment vertical="center"/>
    </xf>
    <xf numFmtId="169" fontId="2" fillId="2" borderId="0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left" vertical="center"/>
    </xf>
    <xf numFmtId="177" fontId="2" fillId="2" borderId="0" xfId="0" applyNumberFormat="1" applyFont="1" applyFill="1" applyBorder="1" applyAlignment="1">
      <alignment horizontal="right" vertical="center"/>
    </xf>
    <xf numFmtId="4" fontId="2" fillId="2" borderId="0" xfId="0" applyNumberFormat="1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horizontal="right" vertical="center"/>
    </xf>
    <xf numFmtId="4" fontId="2" fillId="0" borderId="0" xfId="0" applyNumberFormat="1" applyFont="1" applyFill="1" applyBorder="1" applyAlignment="1">
      <alignment vertical="center"/>
    </xf>
    <xf numFmtId="169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left" vertical="center"/>
    </xf>
    <xf numFmtId="178" fontId="2" fillId="0" borderId="0" xfId="0" applyNumberFormat="1" applyFont="1" applyFill="1" applyBorder="1" applyAlignment="1">
      <alignment vertical="center"/>
    </xf>
    <xf numFmtId="0" fontId="2" fillId="0" borderId="0" xfId="0" applyFont="1" applyFill="1"/>
    <xf numFmtId="0" fontId="2" fillId="0" borderId="0" xfId="0" quotePrefix="1" applyFont="1" applyFill="1" applyAlignment="1">
      <alignment vertical="center"/>
    </xf>
    <xf numFmtId="177" fontId="2" fillId="0" borderId="0" xfId="0" applyNumberFormat="1" applyFont="1" applyFill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180" fontId="2" fillId="0" borderId="0" xfId="0" applyNumberFormat="1" applyFont="1" applyFill="1" applyAlignment="1">
      <alignment vertical="center"/>
    </xf>
    <xf numFmtId="169" fontId="2" fillId="0" borderId="0" xfId="0" applyNumberFormat="1" applyFont="1" applyFill="1" applyAlignment="1">
      <alignment vertical="center"/>
    </xf>
    <xf numFmtId="177" fontId="4" fillId="0" borderId="1" xfId="0" applyNumberFormat="1" applyFont="1" applyFill="1" applyBorder="1" applyAlignment="1">
      <alignment horizontal="right" vertical="center"/>
    </xf>
    <xf numFmtId="4" fontId="4" fillId="0" borderId="1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horizontal="left" vertical="center"/>
    </xf>
    <xf numFmtId="177" fontId="2" fillId="0" borderId="2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left" vertical="center"/>
    </xf>
    <xf numFmtId="181" fontId="2" fillId="2" borderId="0" xfId="0" applyNumberFormat="1" applyFont="1" applyFill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12" xfId="0" applyFont="1" applyFill="1" applyBorder="1" applyAlignment="1">
      <alignment vertical="center"/>
    </xf>
    <xf numFmtId="0" fontId="9" fillId="0" borderId="9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169" fontId="6" fillId="0" borderId="0" xfId="0" applyNumberFormat="1" applyFont="1" applyFill="1" applyBorder="1" applyAlignment="1">
      <alignment horizontal="left" vertical="center"/>
    </xf>
    <xf numFmtId="0" fontId="4" fillId="0" borderId="9" xfId="0" applyFont="1" applyFill="1" applyBorder="1" applyAlignment="1">
      <alignment vertical="center"/>
    </xf>
    <xf numFmtId="0" fontId="6" fillId="0" borderId="10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Alignment="1">
      <alignment vertical="center"/>
    </xf>
    <xf numFmtId="174" fontId="11" fillId="0" borderId="0" xfId="0" applyNumberFormat="1" applyFont="1" applyFill="1" applyBorder="1" applyAlignment="1">
      <alignment horizontal="left" vertical="center"/>
    </xf>
    <xf numFmtId="174" fontId="2" fillId="0" borderId="0" xfId="0" quotePrefix="1" applyNumberFormat="1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174" fontId="2" fillId="0" borderId="0" xfId="0" quotePrefix="1" applyNumberFormat="1" applyFont="1" applyFill="1" applyBorder="1" applyAlignment="1">
      <alignment horizontal="left" vertical="center"/>
    </xf>
    <xf numFmtId="183" fontId="2" fillId="0" borderId="0" xfId="0" applyNumberFormat="1" applyFont="1" applyFill="1" applyBorder="1" applyAlignment="1">
      <alignment horizontal="left" vertical="center"/>
    </xf>
    <xf numFmtId="0" fontId="2" fillId="2" borderId="0" xfId="0" quotePrefix="1" applyFont="1" applyFill="1" applyAlignment="1">
      <alignment horizontal="left" vertical="center"/>
    </xf>
    <xf numFmtId="0" fontId="4" fillId="0" borderId="14" xfId="0" applyFont="1" applyFill="1" applyBorder="1" applyAlignment="1">
      <alignment vertical="center"/>
    </xf>
    <xf numFmtId="183" fontId="2" fillId="0" borderId="2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4" fillId="0" borderId="12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center"/>
    </xf>
    <xf numFmtId="0" fontId="4" fillId="2" borderId="9" xfId="0" applyFont="1" applyFill="1" applyBorder="1" applyAlignment="1">
      <alignment vertical="center"/>
    </xf>
    <xf numFmtId="169" fontId="3" fillId="0" borderId="2" xfId="0" applyNumberFormat="1" applyFont="1" applyFill="1" applyBorder="1" applyAlignment="1">
      <alignment horizontal="left" vertical="center"/>
    </xf>
    <xf numFmtId="172" fontId="2" fillId="2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vertical="center"/>
    </xf>
    <xf numFmtId="173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Alignment="1"/>
    <xf numFmtId="0" fontId="2" fillId="2" borderId="10" xfId="0" applyFont="1" applyFill="1" applyBorder="1" applyAlignment="1">
      <alignment vertical="center"/>
    </xf>
    <xf numFmtId="169" fontId="2" fillId="0" borderId="0" xfId="0" applyNumberFormat="1" applyFont="1" applyFill="1" applyBorder="1" applyAlignment="1">
      <alignment horizontal="right" vertical="center"/>
    </xf>
    <xf numFmtId="175" fontId="4" fillId="0" borderId="2" xfId="0" applyNumberFormat="1" applyFont="1" applyFill="1" applyBorder="1" applyAlignment="1">
      <alignment horizontal="left" vertical="center"/>
    </xf>
    <xf numFmtId="175" fontId="2" fillId="0" borderId="2" xfId="0" applyNumberFormat="1" applyFont="1" applyFill="1" applyBorder="1" applyAlignment="1">
      <alignment horizontal="center" vertical="center"/>
    </xf>
    <xf numFmtId="184" fontId="2" fillId="0" borderId="2" xfId="0" applyNumberFormat="1" applyFont="1" applyFill="1" applyBorder="1" applyAlignment="1">
      <alignment vertical="center"/>
    </xf>
    <xf numFmtId="15" fontId="2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15" fontId="4" fillId="0" borderId="2" xfId="0" applyNumberFormat="1" applyFont="1" applyFill="1" applyBorder="1" applyAlignment="1">
      <alignment vertical="center"/>
    </xf>
    <xf numFmtId="17" fontId="2" fillId="0" borderId="0" xfId="0" quotePrefix="1" applyNumberFormat="1" applyFont="1" applyFill="1" applyAlignment="1">
      <alignment horizontal="left" vertical="center"/>
    </xf>
    <xf numFmtId="167" fontId="2" fillId="0" borderId="0" xfId="0" applyNumberFormat="1" applyFont="1" applyFill="1" applyAlignment="1">
      <alignment vertical="center"/>
    </xf>
    <xf numFmtId="167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68" fontId="3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1" fontId="2" fillId="0" borderId="0" xfId="0" applyNumberFormat="1" applyFont="1" applyFill="1" applyAlignment="1">
      <alignment vertical="center" wrapText="1"/>
    </xf>
    <xf numFmtId="0" fontId="0" fillId="0" borderId="0" xfId="0"/>
    <xf numFmtId="0" fontId="2" fillId="2" borderId="0" xfId="0" quotePrefix="1" applyFont="1" applyFill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0" fontId="2" fillId="2" borderId="0" xfId="0" quotePrefix="1" applyFont="1" applyFill="1" applyBorder="1" applyAlignment="1">
      <alignment vertical="center"/>
    </xf>
    <xf numFmtId="49" fontId="2" fillId="0" borderId="0" xfId="0" quotePrefix="1" applyNumberFormat="1" applyFont="1" applyFill="1" applyAlignment="1">
      <alignment horizontal="left" vertical="center"/>
    </xf>
    <xf numFmtId="49" fontId="2" fillId="0" borderId="0" xfId="0" quotePrefix="1" applyNumberFormat="1" applyFont="1" applyFill="1" applyAlignment="1">
      <alignment horizontal="left" vertical="center" wrapText="1"/>
    </xf>
    <xf numFmtId="172" fontId="2" fillId="0" borderId="0" xfId="0" applyNumberFormat="1" applyFont="1" applyFill="1" applyAlignment="1">
      <alignment vertical="center"/>
    </xf>
    <xf numFmtId="172" fontId="2" fillId="2" borderId="0" xfId="0" applyNumberFormat="1" applyFont="1" applyFill="1" applyAlignment="1">
      <alignment vertical="center"/>
    </xf>
    <xf numFmtId="171" fontId="4" fillId="0" borderId="0" xfId="0" applyNumberFormat="1" applyFont="1" applyFill="1" applyAlignment="1">
      <alignment vertical="center" wrapText="1"/>
    </xf>
    <xf numFmtId="171" fontId="4" fillId="0" borderId="0" xfId="0" applyNumberFormat="1" applyFont="1" applyFill="1" applyAlignment="1">
      <alignment vertical="center"/>
    </xf>
    <xf numFmtId="171" fontId="4" fillId="2" borderId="0" xfId="0" applyNumberFormat="1" applyFont="1" applyFill="1" applyAlignment="1">
      <alignment vertical="center"/>
    </xf>
    <xf numFmtId="182" fontId="2" fillId="0" borderId="1" xfId="0" applyNumberFormat="1" applyFont="1" applyFill="1" applyBorder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shrinkToFit="1"/>
    </xf>
    <xf numFmtId="0" fontId="2" fillId="2" borderId="12" xfId="0" applyFont="1" applyFill="1" applyBorder="1" applyAlignment="1">
      <alignment horizontal="left" vertical="center" shrinkToFit="1"/>
    </xf>
    <xf numFmtId="0" fontId="2" fillId="0" borderId="0" xfId="0" applyFont="1" applyFill="1" applyAlignment="1">
      <alignment horizontal="left" vertical="center"/>
    </xf>
    <xf numFmtId="169" fontId="2" fillId="0" borderId="0" xfId="0" applyNumberFormat="1" applyFont="1" applyFill="1" applyAlignment="1">
      <alignment horizontal="right" vertical="center"/>
    </xf>
    <xf numFmtId="179" fontId="2" fillId="0" borderId="0" xfId="0" quotePrefix="1" applyNumberFormat="1" applyFont="1" applyFill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70" fontId="2" fillId="0" borderId="2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0" xfId="0" quotePrefix="1" applyFont="1" applyFill="1" applyAlignment="1">
      <alignment horizontal="left" vertical="center"/>
    </xf>
    <xf numFmtId="0" fontId="2" fillId="0" borderId="0" xfId="0" applyFont="1" applyFill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170" fontId="4" fillId="0" borderId="11" xfId="0" applyNumberFormat="1" applyFont="1" applyFill="1" applyBorder="1" applyAlignment="1">
      <alignment horizontal="center" vertical="center"/>
    </xf>
    <xf numFmtId="170" fontId="4" fillId="0" borderId="2" xfId="0" applyNumberFormat="1" applyFont="1" applyFill="1" applyBorder="1" applyAlignment="1">
      <alignment horizontal="center" vertical="center"/>
    </xf>
    <xf numFmtId="170" fontId="4" fillId="0" borderId="1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169" fontId="4" fillId="0" borderId="1" xfId="0" applyNumberFormat="1" applyFont="1" applyFill="1" applyBorder="1" applyAlignment="1">
      <alignment horizontal="right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167" fontId="2" fillId="0" borderId="0" xfId="0" applyNumberFormat="1" applyFont="1" applyFill="1" applyBorder="1" applyAlignment="1">
      <alignment horizontal="center" vertical="center"/>
    </xf>
    <xf numFmtId="168" fontId="2" fillId="0" borderId="0" xfId="0" applyNumberFormat="1" applyFont="1" applyFill="1" applyBorder="1" applyAlignment="1">
      <alignment horizontal="center" vertical="center"/>
    </xf>
    <xf numFmtId="167" fontId="4" fillId="0" borderId="1" xfId="0" applyNumberFormat="1" applyFont="1" applyFill="1" applyBorder="1" applyAlignment="1">
      <alignment horizontal="right" vertical="center"/>
    </xf>
    <xf numFmtId="167" fontId="4" fillId="0" borderId="1" xfId="0" applyNumberFormat="1" applyFont="1" applyFill="1" applyBorder="1" applyAlignment="1">
      <alignment horizontal="center" vertical="center"/>
    </xf>
    <xf numFmtId="168" fontId="4" fillId="0" borderId="1" xfId="0" applyNumberFormat="1" applyFont="1" applyFill="1" applyBorder="1" applyAlignment="1">
      <alignment horizontal="center" vertical="center"/>
    </xf>
    <xf numFmtId="169" fontId="2" fillId="0" borderId="0" xfId="0" applyNumberFormat="1" applyFont="1" applyFill="1" applyBorder="1" applyAlignment="1">
      <alignment horizontal="right" vertical="center"/>
    </xf>
    <xf numFmtId="167" fontId="3" fillId="0" borderId="0" xfId="0" applyNumberFormat="1" applyFont="1" applyFill="1" applyBorder="1" applyAlignment="1">
      <alignment horizontal="right" vertical="center"/>
    </xf>
    <xf numFmtId="168" fontId="2" fillId="2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 shrinkToFi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7" fontId="2" fillId="0" borderId="0" xfId="0" applyNumberFormat="1" applyFont="1" applyAlignment="1">
      <alignment horizontal="left" vertical="center"/>
    </xf>
    <xf numFmtId="172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 shrinkToFit="1"/>
    </xf>
    <xf numFmtId="171" fontId="2" fillId="0" borderId="0" xfId="0" applyNumberFormat="1" applyFont="1" applyAlignment="1">
      <alignment horizontal="left" vertical="center"/>
    </xf>
    <xf numFmtId="169" fontId="2" fillId="0" borderId="0" xfId="0" applyNumberFormat="1" applyFont="1" applyAlignment="1">
      <alignment horizontal="left" vertical="center"/>
    </xf>
  </cellXfs>
  <cellStyles count="516">
    <cellStyle name="20% - Énfasis1" xfId="1"/>
    <cellStyle name="20% - Énfasis2" xfId="2"/>
    <cellStyle name="20% - Énfasis3" xfId="3"/>
    <cellStyle name="20% - Énfasis4" xfId="4"/>
    <cellStyle name="20% - Énfasis5" xfId="5"/>
    <cellStyle name="20% - Énfasis6" xfId="6"/>
    <cellStyle name="40% - Énfasis1" xfId="7"/>
    <cellStyle name="40% - Énfasis2" xfId="8"/>
    <cellStyle name="40% - Énfasis3" xfId="9"/>
    <cellStyle name="40% - Énfasis4" xfId="10"/>
    <cellStyle name="40% - Énfasis5" xfId="11"/>
    <cellStyle name="40% - Énfasis6" xfId="12"/>
    <cellStyle name="60% - Énfasis1" xfId="13"/>
    <cellStyle name="60% - Énfasis2" xfId="14"/>
    <cellStyle name="60% - Énfasis3" xfId="15"/>
    <cellStyle name="60% - Énfasis4" xfId="16"/>
    <cellStyle name="60% - Énfasis5" xfId="17"/>
    <cellStyle name="60% - Énfasis6" xfId="18"/>
    <cellStyle name="Buena" xfId="19"/>
    <cellStyle name="Cálculo" xfId="20"/>
    <cellStyle name="category" xfId="21"/>
    <cellStyle name="Celda de comprobación" xfId="22"/>
    <cellStyle name="Celda vinculada" xfId="23"/>
    <cellStyle name="Encabezado 4" xfId="24"/>
    <cellStyle name="Énfasis1" xfId="25"/>
    <cellStyle name="Énfasis2" xfId="26"/>
    <cellStyle name="Énfasis3" xfId="27"/>
    <cellStyle name="Énfasis4" xfId="28"/>
    <cellStyle name="Énfasis5" xfId="29"/>
    <cellStyle name="Énfasis6" xfId="30"/>
    <cellStyle name="Entrada" xfId="31"/>
    <cellStyle name="Grey" xfId="32"/>
    <cellStyle name="HEADER" xfId="33"/>
    <cellStyle name="Header1" xfId="34"/>
    <cellStyle name="Header2" xfId="35"/>
    <cellStyle name="Incorrecto" xfId="36"/>
    <cellStyle name="Input [yellow]" xfId="37"/>
    <cellStyle name="Model" xfId="38"/>
    <cellStyle name="Normal" xfId="0" builtinId="0"/>
    <cellStyle name="Normal - Style1" xfId="39"/>
    <cellStyle name="Notas" xfId="40"/>
    <cellStyle name="Percent [2]" xfId="41"/>
    <cellStyle name="Salida" xfId="42"/>
    <cellStyle name="subhead" xfId="43"/>
    <cellStyle name="Texto de advertencia" xfId="44"/>
    <cellStyle name="Texto explicativo" xfId="45"/>
    <cellStyle name="Título" xfId="46"/>
    <cellStyle name="Título 1" xfId="47"/>
    <cellStyle name="Título 2" xfId="48"/>
    <cellStyle name="Título 3" xfId="49"/>
    <cellStyle name="고정소숫점" xfId="50"/>
    <cellStyle name="고정출력1" xfId="51"/>
    <cellStyle name="고정출력2" xfId="52"/>
    <cellStyle name="날짜" xfId="53"/>
    <cellStyle name="달러" xfId="54"/>
    <cellStyle name="쉼표 [0] 2" xfId="55"/>
    <cellStyle name="쉼표 [0] 2 2" xfId="56"/>
    <cellStyle name="쉼표 [0] 2 2 2" xfId="57"/>
    <cellStyle name="쉼표 [0] 2 2 2 2" xfId="58"/>
    <cellStyle name="쉼표 [0] 2 2 2 2 2" xfId="59"/>
    <cellStyle name="쉼표 [0] 2 2 2 2 2 2" xfId="60"/>
    <cellStyle name="쉼표 [0] 2 2 2 2 2 2 2" xfId="61"/>
    <cellStyle name="쉼표 [0] 2 3" xfId="62"/>
    <cellStyle name="쉼표 [0] 2 4" xfId="63"/>
    <cellStyle name="쉼표 [0] 2 4 2" xfId="64"/>
    <cellStyle name="쉼표 [0] 3" xfId="65"/>
    <cellStyle name="쉼표 [0] 3 2" xfId="66"/>
    <cellStyle name="쉼표 [0] 4" xfId="67"/>
    <cellStyle name="쉼표 [0] 5" xfId="68"/>
    <cellStyle name="쉼표 2 2" xfId="69"/>
    <cellStyle name="쉼표 2 3" xfId="70"/>
    <cellStyle name="쉼표 2 4" xfId="71"/>
    <cellStyle name="쉼표 2 5" xfId="72"/>
    <cellStyle name="쉼표 2 6" xfId="73"/>
    <cellStyle name="쉼표 3" xfId="74"/>
    <cellStyle name="쉼표 4" xfId="75"/>
    <cellStyle name="스타일 1" xfId="76"/>
    <cellStyle name="스타일 1 2" xfId="77"/>
    <cellStyle name="스타일 1 2 10" xfId="78"/>
    <cellStyle name="스타일 1 2 10 2" xfId="79"/>
    <cellStyle name="스타일 1 2 10 3" xfId="80"/>
    <cellStyle name="스타일 1 2 10 4" xfId="81"/>
    <cellStyle name="스타일 1 2 10 5" xfId="82"/>
    <cellStyle name="스타일 1 2 11" xfId="83"/>
    <cellStyle name="스타일 1 2 11 2" xfId="84"/>
    <cellStyle name="스타일 1 2 11 3" xfId="85"/>
    <cellStyle name="스타일 1 2 11 4" xfId="86"/>
    <cellStyle name="스타일 1 2 11 5" xfId="87"/>
    <cellStyle name="스타일 1 2 12" xfId="88"/>
    <cellStyle name="스타일 1 2 12 2" xfId="89"/>
    <cellStyle name="스타일 1 2 12 3" xfId="90"/>
    <cellStyle name="스타일 1 2 12 4" xfId="91"/>
    <cellStyle name="스타일 1 2 12 5" xfId="92"/>
    <cellStyle name="스타일 1 2 13" xfId="93"/>
    <cellStyle name="스타일 1 2 13 2" xfId="94"/>
    <cellStyle name="스타일 1 2 13 3" xfId="95"/>
    <cellStyle name="스타일 1 2 13 4" xfId="96"/>
    <cellStyle name="스타일 1 2 13 5" xfId="97"/>
    <cellStyle name="스타일 1 2 14" xfId="98"/>
    <cellStyle name="스타일 1 2 14 2" xfId="99"/>
    <cellStyle name="스타일 1 2 14 3" xfId="100"/>
    <cellStyle name="스타일 1 2 14 4" xfId="101"/>
    <cellStyle name="스타일 1 2 14 5" xfId="102"/>
    <cellStyle name="스타일 1 2 15" xfId="103"/>
    <cellStyle name="스타일 1 2 15 2" xfId="104"/>
    <cellStyle name="스타일 1 2 15 3" xfId="105"/>
    <cellStyle name="스타일 1 2 15 4" xfId="106"/>
    <cellStyle name="스타일 1 2 15 5" xfId="107"/>
    <cellStyle name="스타일 1 2 16" xfId="108"/>
    <cellStyle name="스타일 1 2 16 2" xfId="109"/>
    <cellStyle name="스타일 1 2 16 3" xfId="110"/>
    <cellStyle name="스타일 1 2 16 4" xfId="111"/>
    <cellStyle name="스타일 1 2 16 5" xfId="112"/>
    <cellStyle name="스타일 1 2 17" xfId="113"/>
    <cellStyle name="스타일 1 2 17 2" xfId="114"/>
    <cellStyle name="스타일 1 2 17 3" xfId="115"/>
    <cellStyle name="스타일 1 2 17 4" xfId="116"/>
    <cellStyle name="스타일 1 2 17 5" xfId="117"/>
    <cellStyle name="스타일 1 2 18" xfId="118"/>
    <cellStyle name="스타일 1 2 18 2" xfId="119"/>
    <cellStyle name="스타일 1 2 18 3" xfId="120"/>
    <cellStyle name="스타일 1 2 18 4" xfId="121"/>
    <cellStyle name="스타일 1 2 18 5" xfId="122"/>
    <cellStyle name="스타일 1 2 19" xfId="123"/>
    <cellStyle name="스타일 1 2 19 2" xfId="124"/>
    <cellStyle name="스타일 1 2 19 3" xfId="125"/>
    <cellStyle name="스타일 1 2 19 4" xfId="126"/>
    <cellStyle name="스타일 1 2 19 5" xfId="127"/>
    <cellStyle name="스타일 1 2 2" xfId="128"/>
    <cellStyle name="스타일 1 2 2 2" xfId="129"/>
    <cellStyle name="스타일 1 2 2 3" xfId="130"/>
    <cellStyle name="스타일 1 2 2 4" xfId="131"/>
    <cellStyle name="스타일 1 2 2 5" xfId="132"/>
    <cellStyle name="스타일 1 2 20" xfId="133"/>
    <cellStyle name="스타일 1 2 20 2" xfId="134"/>
    <cellStyle name="스타일 1 2 20 3" xfId="135"/>
    <cellStyle name="스타일 1 2 20 4" xfId="136"/>
    <cellStyle name="스타일 1 2 20 5" xfId="137"/>
    <cellStyle name="스타일 1 2 21" xfId="138"/>
    <cellStyle name="스타일 1 2 21 2" xfId="139"/>
    <cellStyle name="스타일 1 2 21 3" xfId="140"/>
    <cellStyle name="스타일 1 2 21 4" xfId="141"/>
    <cellStyle name="스타일 1 2 21 5" xfId="142"/>
    <cellStyle name="스타일 1 2 22" xfId="143"/>
    <cellStyle name="스타일 1 2 22 2" xfId="144"/>
    <cellStyle name="스타일 1 2 22 3" xfId="145"/>
    <cellStyle name="스타일 1 2 22 4" xfId="146"/>
    <cellStyle name="스타일 1 2 22 5" xfId="147"/>
    <cellStyle name="스타일 1 2 23" xfId="148"/>
    <cellStyle name="스타일 1 2 23 2" xfId="149"/>
    <cellStyle name="스타일 1 2 23 3" xfId="150"/>
    <cellStyle name="스타일 1 2 23 4" xfId="151"/>
    <cellStyle name="스타일 1 2 23 5" xfId="152"/>
    <cellStyle name="스타일 1 2 24" xfId="153"/>
    <cellStyle name="스타일 1 2 24 2" xfId="154"/>
    <cellStyle name="스타일 1 2 24 3" xfId="155"/>
    <cellStyle name="스타일 1 2 24 4" xfId="156"/>
    <cellStyle name="스타일 1 2 24 5" xfId="157"/>
    <cellStyle name="스타일 1 2 25" xfId="158"/>
    <cellStyle name="스타일 1 2 25 2" xfId="159"/>
    <cellStyle name="스타일 1 2 25 3" xfId="160"/>
    <cellStyle name="스타일 1 2 25 4" xfId="161"/>
    <cellStyle name="스타일 1 2 25 5" xfId="162"/>
    <cellStyle name="스타일 1 2 26" xfId="163"/>
    <cellStyle name="스타일 1 2 26 2" xfId="164"/>
    <cellStyle name="스타일 1 2 26 3" xfId="165"/>
    <cellStyle name="스타일 1 2 26 4" xfId="166"/>
    <cellStyle name="스타일 1 2 26 5" xfId="167"/>
    <cellStyle name="스타일 1 2 27" xfId="168"/>
    <cellStyle name="스타일 1 2 27 2" xfId="169"/>
    <cellStyle name="스타일 1 2 27 3" xfId="170"/>
    <cellStyle name="스타일 1 2 27 4" xfId="171"/>
    <cellStyle name="스타일 1 2 27 5" xfId="172"/>
    <cellStyle name="스타일 1 2 28" xfId="173"/>
    <cellStyle name="스타일 1 2 28 2" xfId="174"/>
    <cellStyle name="스타일 1 2 28 3" xfId="175"/>
    <cellStyle name="스타일 1 2 28 4" xfId="176"/>
    <cellStyle name="스타일 1 2 28 5" xfId="177"/>
    <cellStyle name="스타일 1 2 29" xfId="178"/>
    <cellStyle name="스타일 1 2 29 2" xfId="179"/>
    <cellStyle name="스타일 1 2 29 3" xfId="180"/>
    <cellStyle name="스타일 1 2 29 4" xfId="181"/>
    <cellStyle name="스타일 1 2 29 5" xfId="182"/>
    <cellStyle name="스타일 1 2 3" xfId="183"/>
    <cellStyle name="스타일 1 2 3 2" xfId="184"/>
    <cellStyle name="스타일 1 2 3 3" xfId="185"/>
    <cellStyle name="스타일 1 2 3 4" xfId="186"/>
    <cellStyle name="스타일 1 2 3 5" xfId="187"/>
    <cellStyle name="스타일 1 2 30" xfId="188"/>
    <cellStyle name="스타일 1 2 30 2" xfId="189"/>
    <cellStyle name="스타일 1 2 30 3" xfId="190"/>
    <cellStyle name="스타일 1 2 30 4" xfId="191"/>
    <cellStyle name="스타일 1 2 30 5" xfId="192"/>
    <cellStyle name="스타일 1 2 31" xfId="193"/>
    <cellStyle name="스타일 1 2 31 2" xfId="194"/>
    <cellStyle name="스타일 1 2 31 3" xfId="195"/>
    <cellStyle name="스타일 1 2 31 4" xfId="196"/>
    <cellStyle name="스타일 1 2 31 5" xfId="197"/>
    <cellStyle name="스타일 1 2 32" xfId="198"/>
    <cellStyle name="스타일 1 2 32 2" xfId="199"/>
    <cellStyle name="스타일 1 2 32 3" xfId="200"/>
    <cellStyle name="스타일 1 2 32 4" xfId="201"/>
    <cellStyle name="스타일 1 2 32 5" xfId="202"/>
    <cellStyle name="스타일 1 2 33" xfId="203"/>
    <cellStyle name="스타일 1 2 33 2" xfId="204"/>
    <cellStyle name="스타일 1 2 33 3" xfId="205"/>
    <cellStyle name="스타일 1 2 33 4" xfId="206"/>
    <cellStyle name="스타일 1 2 33 5" xfId="207"/>
    <cellStyle name="스타일 1 2 34" xfId="208"/>
    <cellStyle name="스타일 1 2 34 2" xfId="209"/>
    <cellStyle name="스타일 1 2 34 3" xfId="210"/>
    <cellStyle name="스타일 1 2 34 4" xfId="211"/>
    <cellStyle name="스타일 1 2 34 5" xfId="212"/>
    <cellStyle name="스타일 1 2 35" xfId="213"/>
    <cellStyle name="스타일 1 2 35 2" xfId="214"/>
    <cellStyle name="스타일 1 2 35 3" xfId="215"/>
    <cellStyle name="스타일 1 2 35 4" xfId="216"/>
    <cellStyle name="스타일 1 2 35 5" xfId="217"/>
    <cellStyle name="스타일 1 2 36" xfId="218"/>
    <cellStyle name="스타일 1 2 36 2" xfId="219"/>
    <cellStyle name="스타일 1 2 36 3" xfId="220"/>
    <cellStyle name="스타일 1 2 36 4" xfId="221"/>
    <cellStyle name="스타일 1 2 36 5" xfId="222"/>
    <cellStyle name="스타일 1 2 37" xfId="223"/>
    <cellStyle name="스타일 1 2 37 2" xfId="224"/>
    <cellStyle name="스타일 1 2 37 3" xfId="225"/>
    <cellStyle name="스타일 1 2 37 4" xfId="226"/>
    <cellStyle name="스타일 1 2 37 5" xfId="227"/>
    <cellStyle name="스타일 1 2 38" xfId="228"/>
    <cellStyle name="스타일 1 2 38 2" xfId="229"/>
    <cellStyle name="스타일 1 2 38 3" xfId="230"/>
    <cellStyle name="스타일 1 2 38 4" xfId="231"/>
    <cellStyle name="스타일 1 2 38 5" xfId="232"/>
    <cellStyle name="스타일 1 2 39" xfId="233"/>
    <cellStyle name="스타일 1 2 39 2" xfId="234"/>
    <cellStyle name="스타일 1 2 39 3" xfId="235"/>
    <cellStyle name="스타일 1 2 39 4" xfId="236"/>
    <cellStyle name="스타일 1 2 39 5" xfId="237"/>
    <cellStyle name="스타일 1 2 4" xfId="238"/>
    <cellStyle name="스타일 1 2 4 2" xfId="239"/>
    <cellStyle name="스타일 1 2 4 3" xfId="240"/>
    <cellStyle name="스타일 1 2 4 4" xfId="241"/>
    <cellStyle name="스타일 1 2 4 5" xfId="242"/>
    <cellStyle name="스타일 1 2 40" xfId="243"/>
    <cellStyle name="스타일 1 2 40 2" xfId="244"/>
    <cellStyle name="스타일 1 2 40 3" xfId="245"/>
    <cellStyle name="스타일 1 2 40 4" xfId="246"/>
    <cellStyle name="스타일 1 2 40 5" xfId="247"/>
    <cellStyle name="스타일 1 2 41" xfId="248"/>
    <cellStyle name="스타일 1 2 42" xfId="249"/>
    <cellStyle name="스타일 1 2 43" xfId="250"/>
    <cellStyle name="스타일 1 2 44" xfId="251"/>
    <cellStyle name="스타일 1 2 5" xfId="252"/>
    <cellStyle name="스타일 1 2 5 2" xfId="253"/>
    <cellStyle name="스타일 1 2 5 3" xfId="254"/>
    <cellStyle name="스타일 1 2 5 4" xfId="255"/>
    <cellStyle name="스타일 1 2 5 5" xfId="256"/>
    <cellStyle name="스타일 1 2 6" xfId="257"/>
    <cellStyle name="스타일 1 2 6 2" xfId="258"/>
    <cellStyle name="스타일 1 2 6 3" xfId="259"/>
    <cellStyle name="스타일 1 2 6 4" xfId="260"/>
    <cellStyle name="스타일 1 2 6 5" xfId="261"/>
    <cellStyle name="스타일 1 2 7" xfId="262"/>
    <cellStyle name="스타일 1 2 7 2" xfId="263"/>
    <cellStyle name="스타일 1 2 7 3" xfId="264"/>
    <cellStyle name="스타일 1 2 7 4" xfId="265"/>
    <cellStyle name="스타일 1 2 7 5" xfId="266"/>
    <cellStyle name="스타일 1 2 8" xfId="267"/>
    <cellStyle name="스타일 1 2 8 2" xfId="268"/>
    <cellStyle name="스타일 1 2 8 3" xfId="269"/>
    <cellStyle name="스타일 1 2 8 4" xfId="270"/>
    <cellStyle name="스타일 1 2 8 5" xfId="271"/>
    <cellStyle name="스타일 1 2 9" xfId="272"/>
    <cellStyle name="스타일 1 2 9 2" xfId="273"/>
    <cellStyle name="스타일 1 2 9 3" xfId="274"/>
    <cellStyle name="스타일 1 2 9 4" xfId="275"/>
    <cellStyle name="스타일 1 2 9 5" xfId="276"/>
    <cellStyle name="스타일 1 3" xfId="277"/>
    <cellStyle name="스타일 1 3 10" xfId="278"/>
    <cellStyle name="스타일 1 3 10 2" xfId="279"/>
    <cellStyle name="스타일 1 3 10 3" xfId="280"/>
    <cellStyle name="스타일 1 3 10 4" xfId="281"/>
    <cellStyle name="스타일 1 3 10 5" xfId="282"/>
    <cellStyle name="스타일 1 3 11" xfId="283"/>
    <cellStyle name="스타일 1 3 11 2" xfId="284"/>
    <cellStyle name="스타일 1 3 11 3" xfId="285"/>
    <cellStyle name="스타일 1 3 11 4" xfId="286"/>
    <cellStyle name="스타일 1 3 11 5" xfId="287"/>
    <cellStyle name="스타일 1 3 12" xfId="288"/>
    <cellStyle name="스타일 1 3 12 2" xfId="289"/>
    <cellStyle name="스타일 1 3 12 3" xfId="290"/>
    <cellStyle name="스타일 1 3 12 4" xfId="291"/>
    <cellStyle name="스타일 1 3 12 5" xfId="292"/>
    <cellStyle name="스타일 1 3 13" xfId="293"/>
    <cellStyle name="스타일 1 3 13 2" xfId="294"/>
    <cellStyle name="스타일 1 3 13 3" xfId="295"/>
    <cellStyle name="스타일 1 3 13 4" xfId="296"/>
    <cellStyle name="스타일 1 3 13 5" xfId="297"/>
    <cellStyle name="스타일 1 3 14" xfId="298"/>
    <cellStyle name="스타일 1 3 14 2" xfId="299"/>
    <cellStyle name="스타일 1 3 14 3" xfId="300"/>
    <cellStyle name="스타일 1 3 14 4" xfId="301"/>
    <cellStyle name="스타일 1 3 14 5" xfId="302"/>
    <cellStyle name="스타일 1 3 15" xfId="303"/>
    <cellStyle name="스타일 1 3 15 2" xfId="304"/>
    <cellStyle name="스타일 1 3 15 3" xfId="305"/>
    <cellStyle name="스타일 1 3 15 4" xfId="306"/>
    <cellStyle name="스타일 1 3 15 5" xfId="307"/>
    <cellStyle name="스타일 1 3 16" xfId="308"/>
    <cellStyle name="스타일 1 3 16 2" xfId="309"/>
    <cellStyle name="스타일 1 3 16 3" xfId="310"/>
    <cellStyle name="스타일 1 3 16 4" xfId="311"/>
    <cellStyle name="스타일 1 3 16 5" xfId="312"/>
    <cellStyle name="스타일 1 3 17" xfId="313"/>
    <cellStyle name="스타일 1 3 17 2" xfId="314"/>
    <cellStyle name="스타일 1 3 17 3" xfId="315"/>
    <cellStyle name="스타일 1 3 17 4" xfId="316"/>
    <cellStyle name="스타일 1 3 17 5" xfId="317"/>
    <cellStyle name="스타일 1 3 18" xfId="318"/>
    <cellStyle name="스타일 1 3 18 2" xfId="319"/>
    <cellStyle name="스타일 1 3 18 3" xfId="320"/>
    <cellStyle name="스타일 1 3 18 4" xfId="321"/>
    <cellStyle name="스타일 1 3 18 5" xfId="322"/>
    <cellStyle name="스타일 1 3 19" xfId="323"/>
    <cellStyle name="스타일 1 3 19 2" xfId="324"/>
    <cellStyle name="스타일 1 3 19 3" xfId="325"/>
    <cellStyle name="스타일 1 3 19 4" xfId="326"/>
    <cellStyle name="스타일 1 3 19 5" xfId="327"/>
    <cellStyle name="스타일 1 3 2" xfId="328"/>
    <cellStyle name="스타일 1 3 2 2" xfId="329"/>
    <cellStyle name="스타일 1 3 2 3" xfId="330"/>
    <cellStyle name="스타일 1 3 2 4" xfId="331"/>
    <cellStyle name="스타일 1 3 2 5" xfId="332"/>
    <cellStyle name="스타일 1 3 20" xfId="333"/>
    <cellStyle name="스타일 1 3 20 2" xfId="334"/>
    <cellStyle name="스타일 1 3 20 3" xfId="335"/>
    <cellStyle name="스타일 1 3 20 4" xfId="336"/>
    <cellStyle name="스타일 1 3 20 5" xfId="337"/>
    <cellStyle name="스타일 1 3 21" xfId="338"/>
    <cellStyle name="스타일 1 3 21 2" xfId="339"/>
    <cellStyle name="스타일 1 3 21 3" xfId="340"/>
    <cellStyle name="스타일 1 3 21 4" xfId="341"/>
    <cellStyle name="스타일 1 3 21 5" xfId="342"/>
    <cellStyle name="스타일 1 3 22" xfId="343"/>
    <cellStyle name="스타일 1 3 22 2" xfId="344"/>
    <cellStyle name="스타일 1 3 22 3" xfId="345"/>
    <cellStyle name="스타일 1 3 22 4" xfId="346"/>
    <cellStyle name="스타일 1 3 22 5" xfId="347"/>
    <cellStyle name="스타일 1 3 23" xfId="348"/>
    <cellStyle name="스타일 1 3 23 2" xfId="349"/>
    <cellStyle name="스타일 1 3 23 3" xfId="350"/>
    <cellStyle name="스타일 1 3 23 4" xfId="351"/>
    <cellStyle name="스타일 1 3 23 5" xfId="352"/>
    <cellStyle name="스타일 1 3 24" xfId="353"/>
    <cellStyle name="스타일 1 3 24 2" xfId="354"/>
    <cellStyle name="스타일 1 3 24 3" xfId="355"/>
    <cellStyle name="스타일 1 3 24 4" xfId="356"/>
    <cellStyle name="스타일 1 3 24 5" xfId="357"/>
    <cellStyle name="스타일 1 3 25" xfId="358"/>
    <cellStyle name="스타일 1 3 25 2" xfId="359"/>
    <cellStyle name="스타일 1 3 25 3" xfId="360"/>
    <cellStyle name="스타일 1 3 25 4" xfId="361"/>
    <cellStyle name="스타일 1 3 25 5" xfId="362"/>
    <cellStyle name="스타일 1 3 26" xfId="363"/>
    <cellStyle name="스타일 1 3 26 2" xfId="364"/>
    <cellStyle name="스타일 1 3 26 3" xfId="365"/>
    <cellStyle name="스타일 1 3 26 4" xfId="366"/>
    <cellStyle name="스타일 1 3 26 5" xfId="367"/>
    <cellStyle name="스타일 1 3 27" xfId="368"/>
    <cellStyle name="스타일 1 3 27 2" xfId="369"/>
    <cellStyle name="스타일 1 3 27 3" xfId="370"/>
    <cellStyle name="스타일 1 3 27 4" xfId="371"/>
    <cellStyle name="스타일 1 3 27 5" xfId="372"/>
    <cellStyle name="스타일 1 3 28" xfId="373"/>
    <cellStyle name="스타일 1 3 28 2" xfId="374"/>
    <cellStyle name="스타일 1 3 28 3" xfId="375"/>
    <cellStyle name="스타일 1 3 28 4" xfId="376"/>
    <cellStyle name="스타일 1 3 28 5" xfId="377"/>
    <cellStyle name="스타일 1 3 29" xfId="378"/>
    <cellStyle name="스타일 1 3 29 2" xfId="379"/>
    <cellStyle name="스타일 1 3 29 3" xfId="380"/>
    <cellStyle name="스타일 1 3 29 4" xfId="381"/>
    <cellStyle name="스타일 1 3 29 5" xfId="382"/>
    <cellStyle name="스타일 1 3 3" xfId="383"/>
    <cellStyle name="스타일 1 3 3 2" xfId="384"/>
    <cellStyle name="스타일 1 3 3 3" xfId="385"/>
    <cellStyle name="스타일 1 3 3 4" xfId="386"/>
    <cellStyle name="스타일 1 3 3 5" xfId="387"/>
    <cellStyle name="스타일 1 3 30" xfId="388"/>
    <cellStyle name="스타일 1 3 30 2" xfId="389"/>
    <cellStyle name="스타일 1 3 30 3" xfId="390"/>
    <cellStyle name="스타일 1 3 30 4" xfId="391"/>
    <cellStyle name="스타일 1 3 30 5" xfId="392"/>
    <cellStyle name="스타일 1 3 31" xfId="393"/>
    <cellStyle name="스타일 1 3 31 2" xfId="394"/>
    <cellStyle name="스타일 1 3 31 3" xfId="395"/>
    <cellStyle name="스타일 1 3 31 4" xfId="396"/>
    <cellStyle name="스타일 1 3 31 5" xfId="397"/>
    <cellStyle name="스타일 1 3 32" xfId="398"/>
    <cellStyle name="스타일 1 3 32 2" xfId="399"/>
    <cellStyle name="스타일 1 3 32 3" xfId="400"/>
    <cellStyle name="스타일 1 3 32 4" xfId="401"/>
    <cellStyle name="스타일 1 3 32 5" xfId="402"/>
    <cellStyle name="스타일 1 3 33" xfId="403"/>
    <cellStyle name="스타일 1 3 33 2" xfId="404"/>
    <cellStyle name="스타일 1 3 33 3" xfId="405"/>
    <cellStyle name="스타일 1 3 33 4" xfId="406"/>
    <cellStyle name="스타일 1 3 33 5" xfId="407"/>
    <cellStyle name="스타일 1 3 34" xfId="408"/>
    <cellStyle name="스타일 1 3 34 2" xfId="409"/>
    <cellStyle name="스타일 1 3 34 3" xfId="410"/>
    <cellStyle name="스타일 1 3 34 4" xfId="411"/>
    <cellStyle name="스타일 1 3 34 5" xfId="412"/>
    <cellStyle name="스타일 1 3 35" xfId="413"/>
    <cellStyle name="스타일 1 3 35 2" xfId="414"/>
    <cellStyle name="스타일 1 3 35 3" xfId="415"/>
    <cellStyle name="스타일 1 3 35 4" xfId="416"/>
    <cellStyle name="스타일 1 3 35 5" xfId="417"/>
    <cellStyle name="스타일 1 3 36" xfId="418"/>
    <cellStyle name="스타일 1 3 36 2" xfId="419"/>
    <cellStyle name="스타일 1 3 36 3" xfId="420"/>
    <cellStyle name="스타일 1 3 36 4" xfId="421"/>
    <cellStyle name="스타일 1 3 36 5" xfId="422"/>
    <cellStyle name="스타일 1 3 37" xfId="423"/>
    <cellStyle name="스타일 1 3 37 2" xfId="424"/>
    <cellStyle name="스타일 1 3 37 3" xfId="425"/>
    <cellStyle name="스타일 1 3 37 4" xfId="426"/>
    <cellStyle name="스타일 1 3 37 5" xfId="427"/>
    <cellStyle name="스타일 1 3 38" xfId="428"/>
    <cellStyle name="스타일 1 3 38 2" xfId="429"/>
    <cellStyle name="스타일 1 3 38 3" xfId="430"/>
    <cellStyle name="스타일 1 3 38 4" xfId="431"/>
    <cellStyle name="스타일 1 3 38 5" xfId="432"/>
    <cellStyle name="스타일 1 3 39" xfId="433"/>
    <cellStyle name="스타일 1 3 39 2" xfId="434"/>
    <cellStyle name="스타일 1 3 39 3" xfId="435"/>
    <cellStyle name="스타일 1 3 39 4" xfId="436"/>
    <cellStyle name="스타일 1 3 39 5" xfId="437"/>
    <cellStyle name="스타일 1 3 4" xfId="438"/>
    <cellStyle name="스타일 1 3 4 2" xfId="439"/>
    <cellStyle name="스타일 1 3 4 3" xfId="440"/>
    <cellStyle name="스타일 1 3 4 4" xfId="441"/>
    <cellStyle name="스타일 1 3 4 5" xfId="442"/>
    <cellStyle name="스타일 1 3 40" xfId="443"/>
    <cellStyle name="스타일 1 3 40 2" xfId="444"/>
    <cellStyle name="스타일 1 3 40 3" xfId="445"/>
    <cellStyle name="스타일 1 3 40 4" xfId="446"/>
    <cellStyle name="스타일 1 3 40 5" xfId="447"/>
    <cellStyle name="스타일 1 3 41" xfId="448"/>
    <cellStyle name="스타일 1 3 42" xfId="449"/>
    <cellStyle name="스타일 1 3 43" xfId="450"/>
    <cellStyle name="스타일 1 3 44" xfId="451"/>
    <cellStyle name="스타일 1 3 5" xfId="452"/>
    <cellStyle name="스타일 1 3 5 2" xfId="453"/>
    <cellStyle name="스타일 1 3 5 3" xfId="454"/>
    <cellStyle name="스타일 1 3 5 4" xfId="455"/>
    <cellStyle name="스타일 1 3 5 5" xfId="456"/>
    <cellStyle name="스타일 1 3 6" xfId="457"/>
    <cellStyle name="스타일 1 3 6 2" xfId="458"/>
    <cellStyle name="스타일 1 3 6 3" xfId="459"/>
    <cellStyle name="스타일 1 3 6 4" xfId="460"/>
    <cellStyle name="스타일 1 3 6 5" xfId="461"/>
    <cellStyle name="스타일 1 3 7" xfId="462"/>
    <cellStyle name="스타일 1 3 7 2" xfId="463"/>
    <cellStyle name="스타일 1 3 7 3" xfId="464"/>
    <cellStyle name="스타일 1 3 7 4" xfId="465"/>
    <cellStyle name="스타일 1 3 7 5" xfId="466"/>
    <cellStyle name="스타일 1 3 8" xfId="467"/>
    <cellStyle name="스타일 1 3 8 2" xfId="468"/>
    <cellStyle name="스타일 1 3 8 3" xfId="469"/>
    <cellStyle name="스타일 1 3 8 4" xfId="470"/>
    <cellStyle name="스타일 1 3 8 5" xfId="471"/>
    <cellStyle name="스타일 1 3 9" xfId="472"/>
    <cellStyle name="스타일 1 3 9 2" xfId="473"/>
    <cellStyle name="스타일 1 3 9 3" xfId="474"/>
    <cellStyle name="스타일 1 3 9 4" xfId="475"/>
    <cellStyle name="스타일 1 3 9 5" xfId="476"/>
    <cellStyle name="스타일 1 4" xfId="477"/>
    <cellStyle name="스타일 1 5" xfId="478"/>
    <cellStyle name="스타일 1 6" xfId="479"/>
    <cellStyle name="스타일 1 7" xfId="480"/>
    <cellStyle name="자리수" xfId="481"/>
    <cellStyle name="자리수0" xfId="482"/>
    <cellStyle name="제목1" xfId="483"/>
    <cellStyle name="제목2" xfId="484"/>
    <cellStyle name="제목3" xfId="485"/>
    <cellStyle name="콤마 [0]_(改定前)검사.계측및" xfId="486"/>
    <cellStyle name="콤마_(改定前)검사.계측및" xfId="487"/>
    <cellStyle name="큰제목" xfId="488"/>
    <cellStyle name="퍼센트" xfId="489"/>
    <cellStyle name="표준 2" xfId="490"/>
    <cellStyle name="표준 2 2" xfId="491"/>
    <cellStyle name="표준 2 2 2" xfId="492"/>
    <cellStyle name="표준 2 2 2 2" xfId="493"/>
    <cellStyle name="표준 2 2 2 2 2" xfId="494"/>
    <cellStyle name="표준 2 2 2 2 2 2" xfId="495"/>
    <cellStyle name="표준 2 2 2 2 2 2 2" xfId="496"/>
    <cellStyle name="표준 2 2 2 2 2 2 2 2" xfId="497"/>
    <cellStyle name="표준 2 2 2 2 2 2_출하계획서" xfId="498"/>
    <cellStyle name="표준 2 2 2 2 2_출하계획서" xfId="499"/>
    <cellStyle name="표준 2 2 2 2_111" xfId="500"/>
    <cellStyle name="표준 2 2 2_111" xfId="501"/>
    <cellStyle name="표준 2 2_111" xfId="502"/>
    <cellStyle name="표준 2 3" xfId="503"/>
    <cellStyle name="표준 2 4" xfId="504"/>
    <cellStyle name="표준 2 5" xfId="505"/>
    <cellStyle name="표준 2 6" xfId="506"/>
    <cellStyle name="표준 3" xfId="507"/>
    <cellStyle name="표준 4" xfId="508"/>
    <cellStyle name="표준 5" xfId="509"/>
    <cellStyle name="표준 6" xfId="510"/>
    <cellStyle name="표준 7" xfId="511"/>
    <cellStyle name="표준 8" xfId="512"/>
    <cellStyle name="합산" xfId="513"/>
    <cellStyle name="화폐기호" xfId="514"/>
    <cellStyle name="화폐기호0" xfId="5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590550</xdr:colOff>
      <xdr:row>58</xdr:row>
      <xdr:rowOff>85725</xdr:rowOff>
    </xdr:from>
    <xdr:to>
      <xdr:col>22</xdr:col>
      <xdr:colOff>228600</xdr:colOff>
      <xdr:row>68</xdr:row>
      <xdr:rowOff>152400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38825" y="10972800"/>
          <a:ext cx="2495550" cy="1971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723899</xdr:colOff>
      <xdr:row>135</xdr:row>
      <xdr:rowOff>47625</xdr:rowOff>
    </xdr:from>
    <xdr:to>
      <xdr:col>22</xdr:col>
      <xdr:colOff>447674</xdr:colOff>
      <xdr:row>145</xdr:row>
      <xdr:rowOff>85142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72174" y="25393650"/>
          <a:ext cx="2581275" cy="19425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I147"/>
  <sheetViews>
    <sheetView showGridLines="0" showZeros="0" tabSelected="1" topLeftCell="A77" workbookViewId="0">
      <selection activeCell="S108" sqref="S108"/>
    </sheetView>
  </sheetViews>
  <sheetFormatPr defaultColWidth="9.140625" defaultRowHeight="17.25" customHeight="1"/>
  <cols>
    <col min="1" max="1" width="1.42578125" style="1" customWidth="1"/>
    <col min="2" max="2" width="7.5703125" style="1" customWidth="1"/>
    <col min="3" max="3" width="1.28515625" style="1" customWidth="1"/>
    <col min="4" max="4" width="8.28515625" style="1" customWidth="1"/>
    <col min="5" max="5" width="9.42578125" style="1" customWidth="1"/>
    <col min="6" max="6" width="2.28515625" style="1" customWidth="1"/>
    <col min="7" max="7" width="7.85546875" style="1" customWidth="1"/>
    <col min="8" max="8" width="7" style="1" customWidth="1"/>
    <col min="9" max="9" width="3.140625" style="1" customWidth="1"/>
    <col min="10" max="10" width="1.28515625" style="1" customWidth="1"/>
    <col min="11" max="11" width="2.140625" style="1" customWidth="1"/>
    <col min="12" max="12" width="1.7109375" style="1" customWidth="1"/>
    <col min="13" max="13" width="10.42578125" style="1" bestFit="1" customWidth="1"/>
    <col min="14" max="14" width="1.7109375" style="1" customWidth="1"/>
    <col min="15" max="15" width="12.5703125" style="1" customWidth="1"/>
    <col min="16" max="16" width="1.42578125" style="1" customWidth="1"/>
    <col min="17" max="17" width="13" style="1" customWidth="1"/>
    <col min="18" max="18" width="1.42578125" style="1" customWidth="1"/>
    <col min="19" max="19" width="13.42578125" style="1" bestFit="1" customWidth="1"/>
    <col min="20" max="20" width="1.42578125" style="1" customWidth="1"/>
    <col min="21" max="21" width="12.140625" style="1" customWidth="1"/>
    <col min="22" max="22" width="1.42578125" style="1" customWidth="1"/>
    <col min="23" max="23" width="11.85546875" style="1" customWidth="1"/>
    <col min="24" max="24" width="1.85546875" style="2" customWidth="1"/>
    <col min="25" max="25" width="4.5703125" style="1" hidden="1" customWidth="1"/>
    <col min="26" max="26" width="4.5703125" style="2" customWidth="1"/>
    <col min="27" max="27" width="1" style="1" customWidth="1"/>
    <col min="28" max="33" width="2.28515625" style="1" customWidth="1"/>
    <col min="34" max="34" width="9.5703125" style="1" customWidth="1"/>
    <col min="35" max="35" width="17.28515625" style="1" customWidth="1"/>
    <col min="36" max="16384" width="9.140625" style="1"/>
  </cols>
  <sheetData>
    <row r="1" spans="1:35" ht="34.5" customHeight="1">
      <c r="A1" s="202" t="s">
        <v>55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99"/>
    </row>
    <row r="2" spans="1:35" ht="14.25" customHeight="1">
      <c r="A2" s="6" t="s">
        <v>54</v>
      </c>
      <c r="B2" s="2"/>
      <c r="C2" s="2"/>
      <c r="D2" s="2"/>
      <c r="E2" s="2"/>
      <c r="F2" s="2"/>
      <c r="G2" s="2"/>
      <c r="H2" s="2"/>
      <c r="I2" s="57"/>
      <c r="J2" s="6" t="s">
        <v>27</v>
      </c>
      <c r="K2" s="6"/>
      <c r="L2" s="6"/>
      <c r="M2" s="6"/>
      <c r="N2" s="6"/>
      <c r="O2" s="6"/>
      <c r="P2" s="6"/>
      <c r="Q2" s="6"/>
      <c r="R2" s="6"/>
      <c r="S2" s="6"/>
      <c r="Y2" s="2"/>
    </row>
    <row r="3" spans="1:35" ht="14.25" customHeight="1">
      <c r="B3" s="7" t="s">
        <v>75</v>
      </c>
      <c r="C3" s="7"/>
      <c r="I3" s="46"/>
      <c r="J3" s="141"/>
      <c r="K3" s="162" t="s">
        <v>71</v>
      </c>
      <c r="L3" s="163"/>
      <c r="M3" s="163"/>
      <c r="N3" s="164"/>
      <c r="O3" s="165"/>
      <c r="P3" s="141"/>
      <c r="Q3" s="141"/>
      <c r="R3" s="15"/>
      <c r="S3" s="141"/>
      <c r="T3" s="141"/>
      <c r="U3" s="141"/>
      <c r="V3" s="141"/>
      <c r="W3" s="203" t="s">
        <v>72</v>
      </c>
      <c r="X3" s="203"/>
      <c r="Y3" s="14"/>
      <c r="Z3" s="14"/>
    </row>
    <row r="4" spans="1:35" ht="14.25" customHeight="1">
      <c r="B4" s="1" t="s">
        <v>76</v>
      </c>
      <c r="I4" s="46"/>
      <c r="J4" s="39" t="s">
        <v>53</v>
      </c>
      <c r="K4" s="39"/>
      <c r="L4" s="39"/>
      <c r="M4" s="39"/>
      <c r="N4" s="39"/>
      <c r="O4" s="39"/>
      <c r="P4" s="39"/>
      <c r="Q4" s="39"/>
      <c r="R4" s="39"/>
      <c r="S4" s="6"/>
      <c r="Y4" s="2"/>
    </row>
    <row r="5" spans="1:35" ht="14.25" customHeight="1">
      <c r="B5" s="190" t="s">
        <v>77</v>
      </c>
      <c r="C5" s="190"/>
      <c r="D5" s="190"/>
      <c r="E5" s="190"/>
      <c r="F5" s="190"/>
      <c r="G5" s="190"/>
      <c r="H5" s="190"/>
      <c r="I5" s="191"/>
      <c r="J5" s="6"/>
      <c r="K5" s="1" t="s">
        <v>73</v>
      </c>
      <c r="L5" s="6"/>
      <c r="M5" s="6"/>
      <c r="N5" s="6"/>
      <c r="O5" s="6"/>
      <c r="P5" s="6"/>
      <c r="Q5" s="6"/>
      <c r="R5" s="6"/>
      <c r="S5" s="6"/>
      <c r="Y5" s="2"/>
    </row>
    <row r="6" spans="1:35" ht="14.25" customHeight="1">
      <c r="B6" s="1" t="s">
        <v>78</v>
      </c>
      <c r="C6" s="96"/>
      <c r="I6" s="46"/>
      <c r="K6" s="1" t="s">
        <v>74</v>
      </c>
      <c r="S6" s="2"/>
      <c r="Y6" s="2"/>
    </row>
    <row r="7" spans="1:35" ht="14.25" customHeight="1">
      <c r="B7" s="5" t="s">
        <v>79</v>
      </c>
      <c r="C7" s="95"/>
      <c r="D7" s="5"/>
      <c r="E7" s="5"/>
      <c r="F7" s="5"/>
      <c r="G7" s="5"/>
      <c r="H7" s="5"/>
      <c r="I7" s="160"/>
      <c r="J7" s="39" t="s">
        <v>52</v>
      </c>
      <c r="K7" s="39"/>
      <c r="L7" s="39"/>
      <c r="M7" s="39"/>
      <c r="N7" s="39"/>
      <c r="O7" s="39"/>
      <c r="P7" s="39"/>
      <c r="Q7" s="39"/>
      <c r="R7" s="39"/>
      <c r="S7" s="39"/>
      <c r="T7" s="3"/>
      <c r="U7" s="3"/>
      <c r="V7" s="3"/>
      <c r="W7" s="3"/>
      <c r="X7" s="3"/>
      <c r="Y7" s="2"/>
    </row>
    <row r="8" spans="1:35" ht="14.25" customHeight="1">
      <c r="A8" s="33" t="s">
        <v>20</v>
      </c>
      <c r="B8" s="74"/>
      <c r="C8" s="74"/>
      <c r="D8" s="74"/>
      <c r="E8" s="74"/>
      <c r="F8" s="74"/>
      <c r="G8" s="74"/>
      <c r="H8" s="74"/>
      <c r="I8" s="74"/>
      <c r="J8" s="126"/>
      <c r="K8" s="1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Y8" s="2"/>
    </row>
    <row r="9" spans="1:35" ht="14.25" customHeight="1">
      <c r="A9" s="15"/>
      <c r="B9" s="1" t="s">
        <v>51</v>
      </c>
      <c r="C9" s="159"/>
      <c r="D9" s="159"/>
      <c r="E9" s="159"/>
      <c r="F9" s="159"/>
      <c r="G9" s="159"/>
      <c r="H9" s="37"/>
      <c r="I9" s="14"/>
      <c r="J9" s="131"/>
      <c r="K9" s="14"/>
      <c r="L9" s="2"/>
      <c r="M9" s="14"/>
      <c r="N9" s="14"/>
      <c r="O9" s="14"/>
      <c r="P9" s="14"/>
      <c r="Q9" s="14"/>
      <c r="R9" s="14"/>
      <c r="S9" s="14"/>
      <c r="T9" s="14"/>
      <c r="U9" s="2"/>
      <c r="V9" s="2"/>
      <c r="W9" s="2"/>
      <c r="Y9" s="2"/>
    </row>
    <row r="10" spans="1:35" ht="14.25" customHeight="1">
      <c r="A10" s="15"/>
      <c r="B10" s="88" t="s">
        <v>50</v>
      </c>
      <c r="C10" s="88"/>
      <c r="D10" s="88"/>
      <c r="E10" s="88"/>
      <c r="F10" s="88"/>
      <c r="G10" s="88"/>
      <c r="H10" s="88"/>
      <c r="I10" s="88"/>
      <c r="J10" s="126"/>
      <c r="K10" s="27"/>
      <c r="L10" s="15"/>
      <c r="M10" s="15"/>
      <c r="N10" s="80"/>
      <c r="O10" s="41"/>
      <c r="P10" s="66"/>
      <c r="Q10" s="204"/>
      <c r="R10" s="205"/>
      <c r="S10" s="41"/>
      <c r="T10" s="90"/>
      <c r="U10" s="90"/>
      <c r="V10" s="90"/>
      <c r="W10" s="90"/>
      <c r="X10" s="41"/>
      <c r="Y10" s="41"/>
      <c r="Z10" s="41"/>
    </row>
    <row r="11" spans="1:35" ht="14.25" customHeight="1">
      <c r="A11" s="15"/>
      <c r="B11" s="15" t="s">
        <v>49</v>
      </c>
      <c r="C11" s="15"/>
      <c r="D11" s="15"/>
      <c r="E11" s="15"/>
      <c r="F11" s="15"/>
      <c r="G11" s="15"/>
      <c r="H11" s="15"/>
      <c r="I11" s="88"/>
      <c r="J11" s="126"/>
      <c r="K11" s="27"/>
      <c r="L11" s="15"/>
      <c r="M11" s="15"/>
      <c r="N11" s="80"/>
      <c r="O11" s="66"/>
      <c r="P11" s="91"/>
      <c r="Q11" s="89"/>
      <c r="R11" s="15"/>
      <c r="S11" s="89"/>
      <c r="W11" s="66"/>
      <c r="X11" s="90"/>
      <c r="Y11" s="90"/>
      <c r="Z11" s="90"/>
      <c r="AA11" s="15"/>
      <c r="AB11" s="15"/>
      <c r="AC11" s="15"/>
      <c r="AD11" s="15"/>
      <c r="AE11" s="15"/>
    </row>
    <row r="12" spans="1:35" ht="15" customHeight="1">
      <c r="A12" s="15"/>
      <c r="B12" s="206" t="s">
        <v>63</v>
      </c>
      <c r="C12" s="206"/>
      <c r="D12" s="206"/>
      <c r="E12" s="206"/>
      <c r="F12" s="206"/>
      <c r="G12" s="206"/>
      <c r="H12" s="15"/>
      <c r="I12" s="15"/>
      <c r="J12" s="126"/>
      <c r="K12" s="27"/>
      <c r="L12" s="15"/>
      <c r="M12" s="15"/>
      <c r="N12" s="80"/>
      <c r="O12" s="66"/>
      <c r="P12" s="91"/>
      <c r="Q12" s="90"/>
      <c r="R12" s="15"/>
      <c r="S12" s="89"/>
      <c r="W12" s="66"/>
      <c r="X12" s="90"/>
      <c r="Y12" s="78"/>
      <c r="Z12" s="90"/>
      <c r="AA12" s="14"/>
      <c r="AB12" s="15"/>
      <c r="AC12" s="15"/>
      <c r="AD12" s="15"/>
      <c r="AE12" s="15"/>
      <c r="AF12" s="15"/>
    </row>
    <row r="13" spans="1:35" ht="14.25" customHeight="1">
      <c r="A13" s="15"/>
      <c r="B13" s="15" t="s">
        <v>48</v>
      </c>
      <c r="C13" s="15"/>
      <c r="D13" s="15"/>
      <c r="E13" s="15"/>
      <c r="F13" s="15"/>
      <c r="G13" s="15"/>
      <c r="H13" s="15"/>
      <c r="I13" s="15"/>
      <c r="J13" s="131"/>
      <c r="K13" s="27"/>
      <c r="L13" s="15"/>
      <c r="M13" s="15"/>
      <c r="N13" s="80"/>
      <c r="O13" s="66"/>
      <c r="P13" s="15"/>
      <c r="Q13" s="87"/>
      <c r="R13" s="15"/>
      <c r="S13" s="78"/>
      <c r="W13" s="66"/>
      <c r="X13" s="68"/>
      <c r="Y13" s="158"/>
      <c r="Z13" s="14"/>
      <c r="AA13" s="157"/>
      <c r="AB13" s="15"/>
      <c r="AC13" s="15"/>
      <c r="AD13" s="15"/>
      <c r="AE13" s="15"/>
      <c r="AF13" s="15"/>
      <c r="AG13" s="15"/>
    </row>
    <row r="14" spans="1:35" ht="12.75">
      <c r="A14" s="15"/>
      <c r="B14" s="15" t="s">
        <v>47</v>
      </c>
      <c r="C14" s="15"/>
      <c r="D14" s="15"/>
      <c r="E14" s="15"/>
      <c r="F14" s="15"/>
      <c r="G14" s="15"/>
      <c r="H14" s="15"/>
      <c r="I14" s="15"/>
      <c r="J14" s="126"/>
      <c r="K14" s="27"/>
      <c r="L14" s="15"/>
      <c r="M14" s="15"/>
      <c r="N14" s="80"/>
      <c r="O14" s="86"/>
      <c r="P14" s="148"/>
      <c r="Q14" s="89"/>
      <c r="R14" s="15"/>
      <c r="S14" s="147"/>
      <c r="W14" s="66"/>
      <c r="X14" s="139"/>
      <c r="Y14" s="139"/>
      <c r="Z14" s="14"/>
      <c r="AA14" s="14"/>
      <c r="AB14" s="15"/>
      <c r="AC14" s="15"/>
      <c r="AD14" s="15"/>
      <c r="AE14" s="15"/>
      <c r="AF14" s="15"/>
      <c r="AG14" s="15"/>
    </row>
    <row r="15" spans="1:35" ht="12.75">
      <c r="A15" s="15"/>
      <c r="B15" s="15" t="s">
        <v>46</v>
      </c>
      <c r="C15" s="15"/>
      <c r="D15" s="15"/>
      <c r="E15" s="15"/>
      <c r="F15" s="15"/>
      <c r="G15" s="15"/>
      <c r="H15" s="15"/>
      <c r="I15" s="15"/>
      <c r="J15" s="126"/>
      <c r="K15" s="27"/>
      <c r="L15" s="14"/>
      <c r="M15" s="14"/>
      <c r="N15" s="27"/>
      <c r="O15" s="156"/>
      <c r="P15" s="139"/>
      <c r="Q15" s="68"/>
      <c r="R15" s="14"/>
      <c r="S15" s="68"/>
      <c r="T15" s="2"/>
      <c r="U15" s="2"/>
      <c r="V15" s="2"/>
      <c r="W15" s="155"/>
      <c r="X15" s="90"/>
      <c r="Y15" s="136"/>
      <c r="Z15" s="14"/>
      <c r="AA15" s="14"/>
      <c r="AB15" s="15"/>
      <c r="AC15" s="15"/>
      <c r="AD15" s="15"/>
      <c r="AE15" s="15"/>
      <c r="AF15" s="15"/>
      <c r="AG15" s="15"/>
      <c r="AI15" s="1" t="s">
        <v>62</v>
      </c>
    </row>
    <row r="16" spans="1:35" ht="12.75">
      <c r="A16" s="15"/>
      <c r="B16" s="15"/>
      <c r="C16" s="15"/>
      <c r="D16" s="15"/>
      <c r="E16" s="15"/>
      <c r="F16" s="15"/>
      <c r="G16" s="15"/>
      <c r="H16" s="15"/>
      <c r="I16" s="15"/>
      <c r="J16" s="131"/>
      <c r="K16" s="14"/>
      <c r="L16" s="2"/>
      <c r="M16" s="14"/>
      <c r="N16" s="14"/>
      <c r="O16" s="14"/>
      <c r="P16" s="14"/>
      <c r="Q16" s="14"/>
      <c r="R16" s="14"/>
      <c r="S16" s="14"/>
      <c r="T16" s="14"/>
      <c r="U16" s="2"/>
      <c r="V16" s="2"/>
      <c r="W16" s="2"/>
      <c r="X16" s="154"/>
      <c r="Y16" s="59"/>
      <c r="Z16" s="14"/>
      <c r="AA16" s="14"/>
      <c r="AB16" s="15"/>
      <c r="AC16" s="15"/>
      <c r="AD16" s="15"/>
      <c r="AE16" s="15"/>
      <c r="AF16" s="15"/>
      <c r="AG16" s="15"/>
    </row>
    <row r="17" spans="1:35" ht="12.75">
      <c r="A17" s="33" t="s">
        <v>14</v>
      </c>
      <c r="B17" s="74"/>
      <c r="C17" s="74"/>
      <c r="D17" s="74"/>
      <c r="E17" s="74"/>
      <c r="F17" s="74"/>
      <c r="G17" s="74"/>
      <c r="H17" s="74"/>
      <c r="I17" s="74"/>
      <c r="J17" s="145" t="s">
        <v>45</v>
      </c>
      <c r="K17" s="74"/>
      <c r="L17" s="3"/>
      <c r="M17" s="74"/>
      <c r="N17" s="74"/>
      <c r="O17" s="74"/>
      <c r="P17" s="74"/>
      <c r="Q17" s="74"/>
      <c r="R17" s="74"/>
      <c r="S17" s="74"/>
      <c r="T17" s="74"/>
      <c r="U17" s="3"/>
      <c r="V17" s="3"/>
      <c r="W17" s="3"/>
      <c r="X17" s="152"/>
      <c r="Y17" s="152"/>
      <c r="Z17" s="14"/>
      <c r="AA17" s="14"/>
      <c r="AB17" s="15"/>
      <c r="AC17" s="15"/>
      <c r="AD17" s="15"/>
      <c r="AE17" s="15"/>
      <c r="AF17" s="15"/>
      <c r="AG17" s="15"/>
    </row>
    <row r="18" spans="1:35" ht="14.25" customHeight="1">
      <c r="A18" s="15"/>
      <c r="B18" s="7" t="s">
        <v>44</v>
      </c>
      <c r="G18" s="15"/>
      <c r="H18" s="15"/>
      <c r="I18" s="15"/>
      <c r="J18" s="153" t="s">
        <v>56</v>
      </c>
      <c r="K18" s="38"/>
      <c r="N18" s="61"/>
      <c r="O18" s="41"/>
      <c r="P18" s="66"/>
      <c r="Q18" s="66"/>
      <c r="R18" s="144"/>
      <c r="S18" s="41"/>
      <c r="T18" s="90"/>
      <c r="U18" s="90"/>
      <c r="V18" s="90"/>
      <c r="W18" s="90"/>
      <c r="X18" s="152"/>
      <c r="Y18" s="90"/>
      <c r="Z18" s="14"/>
      <c r="AA18" s="14"/>
      <c r="AB18" s="15"/>
      <c r="AC18" s="15"/>
      <c r="AD18" s="15"/>
      <c r="AE18" s="15"/>
      <c r="AF18" s="15"/>
      <c r="AG18" s="15"/>
    </row>
    <row r="19" spans="1:35" ht="14.25" customHeight="1">
      <c r="A19" s="15"/>
      <c r="B19" s="1" t="s">
        <v>43</v>
      </c>
      <c r="C19" s="7"/>
      <c r="D19" s="7"/>
      <c r="E19" s="7"/>
      <c r="F19" s="7"/>
      <c r="G19" s="88"/>
      <c r="H19" s="88"/>
      <c r="I19" s="127"/>
      <c r="J19" s="1" t="s">
        <v>57</v>
      </c>
      <c r="K19" s="38"/>
      <c r="N19" s="61"/>
      <c r="O19" s="66"/>
      <c r="P19" s="91"/>
      <c r="Q19" s="89"/>
      <c r="R19" s="15"/>
      <c r="S19" s="89"/>
      <c r="W19" s="66"/>
      <c r="X19" s="64"/>
      <c r="Y19" s="64">
        <f>40*Y16</f>
        <v>0</v>
      </c>
      <c r="Z19" s="14"/>
      <c r="AA19" s="14"/>
      <c r="AB19" s="15"/>
      <c r="AC19" s="15"/>
      <c r="AD19" s="15"/>
      <c r="AE19" s="15"/>
      <c r="AF19" s="15"/>
      <c r="AG19" s="15"/>
    </row>
    <row r="20" spans="1:35" ht="14.25" customHeight="1">
      <c r="A20" s="15"/>
      <c r="B20" s="41" t="s">
        <v>42</v>
      </c>
      <c r="C20" s="151"/>
      <c r="D20" s="151"/>
      <c r="E20" s="151"/>
      <c r="F20" s="151"/>
      <c r="G20" s="150"/>
      <c r="H20" s="150"/>
      <c r="I20" s="149"/>
      <c r="J20" s="1" t="s">
        <v>58</v>
      </c>
      <c r="K20" s="38"/>
      <c r="N20" s="61"/>
      <c r="O20" s="66"/>
      <c r="P20" s="91"/>
      <c r="Q20" s="90"/>
      <c r="R20" s="15"/>
      <c r="S20" s="89"/>
      <c r="W20" s="66"/>
      <c r="X20" s="78"/>
      <c r="Y20" s="78"/>
      <c r="Z20" s="14"/>
      <c r="AA20" s="14"/>
      <c r="AB20" s="15"/>
      <c r="AC20" s="15"/>
      <c r="AD20" s="15"/>
      <c r="AE20" s="15"/>
      <c r="AF20" s="15"/>
      <c r="AG20" s="15"/>
      <c r="AI20" s="35"/>
    </row>
    <row r="21" spans="1:35" ht="14.25" customHeight="1">
      <c r="A21" s="15"/>
      <c r="B21" s="1" t="s">
        <v>41</v>
      </c>
      <c r="G21" s="15"/>
      <c r="H21" s="15"/>
      <c r="I21" s="129"/>
      <c r="J21" s="15" t="s">
        <v>59</v>
      </c>
      <c r="K21" s="27"/>
      <c r="L21" s="15"/>
      <c r="M21" s="15"/>
      <c r="N21" s="80"/>
      <c r="O21" s="86"/>
      <c r="P21" s="148"/>
      <c r="Q21" s="89"/>
      <c r="R21" s="15"/>
      <c r="S21" s="147"/>
      <c r="W21" s="66"/>
      <c r="X21" s="143"/>
      <c r="Y21" s="68"/>
      <c r="Z21" s="142"/>
      <c r="AA21" s="14"/>
      <c r="AB21" s="15"/>
      <c r="AC21" s="15"/>
      <c r="AD21" s="15"/>
      <c r="AE21" s="15"/>
      <c r="AF21" s="15"/>
      <c r="AG21" s="15"/>
    </row>
    <row r="22" spans="1:35" ht="14.25" customHeight="1">
      <c r="A22" s="15"/>
      <c r="B22" s="15"/>
      <c r="C22" s="15"/>
      <c r="D22" s="15"/>
      <c r="E22" s="15"/>
      <c r="F22" s="15"/>
      <c r="G22" s="15"/>
      <c r="H22" s="15"/>
      <c r="I22" s="129"/>
      <c r="J22" s="15" t="s">
        <v>60</v>
      </c>
      <c r="K22" s="27"/>
      <c r="L22" s="15"/>
      <c r="M22" s="15"/>
      <c r="N22" s="80"/>
      <c r="O22" s="86"/>
      <c r="P22" s="85"/>
      <c r="Q22" s="68"/>
      <c r="R22" s="15"/>
      <c r="S22" s="84"/>
      <c r="W22" s="69"/>
      <c r="X22" s="143"/>
      <c r="Y22" s="68"/>
      <c r="Z22" s="142"/>
      <c r="AA22" s="14"/>
      <c r="AB22" s="15"/>
      <c r="AC22" s="15"/>
      <c r="AD22" s="15"/>
      <c r="AE22" s="15"/>
      <c r="AF22" s="15"/>
      <c r="AG22" s="15"/>
    </row>
    <row r="23" spans="1:35" ht="14.25" customHeight="1">
      <c r="A23" s="15"/>
      <c r="B23" s="15"/>
      <c r="C23" s="15"/>
      <c r="D23" s="15"/>
      <c r="E23" s="15"/>
      <c r="F23" s="15"/>
      <c r="G23" s="15"/>
      <c r="H23" s="15"/>
      <c r="I23" s="129"/>
      <c r="J23" s="15" t="s">
        <v>61</v>
      </c>
      <c r="K23" s="15"/>
      <c r="L23" s="15"/>
      <c r="M23" s="15"/>
      <c r="N23" s="15"/>
      <c r="O23" s="81"/>
      <c r="P23" s="83"/>
      <c r="Q23" s="78"/>
      <c r="R23" s="15"/>
      <c r="S23" s="82"/>
      <c r="W23" s="66"/>
      <c r="X23" s="143"/>
      <c r="Y23" s="68"/>
      <c r="Z23" s="142"/>
      <c r="AA23" s="14"/>
      <c r="AB23" s="15"/>
      <c r="AC23" s="15"/>
      <c r="AD23" s="15"/>
      <c r="AE23" s="15"/>
      <c r="AF23" s="15"/>
      <c r="AG23" s="15"/>
    </row>
    <row r="24" spans="1:35" ht="14.25" customHeight="1">
      <c r="A24" s="15"/>
      <c r="B24" s="15"/>
      <c r="C24" s="15"/>
      <c r="D24" s="15"/>
      <c r="E24" s="15"/>
      <c r="F24" s="15"/>
      <c r="G24" s="15"/>
      <c r="H24" s="15"/>
      <c r="I24" s="129"/>
      <c r="J24" s="126"/>
      <c r="K24" s="27"/>
      <c r="L24" s="15"/>
      <c r="M24" s="15"/>
      <c r="N24" s="80"/>
      <c r="O24" s="79"/>
      <c r="P24" s="76"/>
      <c r="Q24" s="78"/>
      <c r="R24" s="15"/>
      <c r="S24" s="77"/>
      <c r="W24" s="66"/>
      <c r="X24" s="146"/>
      <c r="Y24" s="68"/>
      <c r="Z24" s="142"/>
      <c r="AA24" s="14"/>
      <c r="AB24" s="15"/>
      <c r="AC24" s="15"/>
      <c r="AD24" s="15"/>
      <c r="AE24" s="15"/>
      <c r="AF24" s="15"/>
      <c r="AG24" s="15"/>
    </row>
    <row r="25" spans="1:35" ht="14.25" customHeight="1">
      <c r="A25" s="15"/>
      <c r="B25" s="15"/>
      <c r="C25" s="15"/>
      <c r="D25" s="15"/>
      <c r="E25" s="15"/>
      <c r="F25" s="15"/>
      <c r="G25" s="15"/>
      <c r="H25" s="15"/>
      <c r="I25" s="129"/>
      <c r="J25" s="145" t="s">
        <v>40</v>
      </c>
      <c r="K25" s="74"/>
      <c r="L25" s="3"/>
      <c r="M25" s="74"/>
      <c r="N25" s="74"/>
      <c r="O25" s="74"/>
      <c r="P25" s="74"/>
      <c r="Q25" s="74"/>
      <c r="R25" s="74"/>
      <c r="S25" s="74"/>
      <c r="T25" s="74"/>
      <c r="U25" s="3"/>
      <c r="V25" s="3"/>
      <c r="W25" s="3"/>
      <c r="X25" s="143"/>
      <c r="Y25" s="68"/>
      <c r="Z25" s="142"/>
      <c r="AA25" s="14"/>
      <c r="AB25" s="15"/>
      <c r="AC25" s="15"/>
      <c r="AD25" s="15"/>
      <c r="AE25" s="15"/>
      <c r="AF25" s="15"/>
      <c r="AG25" s="15"/>
    </row>
    <row r="26" spans="1:35" ht="12.75">
      <c r="A26" s="15"/>
      <c r="B26" s="15"/>
      <c r="C26" s="15"/>
      <c r="D26" s="15"/>
      <c r="E26" s="15"/>
      <c r="F26" s="15"/>
      <c r="G26" s="15"/>
      <c r="H26" s="15"/>
      <c r="I26" s="129"/>
      <c r="J26" s="126"/>
      <c r="K26" s="27"/>
      <c r="L26" s="15"/>
      <c r="M26" s="15"/>
      <c r="N26" s="80"/>
      <c r="O26" s="41"/>
      <c r="P26" s="66"/>
      <c r="Q26" s="66"/>
      <c r="R26" s="66"/>
      <c r="S26" s="41"/>
      <c r="T26" s="90"/>
      <c r="U26" s="90"/>
      <c r="V26" s="90"/>
      <c r="W26" s="90"/>
      <c r="X26" s="143"/>
      <c r="Y26" s="68"/>
      <c r="Z26" s="142"/>
      <c r="AA26" s="14"/>
      <c r="AB26" s="15"/>
      <c r="AC26" s="15"/>
      <c r="AD26" s="15"/>
      <c r="AE26" s="15"/>
      <c r="AF26" s="15"/>
      <c r="AG26" s="15"/>
    </row>
    <row r="27" spans="1:35" ht="14.25" customHeight="1">
      <c r="A27" s="15"/>
      <c r="B27" s="15"/>
      <c r="C27" s="15"/>
      <c r="D27" s="15"/>
      <c r="E27" s="15"/>
      <c r="F27" s="15"/>
      <c r="G27" s="15"/>
      <c r="H27" s="15"/>
      <c r="I27" s="129"/>
      <c r="J27" s="126"/>
      <c r="K27" s="27" t="s">
        <v>13</v>
      </c>
      <c r="L27" s="15" t="s">
        <v>39</v>
      </c>
      <c r="M27" s="15"/>
      <c r="N27" s="80" t="s">
        <v>5</v>
      </c>
      <c r="O27" s="72" t="s">
        <v>80</v>
      </c>
      <c r="P27" s="180"/>
      <c r="Q27" s="72" t="s">
        <v>89</v>
      </c>
      <c r="R27" s="173"/>
      <c r="S27" s="72" t="s">
        <v>98</v>
      </c>
      <c r="T27" s="174"/>
      <c r="U27" s="72" t="s">
        <v>108</v>
      </c>
      <c r="V27" s="174"/>
      <c r="W27" s="72" t="s">
        <v>116</v>
      </c>
      <c r="X27" s="143"/>
      <c r="Y27" s="68"/>
      <c r="Z27" s="142"/>
      <c r="AA27" s="14"/>
      <c r="AB27" s="15"/>
      <c r="AC27" s="15"/>
      <c r="AD27" s="15"/>
      <c r="AE27" s="15"/>
      <c r="AF27" s="15"/>
      <c r="AG27" s="15"/>
    </row>
    <row r="28" spans="1:35" ht="14.25" customHeight="1">
      <c r="A28" s="15"/>
      <c r="B28" s="15"/>
      <c r="C28" s="15"/>
      <c r="D28" s="15"/>
      <c r="E28" s="15"/>
      <c r="F28" s="15"/>
      <c r="G28" s="15"/>
      <c r="H28" s="15"/>
      <c r="I28" s="129"/>
      <c r="J28" s="126"/>
      <c r="K28" s="27" t="s">
        <v>13</v>
      </c>
      <c r="L28" s="15" t="s">
        <v>19</v>
      </c>
      <c r="M28" s="15"/>
      <c r="N28" s="80" t="s">
        <v>5</v>
      </c>
      <c r="O28" s="147" t="s">
        <v>81</v>
      </c>
      <c r="P28" s="180"/>
      <c r="Q28" s="147" t="s">
        <v>90</v>
      </c>
      <c r="R28" s="173"/>
      <c r="S28" s="147" t="s">
        <v>99</v>
      </c>
      <c r="T28" s="173"/>
      <c r="U28" s="147" t="s">
        <v>109</v>
      </c>
      <c r="V28" s="174"/>
      <c r="W28" s="147" t="s">
        <v>117</v>
      </c>
      <c r="X28" s="143"/>
      <c r="Y28" s="68"/>
      <c r="Z28" s="142"/>
      <c r="AA28" s="14"/>
      <c r="AB28" s="15"/>
      <c r="AC28" s="15"/>
      <c r="AD28" s="15"/>
      <c r="AE28" s="15"/>
      <c r="AF28" s="15"/>
      <c r="AG28" s="15"/>
    </row>
    <row r="29" spans="1:35" ht="14.25" customHeight="1">
      <c r="A29" s="15"/>
      <c r="B29" s="15"/>
      <c r="C29" s="15"/>
      <c r="D29" s="15"/>
      <c r="E29" s="15"/>
      <c r="F29" s="15"/>
      <c r="G29" s="15"/>
      <c r="H29" s="15"/>
      <c r="I29" s="129"/>
      <c r="J29" s="126"/>
      <c r="K29" s="27" t="s">
        <v>13</v>
      </c>
      <c r="L29" s="15" t="s">
        <v>38</v>
      </c>
      <c r="M29" s="15"/>
      <c r="N29" s="80" t="s">
        <v>5</v>
      </c>
      <c r="O29" s="147" t="s">
        <v>82</v>
      </c>
      <c r="P29" s="180"/>
      <c r="Q29" s="147" t="s">
        <v>91</v>
      </c>
      <c r="R29" s="173"/>
      <c r="S29" s="147" t="s">
        <v>100</v>
      </c>
      <c r="T29" s="173"/>
      <c r="U29" s="147" t="s">
        <v>110</v>
      </c>
      <c r="V29" s="174"/>
      <c r="W29" s="147" t="s">
        <v>118</v>
      </c>
      <c r="X29" s="143"/>
      <c r="Y29" s="68"/>
      <c r="Z29" s="142"/>
      <c r="AA29" s="14"/>
      <c r="AB29" s="15"/>
      <c r="AC29" s="15"/>
      <c r="AD29" s="15"/>
      <c r="AE29" s="15"/>
      <c r="AF29" s="15"/>
      <c r="AG29" s="15"/>
    </row>
    <row r="30" spans="1:35" ht="14.25" customHeight="1">
      <c r="A30" s="15"/>
      <c r="B30" s="15"/>
      <c r="C30" s="15"/>
      <c r="D30" s="15"/>
      <c r="E30" s="15"/>
      <c r="F30" s="15"/>
      <c r="G30" s="15"/>
      <c r="H30" s="15"/>
      <c r="I30" s="129"/>
      <c r="J30" s="131"/>
      <c r="K30" s="27" t="s">
        <v>13</v>
      </c>
      <c r="L30" s="15" t="s">
        <v>18</v>
      </c>
      <c r="M30" s="15"/>
      <c r="N30" s="80" t="s">
        <v>5</v>
      </c>
      <c r="O30" s="147" t="s">
        <v>83</v>
      </c>
      <c r="P30" s="173"/>
      <c r="Q30" s="147" t="s">
        <v>92</v>
      </c>
      <c r="R30" s="173"/>
      <c r="S30" s="147" t="s">
        <v>107</v>
      </c>
      <c r="T30" s="173"/>
      <c r="U30" s="147" t="s">
        <v>101</v>
      </c>
      <c r="V30" s="174"/>
      <c r="W30" s="147" t="s">
        <v>119</v>
      </c>
      <c r="X30" s="143"/>
      <c r="Y30" s="68"/>
      <c r="Z30" s="142"/>
      <c r="AA30" s="14"/>
      <c r="AB30" s="15" t="s">
        <v>62</v>
      </c>
      <c r="AC30" s="15"/>
      <c r="AD30" s="15"/>
      <c r="AE30" s="15"/>
      <c r="AF30" s="15"/>
      <c r="AG30" s="15"/>
    </row>
    <row r="31" spans="1:35" ht="14.25" customHeight="1">
      <c r="A31" s="15"/>
      <c r="B31" s="15"/>
      <c r="C31" s="15"/>
      <c r="D31" s="15"/>
      <c r="E31" s="15"/>
      <c r="F31" s="15"/>
      <c r="G31" s="15"/>
      <c r="H31" s="15"/>
      <c r="I31" s="129"/>
      <c r="J31" s="131"/>
      <c r="K31" s="27"/>
      <c r="L31" s="15"/>
      <c r="M31" s="15"/>
      <c r="N31" s="80"/>
      <c r="O31" s="84" t="s">
        <v>84</v>
      </c>
      <c r="P31" s="182"/>
      <c r="Q31" s="84" t="s">
        <v>93</v>
      </c>
      <c r="R31" s="182"/>
      <c r="S31" s="84" t="s">
        <v>102</v>
      </c>
      <c r="T31" s="182"/>
      <c r="U31" s="84" t="s">
        <v>111</v>
      </c>
      <c r="V31" s="183"/>
      <c r="W31" s="84" t="s">
        <v>120</v>
      </c>
      <c r="X31" s="143"/>
      <c r="Y31" s="68"/>
      <c r="Z31" s="142"/>
      <c r="AA31" s="14"/>
      <c r="AB31" s="15"/>
      <c r="AC31" s="15"/>
      <c r="AD31" s="15"/>
      <c r="AE31" s="15"/>
      <c r="AF31" s="15"/>
      <c r="AG31" s="15"/>
    </row>
    <row r="32" spans="1:35" ht="15" customHeight="1">
      <c r="A32" s="141"/>
      <c r="B32" s="141"/>
      <c r="C32" s="141"/>
      <c r="D32" s="141"/>
      <c r="E32" s="141"/>
      <c r="F32" s="141"/>
      <c r="G32" s="141"/>
      <c r="H32" s="141"/>
      <c r="I32" s="140"/>
      <c r="J32" s="126"/>
      <c r="K32" s="27" t="s">
        <v>13</v>
      </c>
      <c r="L32" s="15" t="s">
        <v>17</v>
      </c>
      <c r="M32" s="15"/>
      <c r="N32" s="80" t="s">
        <v>5</v>
      </c>
      <c r="O32" s="147" t="s">
        <v>85</v>
      </c>
      <c r="P32" s="173"/>
      <c r="Q32" s="147" t="s">
        <v>94</v>
      </c>
      <c r="R32" s="173"/>
      <c r="S32" s="147" t="s">
        <v>103</v>
      </c>
      <c r="T32" s="173"/>
      <c r="U32" s="147" t="s">
        <v>112</v>
      </c>
      <c r="V32" s="174"/>
      <c r="W32" s="147" t="s">
        <v>121</v>
      </c>
      <c r="X32" s="143"/>
      <c r="Y32" s="139"/>
      <c r="Z32" s="138"/>
      <c r="AA32" s="14"/>
      <c r="AB32" s="137"/>
      <c r="AC32" s="15"/>
      <c r="AD32" s="15"/>
      <c r="AE32" s="15"/>
      <c r="AF32" s="15"/>
      <c r="AG32" s="15"/>
    </row>
    <row r="33" spans="1:35" ht="14.25" customHeight="1">
      <c r="A33" s="88" t="s">
        <v>11</v>
      </c>
      <c r="B33" s="15"/>
      <c r="C33" s="14"/>
      <c r="D33" s="14"/>
      <c r="E33" s="129"/>
      <c r="F33" s="131" t="s">
        <v>10</v>
      </c>
      <c r="G33" s="23"/>
      <c r="H33" s="23"/>
      <c r="I33" s="127"/>
      <c r="J33" s="126"/>
      <c r="K33" s="27" t="s">
        <v>13</v>
      </c>
      <c r="L33" s="15" t="s">
        <v>16</v>
      </c>
      <c r="M33" s="15"/>
      <c r="N33" s="80" t="s">
        <v>5</v>
      </c>
      <c r="O33" s="147" t="s">
        <v>86</v>
      </c>
      <c r="P33" s="181"/>
      <c r="Q33" s="147" t="s">
        <v>95</v>
      </c>
      <c r="R33" s="173"/>
      <c r="S33" s="147" t="s">
        <v>104</v>
      </c>
      <c r="T33" s="173"/>
      <c r="U33" s="147" t="s">
        <v>113</v>
      </c>
      <c r="V33" s="174"/>
      <c r="W33" s="147" t="s">
        <v>122</v>
      </c>
      <c r="X33" s="136"/>
      <c r="Y33" s="136"/>
      <c r="Z33" s="59"/>
      <c r="AA33" s="14"/>
      <c r="AB33" s="15"/>
      <c r="AC33" s="15"/>
      <c r="AD33" s="15"/>
      <c r="AE33" s="15"/>
      <c r="AF33" s="15"/>
      <c r="AG33" s="15"/>
    </row>
    <row r="34" spans="1:35" s="7" customFormat="1" ht="14.25" customHeight="1">
      <c r="A34" s="134"/>
      <c r="B34" s="49" t="s">
        <v>68</v>
      </c>
      <c r="C34" s="50"/>
      <c r="D34" s="50"/>
      <c r="E34" s="135"/>
      <c r="F34" s="134"/>
      <c r="G34" s="133" t="s">
        <v>37</v>
      </c>
      <c r="H34" s="133"/>
      <c r="I34" s="132"/>
      <c r="J34" s="131"/>
      <c r="K34" s="88"/>
      <c r="L34" s="88"/>
      <c r="M34" s="88"/>
      <c r="N34" s="88"/>
      <c r="O34" s="81" t="s">
        <v>87</v>
      </c>
      <c r="P34" s="184"/>
      <c r="Q34" s="81" t="s">
        <v>96</v>
      </c>
      <c r="R34" s="185"/>
      <c r="S34" s="81" t="s">
        <v>105</v>
      </c>
      <c r="T34" s="185"/>
      <c r="U34" s="81" t="s">
        <v>114</v>
      </c>
      <c r="V34" s="186"/>
      <c r="W34" s="81" t="s">
        <v>123</v>
      </c>
      <c r="X34" s="130"/>
      <c r="Y34" s="130"/>
      <c r="Z34" s="23"/>
      <c r="AA34" s="88"/>
      <c r="AB34" s="88"/>
      <c r="AC34" s="88"/>
      <c r="AD34" s="88"/>
      <c r="AE34" s="88"/>
      <c r="AF34" s="88"/>
      <c r="AG34" s="88"/>
    </row>
    <row r="35" spans="1:35" ht="14.25" customHeight="1">
      <c r="A35" s="88" t="s">
        <v>9</v>
      </c>
      <c r="B35" s="15"/>
      <c r="C35" s="14"/>
      <c r="D35" s="14"/>
      <c r="E35" s="129"/>
      <c r="F35" s="128" t="s">
        <v>8</v>
      </c>
      <c r="G35" s="23"/>
      <c r="H35" s="23"/>
      <c r="I35" s="127"/>
      <c r="J35" s="126"/>
      <c r="K35" s="27" t="s">
        <v>13</v>
      </c>
      <c r="L35" s="15" t="s">
        <v>15</v>
      </c>
      <c r="M35" s="15"/>
      <c r="N35" s="80" t="s">
        <v>5</v>
      </c>
      <c r="O35" s="79" t="s">
        <v>88</v>
      </c>
      <c r="P35" s="76"/>
      <c r="Q35" s="79" t="s">
        <v>97</v>
      </c>
      <c r="R35" s="119"/>
      <c r="S35" s="79" t="s">
        <v>106</v>
      </c>
      <c r="T35" s="119"/>
      <c r="U35" s="79" t="s">
        <v>115</v>
      </c>
      <c r="V35" s="35"/>
      <c r="W35" s="79" t="s">
        <v>124</v>
      </c>
      <c r="X35" s="14"/>
      <c r="Y35" s="14"/>
      <c r="Z35" s="14"/>
      <c r="AA35" s="15"/>
      <c r="AB35" s="15"/>
      <c r="AC35" s="15"/>
      <c r="AD35" s="15"/>
      <c r="AE35" s="15"/>
      <c r="AF35" s="15"/>
      <c r="AG35" s="15"/>
    </row>
    <row r="36" spans="1:35" ht="14.25" customHeight="1">
      <c r="A36" s="207" t="s">
        <v>69</v>
      </c>
      <c r="B36" s="208"/>
      <c r="C36" s="208"/>
      <c r="D36" s="208"/>
      <c r="E36" s="209"/>
      <c r="F36" s="210" t="s">
        <v>70</v>
      </c>
      <c r="G36" s="211"/>
      <c r="H36" s="211"/>
      <c r="I36" s="212"/>
      <c r="J36" s="14"/>
      <c r="K36" s="80" t="s">
        <v>13</v>
      </c>
      <c r="L36" s="15" t="s">
        <v>36</v>
      </c>
      <c r="M36" s="114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4"/>
      <c r="Y36" s="14"/>
      <c r="Z36" s="14"/>
      <c r="AA36" s="15"/>
      <c r="AB36" s="15"/>
      <c r="AC36" s="15"/>
      <c r="AD36" s="15"/>
      <c r="AE36" s="15"/>
      <c r="AF36" s="15"/>
      <c r="AG36" s="15"/>
    </row>
    <row r="37" spans="1:35" ht="15" customHeight="1">
      <c r="A37" s="33" t="s">
        <v>64</v>
      </c>
      <c r="B37" s="74"/>
      <c r="C37" s="74"/>
      <c r="D37" s="74"/>
      <c r="E37" s="74"/>
      <c r="F37" s="187"/>
      <c r="G37" s="187"/>
      <c r="H37" s="14"/>
      <c r="I37" s="14"/>
      <c r="J37" s="74"/>
      <c r="K37" s="74"/>
      <c r="L37" s="74"/>
      <c r="M37" s="74"/>
      <c r="N37" s="74"/>
      <c r="O37" s="74"/>
      <c r="P37" s="74"/>
      <c r="Q37" s="74"/>
      <c r="R37" s="33"/>
      <c r="S37" s="33"/>
      <c r="T37" s="74"/>
      <c r="U37" s="74"/>
      <c r="V37" s="74"/>
      <c r="W37" s="74"/>
      <c r="X37" s="74"/>
      <c r="Y37" s="14"/>
      <c r="Z37" s="14"/>
      <c r="AA37" s="15"/>
      <c r="AB37" s="15"/>
      <c r="AC37" s="15"/>
      <c r="AD37" s="15"/>
      <c r="AE37" s="15"/>
      <c r="AF37" s="15"/>
      <c r="AG37" s="15"/>
      <c r="AI37" s="125"/>
    </row>
    <row r="38" spans="1:35" ht="1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38"/>
      <c r="Y38" s="2"/>
    </row>
    <row r="39" spans="1:35" ht="15" customHeight="1">
      <c r="A39" s="213" t="s">
        <v>35</v>
      </c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Y39" s="2"/>
    </row>
    <row r="40" spans="1:35" ht="15" customHeight="1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Y40" s="2"/>
    </row>
    <row r="41" spans="1:35" ht="15" customHeight="1">
      <c r="A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Y41" s="2"/>
      <c r="Z41" s="38"/>
    </row>
    <row r="42" spans="1:35" ht="15" customHeight="1" thickBot="1">
      <c r="A42" s="15"/>
      <c r="E42" s="15"/>
      <c r="F42" s="114"/>
      <c r="G42" s="114"/>
      <c r="H42" s="114"/>
      <c r="I42" s="114"/>
      <c r="J42" s="193"/>
      <c r="K42" s="193"/>
      <c r="L42" s="193"/>
      <c r="M42" s="193"/>
      <c r="N42" s="193"/>
      <c r="O42" s="194"/>
      <c r="P42" s="194"/>
      <c r="Q42" s="194"/>
      <c r="R42" s="194"/>
      <c r="S42" s="195"/>
      <c r="T42" s="195"/>
      <c r="U42" s="195"/>
      <c r="V42" s="195"/>
      <c r="W42" s="195"/>
      <c r="X42" s="103"/>
      <c r="Y42" s="2"/>
      <c r="Z42" s="103"/>
      <c r="AB42" s="38"/>
    </row>
    <row r="43" spans="1:35" ht="15" customHeight="1">
      <c r="A43" s="15"/>
      <c r="B43" s="196" t="s">
        <v>2</v>
      </c>
      <c r="C43" s="197"/>
      <c r="D43" s="198"/>
      <c r="E43" s="15"/>
      <c r="F43" s="192" t="s">
        <v>137</v>
      </c>
      <c r="G43" s="192"/>
      <c r="H43" s="192"/>
      <c r="I43" s="192"/>
      <c r="J43" s="193" t="s">
        <v>125</v>
      </c>
      <c r="K43" s="193"/>
      <c r="L43" s="193"/>
      <c r="M43" s="193"/>
      <c r="N43" s="193"/>
      <c r="O43" s="194" t="s">
        <v>126</v>
      </c>
      <c r="P43" s="194"/>
      <c r="Q43" s="194"/>
      <c r="R43" s="194"/>
      <c r="S43" s="195" t="s">
        <v>127</v>
      </c>
      <c r="T43" s="195"/>
      <c r="U43" s="195"/>
      <c r="V43" s="195"/>
      <c r="W43" s="195"/>
      <c r="X43" s="103"/>
      <c r="Y43" s="2"/>
      <c r="Z43" s="103"/>
      <c r="AB43" s="38"/>
    </row>
    <row r="44" spans="1:35" ht="15" customHeight="1" thickBot="1">
      <c r="A44" s="15"/>
      <c r="B44" s="199"/>
      <c r="C44" s="200"/>
      <c r="D44" s="201"/>
      <c r="E44" s="115"/>
      <c r="F44" s="115" t="s">
        <v>138</v>
      </c>
      <c r="G44" s="176"/>
      <c r="H44" s="114"/>
      <c r="I44" s="114"/>
      <c r="J44" s="193"/>
      <c r="K44" s="193"/>
      <c r="L44" s="193"/>
      <c r="M44" s="193"/>
      <c r="N44" s="193"/>
      <c r="O44" s="194"/>
      <c r="P44" s="194"/>
      <c r="Q44" s="194"/>
      <c r="R44" s="194"/>
      <c r="S44" s="195"/>
      <c r="T44" s="195"/>
      <c r="U44" s="195"/>
      <c r="V44" s="195"/>
      <c r="W44" s="195"/>
      <c r="X44" s="103"/>
      <c r="Y44" s="2"/>
      <c r="Z44" s="103"/>
      <c r="AB44" s="38"/>
    </row>
    <row r="45" spans="1:35" ht="15" customHeight="1">
      <c r="A45" s="15"/>
      <c r="B45" s="15"/>
      <c r="C45" s="15"/>
      <c r="D45" s="89"/>
      <c r="E45" s="101"/>
      <c r="F45" s="192" t="s">
        <v>139</v>
      </c>
      <c r="G45" s="192"/>
      <c r="H45" s="192"/>
      <c r="I45" s="192"/>
      <c r="J45" s="193" t="s">
        <v>128</v>
      </c>
      <c r="K45" s="193"/>
      <c r="L45" s="193"/>
      <c r="M45" s="193"/>
      <c r="N45" s="193"/>
      <c r="O45" s="194" t="s">
        <v>131</v>
      </c>
      <c r="P45" s="194"/>
      <c r="Q45" s="194"/>
      <c r="R45" s="194"/>
      <c r="S45" s="195" t="s">
        <v>134</v>
      </c>
      <c r="T45" s="195"/>
      <c r="U45" s="195"/>
      <c r="V45" s="195"/>
      <c r="W45" s="195"/>
      <c r="X45" s="103"/>
      <c r="Y45" s="2"/>
      <c r="Z45" s="103"/>
      <c r="AB45" s="38"/>
    </row>
    <row r="46" spans="1:35" ht="15" customHeight="1">
      <c r="A46" s="15"/>
      <c r="B46" s="15"/>
      <c r="C46" s="15"/>
      <c r="D46" s="89"/>
      <c r="E46" s="15"/>
      <c r="F46" s="115" t="s">
        <v>141</v>
      </c>
      <c r="G46" s="176"/>
      <c r="H46" s="114"/>
      <c r="I46" s="114"/>
      <c r="J46" s="193"/>
      <c r="K46" s="193"/>
      <c r="L46" s="193"/>
      <c r="M46" s="193"/>
      <c r="N46" s="193"/>
      <c r="O46" s="194"/>
      <c r="P46" s="194"/>
      <c r="Q46" s="194"/>
      <c r="R46" s="194"/>
      <c r="S46" s="195"/>
      <c r="T46" s="195"/>
      <c r="U46" s="195"/>
      <c r="V46" s="195"/>
      <c r="W46" s="195"/>
      <c r="X46" s="103"/>
      <c r="Y46" s="2"/>
      <c r="Z46" s="103"/>
      <c r="AB46" s="38"/>
    </row>
    <row r="47" spans="1:35" ht="15" customHeight="1">
      <c r="A47" s="15"/>
      <c r="B47" s="15"/>
      <c r="C47" s="15"/>
      <c r="D47" s="89"/>
      <c r="E47" s="15"/>
      <c r="F47" s="192" t="s">
        <v>140</v>
      </c>
      <c r="G47" s="192"/>
      <c r="H47" s="192"/>
      <c r="I47" s="192"/>
      <c r="J47" s="193" t="s">
        <v>129</v>
      </c>
      <c r="K47" s="193"/>
      <c r="L47" s="193"/>
      <c r="M47" s="193"/>
      <c r="N47" s="193"/>
      <c r="O47" s="194" t="s">
        <v>132</v>
      </c>
      <c r="P47" s="194"/>
      <c r="Q47" s="194"/>
      <c r="R47" s="194"/>
      <c r="S47" s="195" t="s">
        <v>135</v>
      </c>
      <c r="T47" s="195"/>
      <c r="U47" s="195"/>
      <c r="V47" s="195"/>
      <c r="W47" s="195"/>
      <c r="X47" s="103"/>
      <c r="Y47" s="2"/>
      <c r="Z47" s="103"/>
      <c r="AB47" s="38"/>
    </row>
    <row r="48" spans="1:35" ht="15" customHeight="1">
      <c r="A48" s="15"/>
      <c r="B48" s="15"/>
      <c r="C48" s="15"/>
      <c r="D48" s="89"/>
      <c r="F48" s="115" t="s">
        <v>142</v>
      </c>
      <c r="G48" s="176"/>
      <c r="H48" s="114"/>
      <c r="I48" s="114"/>
      <c r="J48" s="193"/>
      <c r="K48" s="193"/>
      <c r="L48" s="193"/>
      <c r="M48" s="193"/>
      <c r="N48" s="193"/>
      <c r="O48" s="194"/>
      <c r="P48" s="194"/>
      <c r="Q48" s="194"/>
      <c r="R48" s="194"/>
      <c r="S48" s="195"/>
      <c r="T48" s="195"/>
      <c r="U48" s="195"/>
      <c r="V48" s="195"/>
      <c r="W48" s="195"/>
      <c r="X48" s="103"/>
      <c r="Y48" s="2"/>
      <c r="Z48" s="103"/>
      <c r="AB48" s="38"/>
    </row>
    <row r="49" spans="1:33" ht="15" customHeight="1">
      <c r="A49" s="15"/>
      <c r="B49" s="15"/>
      <c r="C49" s="15"/>
      <c r="D49" s="89"/>
      <c r="F49" s="192" t="s">
        <v>143</v>
      </c>
      <c r="G49" s="192"/>
      <c r="H49" s="192"/>
      <c r="I49" s="192"/>
      <c r="J49" s="193" t="s">
        <v>130</v>
      </c>
      <c r="K49" s="193"/>
      <c r="L49" s="193"/>
      <c r="M49" s="193"/>
      <c r="N49" s="193"/>
      <c r="O49" s="194" t="s">
        <v>133</v>
      </c>
      <c r="P49" s="194"/>
      <c r="Q49" s="194"/>
      <c r="R49" s="194"/>
      <c r="S49" s="195" t="s">
        <v>136</v>
      </c>
      <c r="T49" s="195"/>
      <c r="U49" s="195"/>
      <c r="V49" s="195"/>
      <c r="W49" s="195"/>
      <c r="X49" s="103"/>
      <c r="Y49" s="2"/>
      <c r="Z49" s="103"/>
      <c r="AB49" s="38"/>
    </row>
    <row r="50" spans="1:33" ht="15" customHeight="1">
      <c r="A50" s="15"/>
      <c r="B50" s="15"/>
      <c r="C50" s="15"/>
      <c r="D50" s="89"/>
      <c r="F50" s="115" t="s">
        <v>144</v>
      </c>
      <c r="G50" s="176"/>
      <c r="H50" s="114"/>
      <c r="I50" s="114"/>
      <c r="J50" s="193"/>
      <c r="K50" s="193"/>
      <c r="L50" s="193"/>
      <c r="M50" s="193"/>
      <c r="N50" s="193"/>
      <c r="O50" s="194"/>
      <c r="P50" s="194"/>
      <c r="Q50" s="194"/>
      <c r="R50" s="194"/>
      <c r="S50" s="195"/>
      <c r="T50" s="195"/>
      <c r="U50" s="195"/>
      <c r="V50" s="195"/>
      <c r="W50" s="195"/>
      <c r="X50" s="117"/>
      <c r="Y50" s="117"/>
      <c r="Z50" s="117"/>
      <c r="AA50" s="116"/>
      <c r="AB50" s="38"/>
    </row>
    <row r="51" spans="1:33" ht="15" customHeight="1">
      <c r="A51" s="15"/>
      <c r="B51" s="15"/>
      <c r="C51" s="15"/>
      <c r="D51" s="89"/>
      <c r="X51" s="123"/>
      <c r="Y51" s="117"/>
      <c r="Z51" s="117"/>
      <c r="AA51" s="116"/>
      <c r="AB51" s="38"/>
    </row>
    <row r="52" spans="1:33" ht="15" customHeight="1">
      <c r="A52" s="15"/>
      <c r="B52" s="15"/>
      <c r="C52" s="15"/>
      <c r="D52" s="89"/>
      <c r="E52" s="122" t="s">
        <v>1</v>
      </c>
      <c r="F52" s="33"/>
      <c r="G52" s="33"/>
      <c r="H52" s="33"/>
      <c r="I52" s="33"/>
      <c r="J52" s="214" t="s">
        <v>145</v>
      </c>
      <c r="K52" s="214"/>
      <c r="L52" s="214"/>
      <c r="M52" s="214"/>
      <c r="N52" s="214"/>
      <c r="O52" s="33"/>
      <c r="P52" s="121"/>
      <c r="Q52" s="121"/>
      <c r="R52" s="120"/>
      <c r="S52" s="215" t="s">
        <v>146</v>
      </c>
      <c r="T52" s="215"/>
      <c r="U52" s="215"/>
      <c r="V52" s="215"/>
      <c r="W52" s="215"/>
      <c r="X52" s="108"/>
      <c r="Y52" s="117"/>
      <c r="Z52" s="117"/>
      <c r="AA52" s="116"/>
      <c r="AB52" s="27"/>
      <c r="AC52" s="15"/>
      <c r="AD52" s="15"/>
      <c r="AE52" s="15"/>
      <c r="AF52" s="15"/>
      <c r="AG52" s="15"/>
    </row>
    <row r="53" spans="1:33" ht="15" customHeight="1">
      <c r="A53" s="15"/>
      <c r="B53" s="15"/>
      <c r="C53" s="15"/>
      <c r="D53" s="89"/>
      <c r="X53" s="117"/>
      <c r="Y53" s="117"/>
      <c r="Z53" s="117"/>
      <c r="AA53" s="116"/>
      <c r="AB53" s="38"/>
    </row>
    <row r="54" spans="1:33" ht="15" customHeight="1">
      <c r="A54" s="15"/>
      <c r="B54" s="15"/>
      <c r="C54" s="15"/>
      <c r="D54" s="89"/>
      <c r="E54" s="15"/>
      <c r="F54" s="15"/>
      <c r="G54" s="15"/>
      <c r="H54" s="15"/>
      <c r="I54" s="15"/>
      <c r="J54" s="193"/>
      <c r="K54" s="193"/>
      <c r="L54" s="193"/>
      <c r="M54" s="193"/>
      <c r="N54" s="193"/>
      <c r="O54" s="194"/>
      <c r="P54" s="194"/>
      <c r="Q54" s="194"/>
      <c r="R54" s="194"/>
      <c r="S54" s="195"/>
      <c r="T54" s="195"/>
      <c r="U54" s="195"/>
      <c r="V54" s="195"/>
      <c r="W54" s="195"/>
      <c r="X54" s="117"/>
      <c r="Y54" s="117"/>
      <c r="Z54" s="117"/>
      <c r="AA54" s="116"/>
      <c r="AB54" s="38"/>
    </row>
    <row r="55" spans="1:33" ht="15" customHeight="1">
      <c r="A55" s="15"/>
      <c r="B55" s="15"/>
      <c r="C55" s="15"/>
      <c r="D55" s="89"/>
      <c r="E55" s="101"/>
      <c r="I55" s="15"/>
      <c r="J55" s="119"/>
      <c r="K55" s="119"/>
      <c r="L55" s="119"/>
      <c r="M55" s="119"/>
      <c r="N55" s="119"/>
      <c r="O55" s="118"/>
      <c r="P55" s="118"/>
      <c r="Q55" s="118"/>
      <c r="R55" s="118"/>
      <c r="S55" s="116"/>
      <c r="T55" s="116"/>
      <c r="U55" s="116"/>
      <c r="V55" s="116"/>
      <c r="W55" s="116"/>
      <c r="X55" s="117"/>
      <c r="Y55" s="117"/>
      <c r="Z55" s="117"/>
      <c r="AA55" s="116"/>
      <c r="AB55" s="38"/>
    </row>
    <row r="56" spans="1:33" ht="15" customHeight="1">
      <c r="A56" s="15"/>
      <c r="B56" s="15"/>
      <c r="C56" s="15"/>
      <c r="D56" s="89"/>
      <c r="E56" s="115"/>
      <c r="F56" s="114"/>
      <c r="G56" s="114"/>
      <c r="H56" s="114"/>
      <c r="I56" s="114"/>
      <c r="J56" s="193"/>
      <c r="K56" s="193"/>
      <c r="L56" s="193"/>
      <c r="M56" s="193"/>
      <c r="N56" s="193"/>
      <c r="O56" s="194"/>
      <c r="P56" s="194"/>
      <c r="Q56" s="194"/>
      <c r="R56" s="194"/>
      <c r="S56" s="195"/>
      <c r="T56" s="195"/>
      <c r="U56" s="195"/>
      <c r="V56" s="195"/>
      <c r="W56" s="195"/>
      <c r="X56" s="103"/>
      <c r="Y56" s="2"/>
      <c r="Z56" s="103"/>
      <c r="AB56" s="38"/>
    </row>
    <row r="57" spans="1:33" ht="15" customHeight="1">
      <c r="A57" s="15"/>
      <c r="B57" s="73"/>
      <c r="C57" s="15"/>
      <c r="D57" s="14"/>
      <c r="X57" s="1"/>
      <c r="Y57" s="2"/>
      <c r="Z57" s="103"/>
    </row>
    <row r="58" spans="1:33" ht="15" customHeight="1">
      <c r="A58" s="73" t="s">
        <v>34</v>
      </c>
      <c r="B58" s="73"/>
      <c r="C58" s="15"/>
      <c r="D58" s="14"/>
      <c r="E58" s="112"/>
      <c r="F58" s="14"/>
      <c r="G58" s="14"/>
      <c r="H58" s="14"/>
      <c r="I58" s="14"/>
      <c r="J58" s="111"/>
      <c r="K58" s="111"/>
      <c r="L58" s="111"/>
      <c r="M58" s="111"/>
      <c r="N58" s="111"/>
      <c r="O58" s="14"/>
      <c r="P58" s="110"/>
      <c r="Q58" s="110"/>
      <c r="R58" s="109"/>
      <c r="S58" s="108"/>
      <c r="T58" s="108"/>
      <c r="U58" s="113"/>
      <c r="V58" s="108"/>
      <c r="W58" s="108"/>
      <c r="X58" s="103"/>
      <c r="Y58" s="2"/>
      <c r="Z58" s="103"/>
    </row>
    <row r="59" spans="1:33" ht="15" customHeight="1">
      <c r="A59" s="73" t="s">
        <v>33</v>
      </c>
      <c r="B59" s="73"/>
      <c r="C59" s="15"/>
      <c r="D59" s="14"/>
      <c r="E59" s="112"/>
      <c r="F59" s="14"/>
      <c r="G59" s="14"/>
      <c r="H59" s="14"/>
      <c r="I59" s="14"/>
      <c r="J59" s="111"/>
      <c r="K59" s="111"/>
      <c r="L59" s="111"/>
      <c r="M59" s="111"/>
      <c r="N59" s="111"/>
      <c r="O59" s="14"/>
      <c r="P59" s="110"/>
      <c r="Q59" s="110"/>
      <c r="R59" s="109"/>
      <c r="S59" s="108"/>
      <c r="T59" s="108"/>
      <c r="U59" s="113"/>
      <c r="V59" s="108"/>
      <c r="W59" s="108"/>
      <c r="X59" s="103"/>
      <c r="Y59" s="2"/>
      <c r="Z59" s="103"/>
    </row>
    <row r="60" spans="1:33" ht="15" customHeight="1">
      <c r="A60" s="73"/>
      <c r="B60" s="73"/>
      <c r="C60" s="15"/>
      <c r="D60" s="14"/>
      <c r="E60" s="112"/>
      <c r="F60" s="14"/>
      <c r="G60" s="14"/>
      <c r="H60" s="14"/>
      <c r="I60" s="14"/>
      <c r="J60" s="161"/>
      <c r="K60" s="161"/>
      <c r="L60" s="161"/>
      <c r="M60" s="161"/>
      <c r="N60" s="161"/>
      <c r="O60" s="14"/>
      <c r="P60" s="110"/>
      <c r="Q60" s="110"/>
      <c r="R60" s="109"/>
      <c r="S60" s="108"/>
      <c r="T60" s="108"/>
      <c r="U60" s="113"/>
      <c r="V60" s="108"/>
      <c r="W60" s="108"/>
      <c r="X60" s="103"/>
      <c r="Y60" s="2"/>
      <c r="Z60" s="103"/>
    </row>
    <row r="61" spans="1:33" ht="15" customHeight="1">
      <c r="A61" s="73"/>
      <c r="B61" s="73"/>
      <c r="C61" s="15"/>
      <c r="D61" s="14"/>
      <c r="E61" s="112"/>
      <c r="F61" s="14"/>
      <c r="G61" s="14"/>
      <c r="H61" s="14"/>
      <c r="I61" s="14"/>
      <c r="J61" s="161"/>
      <c r="K61" s="161"/>
      <c r="L61" s="161"/>
      <c r="M61" s="161"/>
      <c r="N61" s="161"/>
      <c r="O61" s="14"/>
      <c r="P61" s="110"/>
      <c r="Q61" s="110"/>
      <c r="R61" s="109"/>
      <c r="S61" s="108"/>
      <c r="T61" s="108"/>
      <c r="U61" s="113"/>
      <c r="V61" s="108"/>
      <c r="W61" s="108"/>
      <c r="X61" s="103"/>
      <c r="Y61" s="2"/>
      <c r="Z61" s="103"/>
    </row>
    <row r="62" spans="1:33" ht="15" customHeight="1">
      <c r="A62" s="73"/>
      <c r="B62" s="73"/>
      <c r="C62" s="15"/>
      <c r="D62" s="14"/>
      <c r="E62" s="112"/>
      <c r="F62" s="14"/>
      <c r="G62" s="14"/>
      <c r="H62" s="14"/>
      <c r="I62" s="14"/>
      <c r="J62" s="161"/>
      <c r="K62" s="161"/>
      <c r="L62" s="161"/>
      <c r="M62" s="161"/>
      <c r="N62" s="161"/>
      <c r="O62" s="14"/>
      <c r="P62" s="110"/>
      <c r="Q62" s="110"/>
      <c r="R62" s="109"/>
      <c r="S62" s="108"/>
      <c r="T62" s="108"/>
      <c r="U62" s="113"/>
      <c r="V62" s="108"/>
      <c r="W62" s="108"/>
      <c r="X62" s="103"/>
      <c r="Y62" s="2"/>
      <c r="Z62" s="103"/>
    </row>
    <row r="63" spans="1:33" ht="15" customHeight="1">
      <c r="A63" s="73"/>
      <c r="B63" s="73"/>
      <c r="C63" s="15"/>
      <c r="D63" s="14"/>
      <c r="E63" s="112"/>
      <c r="F63" s="14"/>
      <c r="G63" s="14"/>
      <c r="H63" s="14"/>
      <c r="I63" s="14"/>
      <c r="J63" s="111"/>
      <c r="K63" s="111"/>
      <c r="L63" s="111"/>
      <c r="M63" s="111"/>
      <c r="N63" s="111"/>
      <c r="O63" s="14"/>
      <c r="P63" s="110"/>
      <c r="Q63" s="110"/>
      <c r="R63" s="109"/>
      <c r="S63" s="108"/>
      <c r="T63" s="108"/>
      <c r="U63" s="108"/>
      <c r="V63" s="108"/>
      <c r="W63" s="108"/>
      <c r="X63" s="103"/>
      <c r="Y63" s="2"/>
      <c r="Z63" s="103"/>
    </row>
    <row r="64" spans="1:33" ht="15" customHeight="1">
      <c r="A64" s="94"/>
      <c r="B64" s="94"/>
      <c r="D64" s="2"/>
      <c r="E64" s="105"/>
      <c r="F64" s="2"/>
      <c r="G64" s="2"/>
      <c r="H64" s="2"/>
      <c r="I64" s="2"/>
      <c r="J64" s="104"/>
      <c r="K64" s="104"/>
      <c r="L64" s="104"/>
      <c r="M64" s="104"/>
      <c r="N64" s="104"/>
      <c r="O64" s="2"/>
      <c r="P64" s="107"/>
      <c r="Q64" s="107"/>
      <c r="R64" s="106"/>
      <c r="S64" s="103"/>
      <c r="T64" s="103"/>
      <c r="U64" s="103"/>
      <c r="V64" s="103"/>
      <c r="W64" s="103"/>
      <c r="X64" s="103"/>
      <c r="Y64" s="2"/>
      <c r="Z64" s="103"/>
    </row>
    <row r="65" spans="1:32" ht="15" customHeight="1">
      <c r="A65" s="94"/>
      <c r="B65" s="94"/>
      <c r="D65" s="2"/>
      <c r="E65" s="105"/>
      <c r="F65" s="2"/>
      <c r="G65" s="2"/>
      <c r="H65" s="2"/>
      <c r="I65" s="2"/>
      <c r="J65" s="104"/>
      <c r="K65" s="104"/>
      <c r="L65" s="104"/>
      <c r="M65" s="104"/>
      <c r="N65" s="104"/>
      <c r="O65" s="2"/>
      <c r="P65" s="107"/>
      <c r="Q65" s="107"/>
      <c r="R65" s="106"/>
      <c r="S65" s="103"/>
      <c r="T65" s="103"/>
      <c r="U65" s="103"/>
      <c r="V65" s="103"/>
      <c r="W65" s="103"/>
      <c r="X65" s="103"/>
      <c r="Y65" s="2"/>
      <c r="Z65" s="103"/>
    </row>
    <row r="66" spans="1:32" ht="15" customHeight="1">
      <c r="A66" s="94"/>
      <c r="B66" s="94"/>
      <c r="D66" s="2"/>
      <c r="E66" s="105"/>
      <c r="F66" s="2"/>
      <c r="G66" s="2"/>
      <c r="H66" s="2"/>
      <c r="I66" s="2"/>
      <c r="J66" s="104"/>
      <c r="K66" s="104"/>
      <c r="L66" s="104"/>
      <c r="M66" s="104"/>
      <c r="N66" s="104"/>
      <c r="O66" s="2"/>
      <c r="P66" s="107"/>
      <c r="Q66" s="107"/>
      <c r="R66" s="106"/>
      <c r="S66" s="103"/>
      <c r="T66" s="103"/>
      <c r="U66" s="103"/>
      <c r="V66" s="103"/>
      <c r="W66" s="103"/>
      <c r="X66" s="103"/>
      <c r="Y66" s="2"/>
      <c r="Z66" s="103"/>
    </row>
    <row r="67" spans="1:32" ht="15" customHeight="1">
      <c r="A67" s="94"/>
      <c r="B67" s="94"/>
      <c r="D67" s="2"/>
      <c r="E67" s="105"/>
      <c r="F67" s="2"/>
      <c r="G67" s="2"/>
      <c r="H67" s="2"/>
      <c r="I67" s="2"/>
      <c r="J67" s="104"/>
      <c r="K67" s="104"/>
      <c r="L67" s="104"/>
      <c r="M67" s="104"/>
      <c r="N67" s="104"/>
      <c r="O67" s="2"/>
      <c r="P67" s="107"/>
      <c r="Q67" s="107"/>
      <c r="R67" s="106"/>
      <c r="S67" s="103"/>
      <c r="T67" s="103"/>
      <c r="U67" s="103"/>
      <c r="V67" s="103"/>
      <c r="W67" s="103"/>
      <c r="X67" s="103"/>
      <c r="Y67" s="2"/>
      <c r="Z67" s="103"/>
    </row>
    <row r="68" spans="1:32" ht="15" customHeight="1">
      <c r="A68" s="94"/>
      <c r="B68" s="94"/>
      <c r="D68" s="2"/>
      <c r="E68" s="105"/>
      <c r="F68" s="2"/>
      <c r="G68" s="2"/>
      <c r="H68" s="2"/>
      <c r="I68" s="2"/>
      <c r="J68" s="104"/>
      <c r="K68" s="104"/>
      <c r="L68" s="104"/>
      <c r="M68" s="104"/>
      <c r="N68" s="104"/>
      <c r="O68" s="2"/>
      <c r="P68" s="107"/>
      <c r="Q68" s="107"/>
      <c r="R68" s="106"/>
      <c r="S68" s="103"/>
      <c r="T68" s="103"/>
      <c r="U68" s="103"/>
      <c r="V68" s="103"/>
      <c r="W68" s="103"/>
      <c r="X68" s="103"/>
      <c r="Y68" s="2"/>
      <c r="Z68" s="103"/>
    </row>
    <row r="69" spans="1:32" ht="15" customHeight="1">
      <c r="A69" s="94"/>
      <c r="B69" s="94"/>
      <c r="D69" s="2"/>
      <c r="E69" s="105"/>
      <c r="F69" s="2"/>
      <c r="G69" s="2"/>
      <c r="H69" s="2"/>
      <c r="I69" s="2"/>
      <c r="J69" s="104"/>
      <c r="K69" s="104"/>
      <c r="L69" s="104"/>
      <c r="N69" s="6" t="s">
        <v>32</v>
      </c>
      <c r="O69" s="6"/>
      <c r="Q69" s="5"/>
      <c r="R69" s="5"/>
      <c r="S69" s="5"/>
      <c r="T69" s="5"/>
      <c r="U69" s="5"/>
      <c r="V69" s="5"/>
      <c r="W69" s="5"/>
      <c r="X69" s="103"/>
      <c r="Y69" s="2"/>
      <c r="Z69" s="103"/>
    </row>
    <row r="70" spans="1:32" ht="15" customHeight="1">
      <c r="A70" s="37"/>
      <c r="B70" s="94" t="s">
        <v>31</v>
      </c>
      <c r="C70" s="2"/>
      <c r="D70" s="37"/>
      <c r="E70" s="101"/>
      <c r="F70" s="4"/>
      <c r="G70" s="37"/>
      <c r="H70" s="37"/>
      <c r="I70" s="37"/>
      <c r="J70" s="37"/>
      <c r="K70" s="37"/>
      <c r="L70" s="37"/>
      <c r="M70" s="37"/>
      <c r="N70" s="2"/>
      <c r="O70" s="2"/>
      <c r="P70" s="3"/>
      <c r="Q70" s="2"/>
      <c r="R70" s="2"/>
      <c r="S70" s="37"/>
      <c r="T70" s="37"/>
      <c r="U70" s="37"/>
      <c r="V70" s="37"/>
      <c r="W70" s="3"/>
      <c r="X70" s="3"/>
      <c r="Y70" s="3"/>
      <c r="AA70" s="2"/>
      <c r="AB70" s="2"/>
      <c r="AC70" s="2"/>
      <c r="AD70" s="37"/>
      <c r="AE70" s="37"/>
    </row>
    <row r="71" spans="1:32" ht="15" customHeight="1">
      <c r="A71" s="37"/>
      <c r="B71" s="94"/>
      <c r="C71" s="2"/>
      <c r="D71" s="37"/>
      <c r="E71" s="178" t="s">
        <v>65</v>
      </c>
      <c r="F71" s="4"/>
      <c r="G71" s="37"/>
      <c r="H71" s="37"/>
      <c r="I71" s="37"/>
      <c r="J71" s="37"/>
      <c r="K71" s="37"/>
      <c r="L71" s="37"/>
      <c r="M71" s="37"/>
      <c r="N71" s="2"/>
      <c r="O71" s="2"/>
      <c r="P71" s="2"/>
      <c r="Q71" s="2"/>
      <c r="R71" s="2"/>
      <c r="S71" s="37"/>
      <c r="T71" s="37"/>
      <c r="U71" s="37"/>
      <c r="V71" s="37"/>
      <c r="W71" s="2"/>
      <c r="Y71" s="2"/>
      <c r="AA71" s="2"/>
      <c r="AB71" s="2"/>
      <c r="AC71" s="2"/>
      <c r="AD71" s="37"/>
      <c r="AE71" s="37"/>
    </row>
    <row r="72" spans="1:32" ht="15" customHeight="1">
      <c r="A72" s="6"/>
      <c r="B72" s="101"/>
      <c r="C72" s="37"/>
      <c r="D72" s="2"/>
      <c r="E72" s="177" t="s">
        <v>66</v>
      </c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102"/>
      <c r="R72" s="37"/>
      <c r="S72" s="37"/>
      <c r="T72" s="37"/>
      <c r="U72" s="37"/>
      <c r="V72" s="37"/>
      <c r="W72" s="37"/>
      <c r="X72" s="37"/>
      <c r="Y72" s="101"/>
      <c r="AA72" s="2"/>
      <c r="AB72" s="2"/>
      <c r="AC72" s="2"/>
      <c r="AD72" s="37"/>
      <c r="AE72" s="37"/>
    </row>
    <row r="73" spans="1:32" ht="15" customHeight="1">
      <c r="A73" s="6"/>
      <c r="B73" s="101"/>
      <c r="C73" s="37"/>
      <c r="D73" s="2"/>
      <c r="E73" s="179" t="s">
        <v>67</v>
      </c>
      <c r="Q73" s="100"/>
      <c r="Y73" s="101" t="s">
        <v>30</v>
      </c>
      <c r="AA73" s="2"/>
      <c r="AB73" s="2"/>
      <c r="AC73" s="2"/>
    </row>
    <row r="74" spans="1:32" ht="15" customHeight="1">
      <c r="E74" s="176"/>
      <c r="Y74" s="2"/>
      <c r="AA74" s="2"/>
      <c r="AB74" s="2"/>
      <c r="AC74" s="2"/>
      <c r="AD74" s="2"/>
      <c r="AE74" s="2"/>
      <c r="AF74" s="2"/>
    </row>
    <row r="75" spans="1:32" ht="15" customHeight="1">
      <c r="A75" s="6"/>
      <c r="B75" s="2"/>
      <c r="C75" s="2"/>
      <c r="D75" s="2"/>
      <c r="Y75" s="2"/>
      <c r="AA75" s="2"/>
      <c r="AB75" s="2"/>
      <c r="AC75" s="2"/>
      <c r="AD75" s="2"/>
      <c r="AE75" s="2"/>
      <c r="AF75" s="2"/>
    </row>
    <row r="76" spans="1:32" ht="15" customHeight="1">
      <c r="A76" s="6"/>
      <c r="B76" s="2"/>
      <c r="C76" s="2"/>
      <c r="D76" s="2"/>
      <c r="E76" s="2"/>
      <c r="P76" s="2"/>
      <c r="Y76" s="2"/>
      <c r="AA76" s="2"/>
      <c r="AB76" s="2"/>
      <c r="AC76" s="2"/>
      <c r="AD76" s="2"/>
      <c r="AE76" s="2"/>
      <c r="AF76" s="2"/>
    </row>
    <row r="77" spans="1:32" ht="34.5" customHeight="1">
      <c r="A77" s="202" t="s">
        <v>29</v>
      </c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99"/>
      <c r="AA77" s="2"/>
      <c r="AB77" s="2"/>
      <c r="AC77" s="2"/>
      <c r="AD77" s="2"/>
      <c r="AE77" s="2"/>
      <c r="AF77" s="2"/>
    </row>
    <row r="78" spans="1:32" ht="14.25" customHeight="1">
      <c r="A78" s="6" t="s">
        <v>28</v>
      </c>
      <c r="B78" s="2"/>
      <c r="C78" s="2"/>
      <c r="D78" s="2"/>
      <c r="E78" s="2"/>
      <c r="F78" s="2"/>
      <c r="G78" s="2"/>
      <c r="H78" s="2"/>
      <c r="I78" s="46"/>
      <c r="J78" s="6" t="s">
        <v>27</v>
      </c>
      <c r="K78" s="6"/>
      <c r="L78" s="6"/>
      <c r="M78" s="98"/>
      <c r="N78" s="98"/>
      <c r="O78" s="98"/>
      <c r="P78" s="98"/>
      <c r="Q78" s="98"/>
      <c r="R78" s="6"/>
      <c r="S78" s="6"/>
      <c r="Y78" s="2"/>
      <c r="AA78" s="2"/>
      <c r="AB78" s="2"/>
      <c r="AC78" s="2"/>
      <c r="AD78" s="2"/>
      <c r="AE78" s="2"/>
      <c r="AF78" s="2"/>
    </row>
    <row r="79" spans="1:32" ht="14.25" customHeight="1">
      <c r="B79" s="7" t="s">
        <v>26</v>
      </c>
      <c r="I79" s="46"/>
      <c r="J79" s="97"/>
      <c r="K79" s="162" t="s">
        <v>71</v>
      </c>
      <c r="L79" s="166"/>
      <c r="M79" s="166"/>
      <c r="N79" s="134"/>
      <c r="O79" s="167"/>
      <c r="P79" s="134"/>
      <c r="Q79" s="134"/>
      <c r="R79" s="134"/>
      <c r="S79" s="134"/>
      <c r="T79" s="134"/>
      <c r="U79" s="134"/>
      <c r="V79" s="134"/>
      <c r="W79" s="203" t="s">
        <v>72</v>
      </c>
      <c r="X79" s="203"/>
      <c r="Y79" s="2"/>
      <c r="AA79" s="2"/>
      <c r="AB79" s="2"/>
      <c r="AC79" s="2"/>
      <c r="AD79" s="2"/>
      <c r="AE79" s="2"/>
      <c r="AF79" s="2"/>
    </row>
    <row r="80" spans="1:32" ht="14.25" customHeight="1">
      <c r="B80" s="1" t="s">
        <v>25</v>
      </c>
      <c r="I80" s="46"/>
      <c r="J80" s="2"/>
      <c r="K80" s="41"/>
      <c r="L80" s="38"/>
      <c r="M80" s="38"/>
      <c r="N80" s="2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AA80" s="2"/>
      <c r="AB80" s="2"/>
      <c r="AC80" s="2"/>
      <c r="AD80" s="2"/>
      <c r="AE80" s="2"/>
      <c r="AF80" s="2"/>
    </row>
    <row r="81" spans="1:32" ht="14.25" customHeight="1">
      <c r="B81" s="1" t="s">
        <v>24</v>
      </c>
      <c r="I81" s="46"/>
      <c r="J81" s="6" t="s">
        <v>23</v>
      </c>
      <c r="K81" s="6"/>
      <c r="L81" s="6"/>
      <c r="M81" s="6"/>
      <c r="N81" s="6"/>
      <c r="O81" s="23"/>
      <c r="P81" s="88"/>
      <c r="Q81" s="23"/>
      <c r="R81" s="23"/>
      <c r="S81" s="23"/>
      <c r="T81" s="14"/>
      <c r="U81" s="14"/>
      <c r="V81" s="14"/>
      <c r="W81" s="14"/>
      <c r="X81" s="14"/>
      <c r="Y81" s="14"/>
      <c r="AA81" s="2"/>
      <c r="AB81" s="2"/>
      <c r="AC81" s="2"/>
      <c r="AD81" s="2"/>
      <c r="AE81" s="2"/>
      <c r="AF81" s="2"/>
    </row>
    <row r="82" spans="1:32" ht="14.25" customHeight="1">
      <c r="B82" s="1" t="s">
        <v>22</v>
      </c>
      <c r="I82" s="46"/>
      <c r="J82" s="6"/>
      <c r="K82" s="6"/>
      <c r="L82" s="6"/>
      <c r="M82" s="6"/>
      <c r="N82" s="6"/>
      <c r="O82" s="23"/>
      <c r="P82" s="88"/>
      <c r="Q82" s="23"/>
      <c r="R82" s="23"/>
      <c r="S82" s="23"/>
      <c r="T82" s="14"/>
      <c r="U82" s="14"/>
      <c r="V82" s="14"/>
      <c r="W82" s="14"/>
      <c r="X82" s="14"/>
      <c r="Y82" s="14"/>
      <c r="AA82" s="2"/>
      <c r="AB82" s="2"/>
      <c r="AC82" s="2"/>
      <c r="AD82" s="2"/>
      <c r="AE82" s="2"/>
      <c r="AF82" s="2"/>
    </row>
    <row r="83" spans="1:32" ht="14.25" customHeight="1">
      <c r="B83" s="5" t="s">
        <v>21</v>
      </c>
      <c r="C83" s="5"/>
      <c r="D83" s="5"/>
      <c r="E83" s="5"/>
      <c r="I83" s="46"/>
      <c r="J83" s="6"/>
      <c r="K83" s="38"/>
      <c r="L83" s="2"/>
      <c r="M83" s="2"/>
      <c r="N83" s="38"/>
      <c r="O83" s="73"/>
      <c r="P83" s="62"/>
      <c r="Q83" s="73"/>
      <c r="R83" s="14"/>
      <c r="S83" s="73"/>
      <c r="T83" s="14"/>
      <c r="U83" s="73"/>
      <c r="V83" s="73"/>
      <c r="W83" s="73"/>
      <c r="X83" s="73"/>
      <c r="Y83" s="14"/>
      <c r="Z83" s="94"/>
      <c r="AA83" s="2"/>
      <c r="AB83" s="2"/>
      <c r="AC83" s="2"/>
      <c r="AD83" s="2"/>
      <c r="AE83" s="2"/>
      <c r="AF83" s="2"/>
    </row>
    <row r="84" spans="1:32" ht="15" customHeight="1">
      <c r="A84" s="39" t="s">
        <v>20</v>
      </c>
      <c r="B84" s="3"/>
      <c r="C84" s="3"/>
      <c r="D84" s="3"/>
      <c r="E84" s="3"/>
      <c r="F84" s="3"/>
      <c r="G84" s="3"/>
      <c r="H84" s="3"/>
      <c r="I84" s="57"/>
      <c r="J84" s="2"/>
      <c r="K84" s="38"/>
      <c r="L84" s="2"/>
      <c r="M84" s="2"/>
      <c r="N84" s="38"/>
      <c r="O84" s="93"/>
      <c r="P84" s="62"/>
      <c r="Q84" s="92"/>
      <c r="R84" s="66"/>
      <c r="S84" s="92"/>
      <c r="T84" s="66"/>
      <c r="V84" s="66"/>
      <c r="W84" s="92"/>
      <c r="X84" s="15"/>
      <c r="Y84" s="14"/>
      <c r="AA84" s="2"/>
      <c r="AB84" s="2"/>
      <c r="AC84" s="2"/>
      <c r="AD84" s="2"/>
      <c r="AE84" s="2"/>
      <c r="AF84" s="2"/>
    </row>
    <row r="85" spans="1:32" ht="14.25" customHeight="1">
      <c r="A85" s="15"/>
      <c r="B85" s="15" t="str">
        <f t="shared" ref="B85:B91" si="0">B9</f>
        <v xml:space="preserve">ATTN : Luis-Gustavo Moreno </v>
      </c>
      <c r="C85" s="15"/>
      <c r="D85" s="15"/>
      <c r="E85" s="15"/>
      <c r="F85" s="15"/>
      <c r="I85" s="46"/>
      <c r="J85" s="2"/>
      <c r="K85" s="27" t="s">
        <v>13</v>
      </c>
      <c r="L85" s="15" t="s">
        <v>19</v>
      </c>
      <c r="M85" s="15"/>
      <c r="N85" s="80" t="s">
        <v>5</v>
      </c>
      <c r="O85" s="171" t="s">
        <v>81</v>
      </c>
      <c r="P85" s="91"/>
      <c r="Q85" s="228" t="s">
        <v>90</v>
      </c>
      <c r="R85" s="229"/>
      <c r="S85" s="228" t="s">
        <v>99</v>
      </c>
      <c r="T85" s="229"/>
      <c r="U85" s="228" t="s">
        <v>109</v>
      </c>
      <c r="V85" s="189"/>
      <c r="W85" s="228" t="s">
        <v>117</v>
      </c>
      <c r="X85" s="1"/>
      <c r="Y85" s="14"/>
      <c r="AA85" s="2"/>
      <c r="AB85" s="2"/>
      <c r="AC85" s="2"/>
      <c r="AD85" s="2"/>
      <c r="AE85" s="2"/>
      <c r="AF85" s="2"/>
    </row>
    <row r="86" spans="1:32" ht="13.5" customHeight="1">
      <c r="A86" s="15"/>
      <c r="B86" s="88" t="str">
        <f t="shared" si="0"/>
        <v>AUTOLIV SAFETY TECHNOLOGY(AST)</v>
      </c>
      <c r="C86" s="15"/>
      <c r="D86" s="15"/>
      <c r="E86" s="15"/>
      <c r="F86" s="15"/>
      <c r="I86" s="46"/>
      <c r="J86" s="6"/>
      <c r="K86" s="27" t="s">
        <v>13</v>
      </c>
      <c r="L86" s="15" t="s">
        <v>18</v>
      </c>
      <c r="M86" s="15"/>
      <c r="N86" s="80" t="s">
        <v>5</v>
      </c>
      <c r="O86" s="168" t="s">
        <v>83</v>
      </c>
      <c r="P86" s="15"/>
      <c r="Q86" s="230" t="s">
        <v>92</v>
      </c>
      <c r="R86" s="229"/>
      <c r="S86" s="230" t="s">
        <v>107</v>
      </c>
      <c r="T86" s="229"/>
      <c r="U86" s="230" t="s">
        <v>101</v>
      </c>
      <c r="V86" s="189"/>
      <c r="W86" s="230" t="s">
        <v>119</v>
      </c>
      <c r="X86" s="1"/>
      <c r="Y86" s="14"/>
      <c r="AA86" s="2"/>
      <c r="AB86" s="2"/>
      <c r="AC86" s="2"/>
      <c r="AD86" s="2"/>
      <c r="AE86" s="2"/>
      <c r="AF86" s="2"/>
    </row>
    <row r="87" spans="1:32" ht="13.5" customHeight="1">
      <c r="A87" s="15"/>
      <c r="B87" s="15" t="str">
        <f t="shared" si="0"/>
        <v>Calle Aguila Coronada #2000</v>
      </c>
      <c r="C87" s="15"/>
      <c r="D87" s="15"/>
      <c r="E87" s="15"/>
      <c r="F87" s="15"/>
      <c r="I87" s="46"/>
      <c r="J87" s="6"/>
      <c r="K87" s="27"/>
      <c r="L87" s="15"/>
      <c r="M87" s="15"/>
      <c r="N87" s="80"/>
      <c r="O87" s="84" t="s">
        <v>84</v>
      </c>
      <c r="P87" s="15"/>
      <c r="Q87" s="231" t="s">
        <v>93</v>
      </c>
      <c r="R87" s="229"/>
      <c r="S87" s="231" t="s">
        <v>102</v>
      </c>
      <c r="T87" s="229"/>
      <c r="U87" s="231" t="s">
        <v>111</v>
      </c>
      <c r="V87" s="189"/>
      <c r="W87" s="231" t="s">
        <v>120</v>
      </c>
      <c r="X87" s="1"/>
      <c r="Y87" s="14"/>
      <c r="AA87" s="2"/>
      <c r="AB87" s="2"/>
      <c r="AC87" s="2"/>
      <c r="AD87" s="2"/>
      <c r="AE87" s="2"/>
      <c r="AF87" s="2"/>
    </row>
    <row r="88" spans="1:32" ht="15" customHeight="1">
      <c r="A88" s="15"/>
      <c r="B88" s="15" t="str">
        <f t="shared" si="0"/>
        <v>Parque Industrial BajaMaq</v>
      </c>
      <c r="C88" s="15"/>
      <c r="D88" s="15"/>
      <c r="E88" s="15"/>
      <c r="F88" s="15"/>
      <c r="I88" s="46"/>
      <c r="J88" s="6"/>
      <c r="K88" s="27" t="s">
        <v>13</v>
      </c>
      <c r="L88" s="15" t="s">
        <v>17</v>
      </c>
      <c r="M88" s="15"/>
      <c r="N88" s="80" t="s">
        <v>5</v>
      </c>
      <c r="O88" s="147" t="s">
        <v>85</v>
      </c>
      <c r="P88" s="173"/>
      <c r="Q88" s="232" t="s">
        <v>94</v>
      </c>
      <c r="R88" s="233"/>
      <c r="S88" s="232" t="s">
        <v>103</v>
      </c>
      <c r="T88" s="233"/>
      <c r="U88" s="232" t="s">
        <v>112</v>
      </c>
      <c r="V88" s="72"/>
      <c r="W88" s="232" t="s">
        <v>121</v>
      </c>
      <c r="X88" s="175"/>
      <c r="Y88" s="14"/>
      <c r="AA88" s="2"/>
      <c r="AB88" s="2"/>
      <c r="AC88" s="2"/>
      <c r="AD88" s="2"/>
      <c r="AE88" s="2"/>
      <c r="AF88" s="2"/>
    </row>
    <row r="89" spans="1:32" ht="12.75">
      <c r="A89" s="15"/>
      <c r="B89" s="15" t="str">
        <f t="shared" si="0"/>
        <v>Fracc. E1 Aguila Tijuana BC, MEXICO C.P 22215</v>
      </c>
      <c r="C89" s="15"/>
      <c r="D89" s="15"/>
      <c r="E89" s="15"/>
      <c r="F89" s="15"/>
      <c r="I89" s="46"/>
      <c r="J89" s="2"/>
      <c r="K89" s="27" t="s">
        <v>13</v>
      </c>
      <c r="L89" s="15" t="s">
        <v>16</v>
      </c>
      <c r="M89" s="15"/>
      <c r="N89" s="80" t="s">
        <v>5</v>
      </c>
      <c r="O89" s="227" t="s">
        <v>86</v>
      </c>
      <c r="P89" s="85"/>
      <c r="Q89" s="234" t="s">
        <v>95</v>
      </c>
      <c r="R89" s="229"/>
      <c r="S89" s="234" t="s">
        <v>104</v>
      </c>
      <c r="T89" s="229"/>
      <c r="U89" s="234" t="s">
        <v>113</v>
      </c>
      <c r="V89" s="189"/>
      <c r="W89" s="234" t="s">
        <v>122</v>
      </c>
      <c r="X89" s="1"/>
      <c r="Y89" s="14"/>
      <c r="AA89" s="2"/>
      <c r="AB89" s="2"/>
      <c r="AC89" s="2"/>
      <c r="AD89" s="2"/>
      <c r="AE89" s="2"/>
      <c r="AF89" s="2"/>
    </row>
    <row r="90" spans="1:32" ht="15" customHeight="1">
      <c r="A90" s="15"/>
      <c r="B90" s="15" t="str">
        <f t="shared" si="0"/>
        <v>TAX ID. AST000626JH5</v>
      </c>
      <c r="C90" s="15"/>
      <c r="D90" s="15"/>
      <c r="E90" s="15"/>
      <c r="F90" s="15"/>
      <c r="I90" s="46"/>
      <c r="J90" s="2"/>
      <c r="K90" s="15"/>
      <c r="L90" s="15"/>
      <c r="M90" s="15"/>
      <c r="N90" s="15"/>
      <c r="O90" s="81" t="s">
        <v>87</v>
      </c>
      <c r="P90" s="83"/>
      <c r="Q90" s="235" t="s">
        <v>96</v>
      </c>
      <c r="R90" s="229"/>
      <c r="S90" s="235" t="s">
        <v>105</v>
      </c>
      <c r="T90" s="229"/>
      <c r="U90" s="235" t="s">
        <v>114</v>
      </c>
      <c r="V90" s="189"/>
      <c r="W90" s="235" t="s">
        <v>123</v>
      </c>
      <c r="X90" s="1"/>
      <c r="Y90" s="14"/>
      <c r="AA90" s="2"/>
      <c r="AB90" s="2"/>
      <c r="AC90" s="2"/>
      <c r="AD90" s="2"/>
      <c r="AE90" s="2"/>
      <c r="AF90" s="2"/>
    </row>
    <row r="91" spans="1:32" ht="14.25" customHeight="1">
      <c r="A91" s="15"/>
      <c r="B91" s="15" t="str">
        <f t="shared" si="0"/>
        <v>Tel ) 619-662-8038</v>
      </c>
      <c r="C91" s="15"/>
      <c r="D91" s="15"/>
      <c r="E91" s="15"/>
      <c r="F91" s="15"/>
      <c r="I91" s="46"/>
      <c r="J91" s="2"/>
      <c r="K91" s="27" t="s">
        <v>13</v>
      </c>
      <c r="L91" s="15" t="s">
        <v>15</v>
      </c>
      <c r="M91" s="15"/>
      <c r="N91" s="80" t="s">
        <v>5</v>
      </c>
      <c r="O91" s="79" t="s">
        <v>88</v>
      </c>
      <c r="P91" s="76"/>
      <c r="Q91" s="236" t="s">
        <v>97</v>
      </c>
      <c r="R91" s="229"/>
      <c r="S91" s="236" t="s">
        <v>106</v>
      </c>
      <c r="T91" s="229"/>
      <c r="U91" s="236" t="s">
        <v>115</v>
      </c>
      <c r="V91" s="189"/>
      <c r="W91" s="236" t="s">
        <v>124</v>
      </c>
      <c r="X91" s="1"/>
      <c r="Y91" s="14"/>
      <c r="AA91" s="2"/>
      <c r="AB91" s="2"/>
      <c r="AC91" s="2"/>
      <c r="AD91" s="2"/>
      <c r="AE91" s="2"/>
      <c r="AF91" s="2"/>
    </row>
    <row r="92" spans="1:32" ht="14.25" customHeight="1">
      <c r="A92" s="15"/>
      <c r="B92" s="15"/>
      <c r="C92" s="15"/>
      <c r="D92" s="15"/>
      <c r="E92" s="15"/>
      <c r="F92" s="15"/>
      <c r="I92" s="46"/>
      <c r="O92" s="15"/>
      <c r="P92" s="15"/>
      <c r="Q92" s="14"/>
      <c r="R92" s="14"/>
      <c r="S92" s="14"/>
      <c r="T92" s="14"/>
      <c r="U92" s="15"/>
      <c r="X92" s="14"/>
      <c r="Y92" s="14"/>
      <c r="Z92" s="75"/>
      <c r="AA92" s="2"/>
      <c r="AB92" s="2"/>
      <c r="AC92" s="2"/>
      <c r="AD92" s="2"/>
      <c r="AE92" s="2"/>
      <c r="AF92" s="2"/>
    </row>
    <row r="93" spans="1:32" ht="14.25" customHeight="1">
      <c r="A93" s="33" t="s">
        <v>14</v>
      </c>
      <c r="B93" s="74"/>
      <c r="C93" s="74"/>
      <c r="D93" s="74"/>
      <c r="E93" s="74"/>
      <c r="F93" s="74"/>
      <c r="G93" s="3"/>
      <c r="H93" s="3"/>
      <c r="I93" s="57"/>
      <c r="J93" s="2"/>
      <c r="K93" s="38"/>
      <c r="L93" s="2"/>
      <c r="M93" s="2"/>
      <c r="N93" s="38"/>
      <c r="O93" s="66"/>
      <c r="R93" s="15"/>
      <c r="T93" s="15"/>
      <c r="U93" s="73"/>
      <c r="V93" s="15"/>
      <c r="W93" s="73"/>
      <c r="X93" s="59"/>
      <c r="Y93" s="14"/>
      <c r="Z93" s="70"/>
      <c r="AA93" s="2"/>
      <c r="AB93" s="2"/>
      <c r="AC93" s="2"/>
      <c r="AD93" s="2"/>
      <c r="AE93" s="2"/>
      <c r="AF93" s="2"/>
    </row>
    <row r="94" spans="1:32" ht="14.25" customHeight="1">
      <c r="I94" s="46"/>
      <c r="J94" s="2"/>
      <c r="K94" s="38"/>
      <c r="L94" s="2"/>
      <c r="M94" s="2"/>
      <c r="N94" s="38"/>
      <c r="O94" s="72"/>
      <c r="U94" s="71"/>
      <c r="W94" s="71"/>
      <c r="X94" s="70"/>
      <c r="Y94" s="2"/>
      <c r="Z94" s="70"/>
      <c r="AA94" s="2"/>
      <c r="AB94" s="2"/>
      <c r="AC94" s="2"/>
      <c r="AD94" s="2"/>
      <c r="AE94" s="2"/>
      <c r="AF94" s="2"/>
    </row>
    <row r="95" spans="1:32" ht="13.5" customHeight="1">
      <c r="B95" s="7" t="str">
        <f t="shared" ref="B95:B98" si="1">B18</f>
        <v>BROKER FOR AST FACILITY</v>
      </c>
      <c r="H95" s="7"/>
      <c r="I95" s="46"/>
      <c r="J95" s="2"/>
      <c r="O95" s="69"/>
      <c r="U95" s="68"/>
      <c r="W95" s="68"/>
      <c r="X95" s="59"/>
      <c r="Y95" s="14"/>
      <c r="Z95" s="59"/>
      <c r="AA95" s="2"/>
      <c r="AB95" s="2"/>
      <c r="AC95" s="2"/>
      <c r="AD95" s="2"/>
      <c r="AE95" s="2"/>
      <c r="AF95" s="2"/>
    </row>
    <row r="96" spans="1:32" ht="12.75">
      <c r="B96" s="1" t="str">
        <f t="shared" si="1"/>
        <v xml:space="preserve">C/O Casas International Warehouse </v>
      </c>
      <c r="H96" s="7"/>
      <c r="I96" s="46"/>
      <c r="J96" s="2"/>
      <c r="K96" s="61"/>
      <c r="L96" s="2"/>
      <c r="N96" s="38"/>
      <c r="O96" s="66"/>
      <c r="U96" s="67"/>
      <c r="W96" s="67"/>
      <c r="X96" s="59"/>
      <c r="Y96" s="14"/>
      <c r="Z96" s="59"/>
      <c r="AA96" s="2"/>
      <c r="AB96" s="2"/>
      <c r="AC96" s="2"/>
      <c r="AD96" s="2"/>
      <c r="AE96" s="2"/>
      <c r="AF96" s="2"/>
    </row>
    <row r="97" spans="1:32" ht="13.5" customHeight="1">
      <c r="B97" s="1" t="str">
        <f t="shared" si="1"/>
        <v>9355 Airway Road, Ste 1</v>
      </c>
      <c r="H97" s="7"/>
      <c r="I97" s="46"/>
      <c r="J97" s="2"/>
      <c r="K97" s="61"/>
      <c r="N97" s="38"/>
      <c r="O97" s="66"/>
      <c r="U97" s="59"/>
      <c r="W97" s="59"/>
      <c r="X97" s="59"/>
      <c r="Y97" s="14"/>
      <c r="Z97" s="59"/>
      <c r="AA97" s="2"/>
      <c r="AB97" s="2"/>
      <c r="AC97" s="2"/>
      <c r="AD97" s="2"/>
      <c r="AE97" s="2"/>
      <c r="AF97" s="2"/>
    </row>
    <row r="98" spans="1:32" ht="13.5" customHeight="1">
      <c r="B98" s="1" t="str">
        <f t="shared" si="1"/>
        <v>SAN DIEGO CA 92154 US</v>
      </c>
      <c r="H98" s="7"/>
      <c r="I98" s="46"/>
      <c r="J98" s="2"/>
      <c r="L98" s="2"/>
      <c r="O98" s="65"/>
      <c r="U98" s="64"/>
      <c r="W98" s="64"/>
      <c r="X98" s="59"/>
      <c r="Y98" s="14"/>
      <c r="Z98" s="59"/>
      <c r="AA98" s="2"/>
      <c r="AB98" s="2"/>
      <c r="AC98" s="2"/>
      <c r="AD98" s="2"/>
      <c r="AE98" s="2"/>
      <c r="AF98" s="2"/>
    </row>
    <row r="99" spans="1:32" ht="13.5" customHeight="1">
      <c r="I99" s="46"/>
      <c r="J99" s="2"/>
      <c r="K99" s="61"/>
      <c r="N99" s="38"/>
      <c r="O99" s="63"/>
      <c r="U99" s="59"/>
      <c r="W99" s="59"/>
      <c r="X99" s="59"/>
      <c r="Y99" s="14"/>
      <c r="Z99" s="59"/>
      <c r="AA99" s="2"/>
      <c r="AB99" s="2"/>
      <c r="AC99" s="2"/>
      <c r="AD99" s="2"/>
      <c r="AE99" s="2"/>
      <c r="AF99" s="2"/>
    </row>
    <row r="100" spans="1:32" ht="13.5" customHeight="1">
      <c r="I100" s="46"/>
      <c r="J100" s="2"/>
      <c r="X100" s="59"/>
      <c r="Y100" s="14"/>
      <c r="Z100" s="59"/>
      <c r="AA100" s="2"/>
      <c r="AB100" s="2"/>
      <c r="AC100" s="2"/>
      <c r="AD100" s="2"/>
      <c r="AE100" s="2"/>
      <c r="AF100" s="2"/>
    </row>
    <row r="101" spans="1:32" ht="13.5" customHeight="1">
      <c r="I101" s="46"/>
      <c r="J101" s="2"/>
      <c r="X101" s="59"/>
      <c r="Y101" s="14"/>
      <c r="Z101" s="59"/>
      <c r="AA101" s="2"/>
      <c r="AB101" s="2"/>
      <c r="AC101" s="2"/>
      <c r="AD101" s="2"/>
      <c r="AE101" s="2"/>
      <c r="AF101" s="2"/>
    </row>
    <row r="102" spans="1:32" ht="13.5" customHeight="1">
      <c r="I102" s="46"/>
      <c r="J102" s="2"/>
      <c r="X102" s="59"/>
      <c r="Y102" s="14"/>
      <c r="Z102" s="59"/>
      <c r="AA102" s="2"/>
      <c r="AB102" s="2"/>
      <c r="AC102" s="2"/>
      <c r="AD102" s="2"/>
      <c r="AE102" s="2"/>
      <c r="AF102" s="2"/>
    </row>
    <row r="103" spans="1:32" ht="13.5" customHeight="1">
      <c r="I103" s="46"/>
      <c r="J103" s="2"/>
      <c r="K103" s="61" t="s">
        <v>13</v>
      </c>
      <c r="L103" s="1" t="s">
        <v>12</v>
      </c>
      <c r="N103" s="60" t="s">
        <v>5</v>
      </c>
      <c r="O103" s="62" t="s">
        <v>81</v>
      </c>
      <c r="P103" s="58"/>
      <c r="Q103" s="188" t="s">
        <v>147</v>
      </c>
      <c r="R103" s="54"/>
      <c r="S103" s="172" t="s">
        <v>148</v>
      </c>
      <c r="T103" s="54"/>
      <c r="U103" s="53"/>
      <c r="V103" s="62"/>
      <c r="W103" s="62"/>
      <c r="X103" s="59"/>
      <c r="Y103" s="14"/>
      <c r="Z103" s="59"/>
      <c r="AA103" s="2"/>
      <c r="AB103" s="2"/>
      <c r="AC103" s="2"/>
      <c r="AD103" s="2"/>
      <c r="AE103" s="2"/>
      <c r="AF103" s="2"/>
    </row>
    <row r="104" spans="1:32" ht="13.5" customHeight="1">
      <c r="I104" s="46"/>
      <c r="J104" s="2"/>
      <c r="K104" s="61"/>
      <c r="N104" s="60"/>
      <c r="O104" s="62" t="s">
        <v>90</v>
      </c>
      <c r="P104" s="58"/>
      <c r="Q104" s="188" t="s">
        <v>149</v>
      </c>
      <c r="R104" s="54"/>
      <c r="S104" s="172" t="s">
        <v>153</v>
      </c>
      <c r="T104" s="54"/>
      <c r="U104" s="53"/>
      <c r="V104" s="62"/>
      <c r="W104" s="62"/>
      <c r="X104" s="59"/>
      <c r="Y104" s="14"/>
      <c r="Z104" s="59"/>
      <c r="AA104" s="2"/>
      <c r="AB104" s="2"/>
      <c r="AC104" s="2"/>
      <c r="AD104" s="2"/>
      <c r="AE104" s="2"/>
      <c r="AF104" s="2"/>
    </row>
    <row r="105" spans="1:32" ht="13.5" customHeight="1">
      <c r="I105" s="46"/>
      <c r="J105" s="2"/>
      <c r="K105" s="61"/>
      <c r="N105" s="60"/>
      <c r="O105" s="62" t="s">
        <v>99</v>
      </c>
      <c r="P105" s="58"/>
      <c r="Q105" s="188" t="s">
        <v>150</v>
      </c>
      <c r="R105" s="54"/>
      <c r="S105" s="172" t="s">
        <v>154</v>
      </c>
      <c r="T105" s="54"/>
      <c r="U105" s="53"/>
      <c r="V105" s="62"/>
      <c r="W105" s="62"/>
      <c r="X105" s="59"/>
      <c r="Y105" s="14"/>
      <c r="Z105" s="59"/>
      <c r="AA105" s="2"/>
      <c r="AB105" s="2"/>
      <c r="AC105" s="2"/>
      <c r="AD105" s="2"/>
      <c r="AE105" s="2"/>
      <c r="AF105" s="2"/>
    </row>
    <row r="106" spans="1:32" ht="13.5" customHeight="1">
      <c r="I106" s="46"/>
      <c r="J106" s="2"/>
      <c r="K106" s="61"/>
      <c r="N106" s="60"/>
      <c r="O106" s="62" t="s">
        <v>109</v>
      </c>
      <c r="P106" s="58"/>
      <c r="Q106" s="188" t="s">
        <v>151</v>
      </c>
      <c r="R106" s="54"/>
      <c r="S106" s="172" t="s">
        <v>155</v>
      </c>
      <c r="T106" s="54"/>
      <c r="U106" s="53"/>
      <c r="V106" s="62"/>
      <c r="W106" s="62"/>
      <c r="X106" s="59"/>
      <c r="Y106" s="14"/>
      <c r="Z106" s="59"/>
      <c r="AA106" s="2"/>
      <c r="AB106" s="2"/>
      <c r="AC106" s="2"/>
      <c r="AD106" s="2"/>
      <c r="AE106" s="2"/>
      <c r="AF106" s="2"/>
    </row>
    <row r="107" spans="1:32" ht="13.5" customHeight="1">
      <c r="I107" s="46"/>
      <c r="J107" s="2"/>
      <c r="O107" s="62" t="s">
        <v>117</v>
      </c>
      <c r="P107" s="58"/>
      <c r="Q107" s="188" t="s">
        <v>152</v>
      </c>
      <c r="R107" s="54"/>
      <c r="S107" s="172" t="s">
        <v>156</v>
      </c>
      <c r="T107" s="54"/>
      <c r="U107" s="53"/>
      <c r="V107" s="62"/>
      <c r="W107" s="62"/>
      <c r="AA107" s="2"/>
      <c r="AB107" s="2"/>
      <c r="AC107" s="2"/>
      <c r="AD107" s="2"/>
      <c r="AE107" s="2"/>
      <c r="AF107" s="2"/>
    </row>
    <row r="108" spans="1:32" ht="14.25" customHeight="1">
      <c r="A108" s="39" t="s">
        <v>11</v>
      </c>
      <c r="B108" s="3"/>
      <c r="C108" s="3"/>
      <c r="D108" s="3"/>
      <c r="E108" s="57"/>
      <c r="F108" s="56" t="s">
        <v>10</v>
      </c>
      <c r="G108" s="39"/>
      <c r="H108" s="39"/>
      <c r="I108" s="55"/>
      <c r="O108" s="62"/>
      <c r="P108" s="58"/>
      <c r="Q108" s="15"/>
      <c r="R108" s="54"/>
      <c r="S108" s="172"/>
      <c r="T108" s="54"/>
      <c r="U108" s="53"/>
      <c r="V108" s="62"/>
      <c r="W108" s="62"/>
      <c r="X108" s="14"/>
      <c r="Y108" s="52"/>
      <c r="Z108" s="14"/>
      <c r="AA108" s="2"/>
      <c r="AB108" s="2"/>
      <c r="AC108" s="2"/>
      <c r="AD108" s="2"/>
      <c r="AE108" s="2"/>
      <c r="AF108" s="2"/>
    </row>
    <row r="109" spans="1:32" s="7" customFormat="1" ht="14.25" customHeight="1">
      <c r="A109" s="50"/>
      <c r="B109" s="49" t="s">
        <v>68</v>
      </c>
      <c r="C109" s="50"/>
      <c r="D109" s="50"/>
      <c r="E109" s="51"/>
      <c r="F109" s="50"/>
      <c r="G109" s="49" t="str">
        <f>G34</f>
        <v>LOS ANGELES, CA</v>
      </c>
      <c r="H109" s="49"/>
      <c r="I109" s="48"/>
      <c r="O109" s="62"/>
      <c r="P109" s="58"/>
      <c r="Q109" s="15"/>
      <c r="R109" s="54"/>
      <c r="S109" s="172"/>
      <c r="T109" s="54"/>
      <c r="U109" s="53"/>
      <c r="V109" s="62"/>
      <c r="W109" s="62"/>
      <c r="X109" s="23"/>
      <c r="Y109" s="47"/>
      <c r="Z109" s="23"/>
      <c r="AA109" s="6"/>
      <c r="AB109" s="6"/>
      <c r="AC109" s="6"/>
      <c r="AD109" s="6"/>
      <c r="AE109" s="6"/>
      <c r="AF109" s="6"/>
    </row>
    <row r="110" spans="1:32" ht="14.25" customHeight="1">
      <c r="A110" s="7" t="s">
        <v>9</v>
      </c>
      <c r="C110" s="2"/>
      <c r="D110" s="2"/>
      <c r="E110" s="46"/>
      <c r="F110" s="45" t="s">
        <v>8</v>
      </c>
      <c r="G110" s="6"/>
      <c r="H110" s="6"/>
      <c r="I110" s="44"/>
      <c r="J110" s="42"/>
      <c r="K110" s="38" t="s">
        <v>7</v>
      </c>
      <c r="L110" s="2" t="s">
        <v>6</v>
      </c>
      <c r="M110" s="2"/>
      <c r="N110" s="38" t="s">
        <v>5</v>
      </c>
      <c r="O110" s="170"/>
      <c r="U110" s="43"/>
      <c r="V110" s="43"/>
      <c r="Y110" s="2"/>
      <c r="AA110" s="2"/>
      <c r="AB110" s="2"/>
      <c r="AC110" s="2"/>
      <c r="AD110" s="2"/>
      <c r="AE110" s="2"/>
      <c r="AF110" s="2"/>
    </row>
    <row r="111" spans="1:32" ht="14.25" customHeight="1">
      <c r="A111" s="216" t="s">
        <v>69</v>
      </c>
      <c r="B111" s="216"/>
      <c r="C111" s="216"/>
      <c r="D111" s="216"/>
      <c r="E111" s="217"/>
      <c r="F111" s="210" t="s">
        <v>70</v>
      </c>
      <c r="G111" s="211"/>
      <c r="H111" s="211"/>
      <c r="I111" s="212"/>
      <c r="J111" s="42"/>
      <c r="K111" s="38" t="str">
        <f>K36</f>
        <v>※</v>
      </c>
      <c r="L111" s="2" t="str">
        <f>L36</f>
        <v>OUT BOUND SHIPMENT</v>
      </c>
      <c r="M111" s="2"/>
      <c r="N111" s="38"/>
      <c r="O111" s="41"/>
      <c r="P111" s="2"/>
      <c r="Q111" s="2"/>
      <c r="R111" s="2"/>
      <c r="S111" s="2"/>
      <c r="T111" s="2"/>
      <c r="U111" s="2"/>
      <c r="V111" s="2"/>
      <c r="W111" s="2"/>
      <c r="Y111" s="2"/>
      <c r="AA111" s="2"/>
      <c r="AB111" s="2"/>
      <c r="AC111" s="2"/>
      <c r="AD111" s="2"/>
      <c r="AE111" s="2"/>
      <c r="AF111" s="2"/>
    </row>
    <row r="112" spans="1:32" ht="15" customHeight="1">
      <c r="A112" s="40" t="s">
        <v>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9"/>
      <c r="S112" s="39"/>
      <c r="T112" s="3"/>
      <c r="U112" s="3"/>
      <c r="V112" s="3"/>
      <c r="W112" s="3"/>
      <c r="X112" s="3"/>
      <c r="Y112" s="2"/>
      <c r="AA112" s="2"/>
      <c r="AB112" s="2"/>
      <c r="AC112" s="2"/>
      <c r="AD112" s="2"/>
      <c r="AE112" s="2"/>
      <c r="AF112" s="2"/>
    </row>
    <row r="113" spans="1:32" ht="1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38"/>
      <c r="Y113" s="2"/>
      <c r="AA113" s="2"/>
      <c r="AB113" s="2"/>
      <c r="AC113" s="2"/>
      <c r="AD113" s="2"/>
      <c r="AE113" s="2"/>
      <c r="AF113" s="2"/>
    </row>
    <row r="114" spans="1:32" ht="15" customHeight="1">
      <c r="A114" s="218" t="s">
        <v>3</v>
      </c>
      <c r="B114" s="218"/>
      <c r="C114" s="218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14"/>
      <c r="Y114" s="14"/>
      <c r="AA114" s="2"/>
      <c r="AB114" s="2"/>
      <c r="AC114" s="2"/>
      <c r="AD114" s="2"/>
      <c r="AE114" s="2"/>
      <c r="AF114" s="2"/>
    </row>
    <row r="115" spans="1:32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14"/>
      <c r="Y115" s="14"/>
      <c r="Z115" s="38"/>
      <c r="AA115" s="2"/>
      <c r="AB115" s="2"/>
      <c r="AC115" s="2"/>
      <c r="AD115" s="2"/>
      <c r="AE115" s="2"/>
      <c r="AF115" s="2"/>
    </row>
    <row r="116" spans="1:32" ht="15" customHeight="1">
      <c r="A116" s="14"/>
      <c r="X116" s="26"/>
      <c r="Y116" s="17"/>
      <c r="Z116" s="25"/>
      <c r="AA116" s="2"/>
      <c r="AB116" s="2"/>
      <c r="AC116" s="2"/>
      <c r="AD116" s="2"/>
      <c r="AE116" s="2"/>
      <c r="AF116" s="2"/>
    </row>
    <row r="117" spans="1:32" ht="15" customHeight="1" thickBot="1">
      <c r="A117" s="14"/>
      <c r="X117" s="26"/>
      <c r="Y117" s="17"/>
      <c r="Z117" s="25"/>
      <c r="AA117" s="2"/>
      <c r="AB117" s="2"/>
      <c r="AC117" s="2"/>
      <c r="AD117" s="2"/>
      <c r="AE117" s="2"/>
      <c r="AF117" s="2"/>
    </row>
    <row r="118" spans="1:32" ht="15" customHeight="1">
      <c r="A118" s="14"/>
      <c r="B118" s="196" t="s">
        <v>2</v>
      </c>
      <c r="C118" s="197"/>
      <c r="D118" s="198"/>
      <c r="E118" s="1">
        <f>E43</f>
        <v>0</v>
      </c>
      <c r="F118" s="15"/>
      <c r="G118" s="15"/>
      <c r="H118" s="15"/>
      <c r="I118" s="15"/>
      <c r="J118" s="15"/>
      <c r="K118" s="15"/>
      <c r="L118" s="15"/>
      <c r="M118" s="119"/>
      <c r="N118" s="15"/>
      <c r="O118" s="169"/>
      <c r="P118" s="15"/>
      <c r="Q118" s="219"/>
      <c r="R118" s="219"/>
      <c r="S118" s="219"/>
      <c r="T118" s="15"/>
      <c r="U118" s="220"/>
      <c r="V118" s="220"/>
      <c r="W118" s="220"/>
      <c r="X118" s="220"/>
      <c r="Y118" s="17"/>
      <c r="Z118" s="25"/>
      <c r="AA118" s="2"/>
      <c r="AB118" s="2"/>
      <c r="AC118" s="2"/>
      <c r="AD118" s="2"/>
      <c r="AE118" s="2"/>
      <c r="AF118" s="2"/>
    </row>
    <row r="119" spans="1:32" ht="15" customHeight="1" thickBot="1">
      <c r="A119" s="14"/>
      <c r="B119" s="199"/>
      <c r="C119" s="200"/>
      <c r="D119" s="201"/>
      <c r="E119" s="1">
        <f>E44</f>
        <v>0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7"/>
      <c r="Z119" s="25"/>
      <c r="AA119" s="2"/>
      <c r="AB119" s="2"/>
      <c r="AC119" s="2"/>
      <c r="AD119" s="2"/>
      <c r="AE119" s="2"/>
      <c r="AF119" s="2"/>
    </row>
    <row r="120" spans="1:32" ht="15" customHeight="1">
      <c r="A120" s="14"/>
      <c r="B120" s="27"/>
      <c r="C120" s="14"/>
      <c r="D120" s="14"/>
      <c r="E120" s="14"/>
      <c r="F120" s="15"/>
      <c r="G120" s="15"/>
      <c r="H120" s="15"/>
      <c r="I120" s="15"/>
      <c r="J120" s="15"/>
      <c r="K120" s="15"/>
      <c r="L120" s="15"/>
      <c r="M120" s="119"/>
      <c r="N120" s="15"/>
      <c r="O120" s="169"/>
      <c r="P120" s="15"/>
      <c r="Q120" s="219"/>
      <c r="R120" s="219"/>
      <c r="S120" s="219"/>
      <c r="T120" s="15"/>
      <c r="U120" s="220"/>
      <c r="V120" s="220"/>
      <c r="W120" s="220"/>
      <c r="X120" s="220"/>
      <c r="Y120" s="36"/>
      <c r="Z120" s="36"/>
      <c r="AA120" s="2"/>
      <c r="AB120" s="2"/>
      <c r="AC120" s="2"/>
      <c r="AD120" s="2"/>
      <c r="AE120" s="2"/>
      <c r="AF120" s="2"/>
    </row>
    <row r="121" spans="1:32" ht="15" customHeight="1">
      <c r="A121" s="14"/>
      <c r="B121" s="27"/>
      <c r="C121" s="14"/>
      <c r="D121" s="14"/>
      <c r="E121" s="14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36"/>
      <c r="Z121" s="36"/>
      <c r="AA121" s="2"/>
      <c r="AB121" s="2"/>
      <c r="AC121" s="2"/>
      <c r="AD121" s="2"/>
      <c r="AE121" s="2"/>
      <c r="AF121" s="2"/>
    </row>
    <row r="122" spans="1:32" ht="15" customHeight="1">
      <c r="A122" s="14"/>
      <c r="E122" s="14"/>
      <c r="F122" s="15"/>
      <c r="G122" s="15"/>
      <c r="H122" s="15"/>
      <c r="I122" s="15"/>
      <c r="J122" s="15"/>
      <c r="K122" s="15"/>
      <c r="L122" s="15"/>
      <c r="M122" s="119"/>
      <c r="N122" s="15"/>
      <c r="O122" s="169"/>
      <c r="P122" s="15"/>
      <c r="Q122" s="219"/>
      <c r="R122" s="219"/>
      <c r="S122" s="219"/>
      <c r="T122" s="15"/>
      <c r="U122" s="220"/>
      <c r="V122" s="220"/>
      <c r="W122" s="220"/>
      <c r="X122" s="220"/>
      <c r="Y122" s="159"/>
      <c r="Z122" s="159"/>
      <c r="AA122" s="159"/>
      <c r="AB122" s="2"/>
      <c r="AC122" s="2"/>
      <c r="AD122" s="2"/>
      <c r="AE122" s="2"/>
      <c r="AF122" s="2"/>
    </row>
    <row r="123" spans="1:32" ht="15" customHeight="1">
      <c r="A123" s="14"/>
      <c r="E123" s="14">
        <f>+E47</f>
        <v>0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9"/>
      <c r="Z123" s="159"/>
      <c r="AA123" s="159"/>
      <c r="AB123" s="2"/>
      <c r="AC123" s="2"/>
      <c r="AD123" s="2"/>
      <c r="AE123" s="2"/>
      <c r="AF123" s="2"/>
    </row>
    <row r="124" spans="1:32" ht="15" customHeight="1">
      <c r="A124" s="14"/>
      <c r="B124" s="27"/>
      <c r="C124" s="14"/>
      <c r="D124" s="14"/>
      <c r="F124" s="15"/>
      <c r="G124" s="15"/>
      <c r="H124" s="15"/>
      <c r="I124" s="15"/>
      <c r="J124" s="15"/>
      <c r="K124" s="15"/>
      <c r="L124" s="15"/>
      <c r="M124" s="119"/>
      <c r="N124" s="15"/>
      <c r="O124" s="169"/>
      <c r="P124" s="15"/>
      <c r="Q124" s="219"/>
      <c r="R124" s="219"/>
      <c r="S124" s="219"/>
      <c r="T124" s="15"/>
      <c r="U124" s="220"/>
      <c r="V124" s="220"/>
      <c r="W124" s="220"/>
      <c r="X124" s="220"/>
      <c r="Y124" s="36"/>
      <c r="Z124" s="36"/>
      <c r="AA124" s="2"/>
      <c r="AB124" s="2"/>
      <c r="AC124" s="2"/>
      <c r="AD124" s="2"/>
      <c r="AE124" s="2"/>
      <c r="AF124" s="2"/>
    </row>
    <row r="125" spans="1:32" ht="15" customHeight="1">
      <c r="A125" s="14"/>
      <c r="B125" s="27"/>
      <c r="C125" s="14"/>
      <c r="D125" s="14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36"/>
      <c r="Z125" s="36"/>
      <c r="AA125" s="2"/>
      <c r="AB125" s="2"/>
      <c r="AC125" s="2"/>
      <c r="AD125" s="2"/>
      <c r="AE125" s="2"/>
      <c r="AF125" s="2"/>
    </row>
    <row r="126" spans="1:32" ht="15" customHeight="1">
      <c r="A126" s="14"/>
      <c r="B126" s="27"/>
      <c r="C126" s="14"/>
      <c r="D126" s="14"/>
      <c r="F126" s="15">
        <f t="shared" ref="F126:F127" si="2">F51</f>
        <v>0</v>
      </c>
      <c r="G126" s="15"/>
      <c r="H126" s="15"/>
      <c r="I126" s="15"/>
      <c r="J126" s="15"/>
      <c r="K126" s="15"/>
      <c r="L126" s="15"/>
      <c r="M126" s="119">
        <f>J51</f>
        <v>0</v>
      </c>
      <c r="N126" s="15"/>
      <c r="O126" s="169">
        <f>ROUNDDOWN(M126*0.0983,0)</f>
        <v>0</v>
      </c>
      <c r="P126" s="15"/>
      <c r="Q126" s="219"/>
      <c r="R126" s="219"/>
      <c r="S126" s="219"/>
      <c r="T126" s="15"/>
      <c r="U126" s="220"/>
      <c r="V126" s="220"/>
      <c r="W126" s="220"/>
      <c r="X126" s="220"/>
      <c r="Z126" s="1"/>
      <c r="AA126" s="2"/>
      <c r="AB126" s="2"/>
      <c r="AC126" s="2"/>
      <c r="AD126" s="2"/>
      <c r="AE126" s="2"/>
      <c r="AF126" s="2"/>
    </row>
    <row r="127" spans="1:32" ht="15" customHeight="1">
      <c r="A127" s="14"/>
      <c r="B127" s="27"/>
      <c r="C127" s="14"/>
      <c r="D127" s="14"/>
      <c r="F127" s="15">
        <f t="shared" si="2"/>
        <v>0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Z127" s="1"/>
      <c r="AA127" s="2"/>
      <c r="AB127" s="2"/>
      <c r="AC127" s="2"/>
      <c r="AD127" s="2"/>
      <c r="AE127" s="2"/>
      <c r="AF127" s="2"/>
    </row>
    <row r="128" spans="1:32" ht="15" customHeight="1">
      <c r="A128" s="14"/>
      <c r="B128" s="27"/>
      <c r="C128" s="14"/>
      <c r="D128" s="14"/>
      <c r="E128" s="34" t="s">
        <v>1</v>
      </c>
      <c r="F128" s="33"/>
      <c r="G128" s="33"/>
      <c r="H128" s="33"/>
      <c r="I128" s="33"/>
      <c r="J128" s="214"/>
      <c r="K128" s="214"/>
      <c r="L128" s="214"/>
      <c r="M128" s="214"/>
      <c r="N128" s="221"/>
      <c r="O128" s="221"/>
      <c r="P128" s="221"/>
      <c r="Q128" s="222"/>
      <c r="R128" s="222"/>
      <c r="S128" s="222"/>
      <c r="T128" s="223"/>
      <c r="U128" s="223"/>
      <c r="V128" s="223"/>
      <c r="W128" s="223"/>
      <c r="X128" s="32"/>
      <c r="Z128" s="1"/>
      <c r="AA128" s="2"/>
      <c r="AB128" s="2"/>
      <c r="AC128" s="2"/>
      <c r="AD128" s="2"/>
      <c r="AE128" s="2"/>
      <c r="AF128" s="2"/>
    </row>
    <row r="129" spans="1:35" ht="15" customHeight="1">
      <c r="A129" s="14"/>
      <c r="B129" s="27"/>
      <c r="C129" s="14"/>
      <c r="D129" s="14"/>
      <c r="R129" s="219"/>
      <c r="S129" s="219"/>
      <c r="T129" s="219"/>
      <c r="X129" s="1"/>
      <c r="Z129" s="1"/>
      <c r="AB129" s="2"/>
      <c r="AC129" s="2"/>
      <c r="AD129" s="2"/>
      <c r="AE129" s="2"/>
      <c r="AF129" s="2"/>
    </row>
    <row r="130" spans="1:35" ht="15" customHeight="1">
      <c r="A130" s="14"/>
      <c r="B130" s="27"/>
      <c r="C130" s="14"/>
      <c r="D130" s="14"/>
      <c r="E130" s="14"/>
      <c r="F130" s="14"/>
      <c r="G130" s="14"/>
      <c r="H130" s="14"/>
      <c r="I130" s="14"/>
      <c r="J130" s="224"/>
      <c r="K130" s="224"/>
      <c r="L130" s="224"/>
      <c r="M130" s="224"/>
      <c r="N130" s="225"/>
      <c r="O130" s="225"/>
      <c r="P130" s="225"/>
      <c r="Q130" s="219"/>
      <c r="R130" s="219"/>
      <c r="S130" s="219"/>
      <c r="T130" s="220"/>
      <c r="U130" s="220"/>
      <c r="V130" s="220"/>
      <c r="W130" s="220"/>
      <c r="X130" s="31"/>
      <c r="Y130" s="31"/>
      <c r="Z130" s="31"/>
      <c r="AA130" s="31"/>
      <c r="AB130" s="2"/>
      <c r="AC130" s="2"/>
      <c r="AD130" s="2"/>
      <c r="AE130" s="2"/>
      <c r="AF130" s="2"/>
    </row>
    <row r="131" spans="1:35" ht="15" customHeight="1">
      <c r="A131" s="14"/>
      <c r="B131" s="27"/>
      <c r="C131" s="14"/>
      <c r="D131" s="14"/>
      <c r="E131" s="14"/>
      <c r="F131" s="2"/>
      <c r="G131" s="2"/>
      <c r="H131" s="2"/>
      <c r="I131" s="2"/>
      <c r="J131" s="30"/>
      <c r="K131" s="28"/>
      <c r="L131" s="2"/>
      <c r="M131" s="14"/>
      <c r="N131" s="29"/>
      <c r="O131" s="2"/>
      <c r="P131" s="28"/>
      <c r="Q131" s="10"/>
      <c r="R131" s="10"/>
      <c r="S131" s="2"/>
      <c r="T131" s="226"/>
      <c r="U131" s="226"/>
      <c r="V131" s="226"/>
      <c r="W131" s="226"/>
      <c r="X131" s="226"/>
      <c r="Y131" s="226"/>
      <c r="Z131" s="226"/>
      <c r="AA131" s="226"/>
      <c r="AB131" s="2"/>
      <c r="AC131" s="2"/>
      <c r="AD131" s="2"/>
      <c r="AE131" s="2"/>
      <c r="AF131" s="2"/>
    </row>
    <row r="132" spans="1:35" ht="15" customHeight="1">
      <c r="A132" s="14"/>
      <c r="B132" s="27"/>
      <c r="C132" s="14"/>
      <c r="D132" s="14"/>
      <c r="E132" s="14"/>
      <c r="F132" s="14"/>
      <c r="G132" s="14"/>
      <c r="H132" s="14"/>
      <c r="I132" s="14"/>
      <c r="J132" s="224"/>
      <c r="K132" s="224"/>
      <c r="L132" s="224"/>
      <c r="M132" s="224"/>
      <c r="N132" s="225"/>
      <c r="O132" s="225"/>
      <c r="P132" s="225"/>
      <c r="Q132" s="219"/>
      <c r="R132" s="219"/>
      <c r="S132" s="219"/>
      <c r="T132" s="220"/>
      <c r="U132" s="220"/>
      <c r="V132" s="220"/>
      <c r="W132" s="220"/>
      <c r="X132" s="31"/>
      <c r="Y132" s="31"/>
      <c r="Z132" s="31"/>
      <c r="AA132" s="31"/>
      <c r="AB132" s="2"/>
      <c r="AC132" s="2"/>
      <c r="AD132" s="2"/>
      <c r="AE132" s="2"/>
      <c r="AF132" s="2"/>
    </row>
    <row r="133" spans="1:35" ht="15" customHeight="1">
      <c r="A133" s="14"/>
      <c r="B133" s="27"/>
      <c r="C133" s="14"/>
      <c r="D133" s="14"/>
      <c r="E133" s="14">
        <f>+E55</f>
        <v>0</v>
      </c>
      <c r="F133" s="2"/>
      <c r="G133" s="2"/>
      <c r="H133" s="2"/>
      <c r="I133" s="2"/>
      <c r="J133" s="30"/>
      <c r="K133" s="28"/>
      <c r="L133" s="2"/>
      <c r="M133" s="14"/>
      <c r="N133" s="29"/>
      <c r="O133" s="2"/>
      <c r="P133" s="28"/>
      <c r="Q133" s="10"/>
      <c r="R133" s="10"/>
      <c r="S133" s="2"/>
      <c r="T133" s="226"/>
      <c r="U133" s="226"/>
      <c r="V133" s="226"/>
      <c r="W133" s="226"/>
      <c r="X133" s="226"/>
      <c r="Y133" s="226"/>
      <c r="Z133" s="226"/>
      <c r="AA133" s="226"/>
      <c r="AB133" s="2"/>
      <c r="AC133" s="2"/>
      <c r="AD133" s="2"/>
      <c r="AE133" s="2"/>
      <c r="AF133" s="2"/>
    </row>
    <row r="134" spans="1:35" ht="15" customHeight="1">
      <c r="A134" s="14"/>
      <c r="B134" s="27"/>
      <c r="C134" s="14"/>
      <c r="D134" s="14"/>
      <c r="E134" s="14"/>
      <c r="F134" s="14"/>
      <c r="G134" s="14"/>
      <c r="H134" s="14"/>
      <c r="I134" s="14"/>
      <c r="J134" s="224"/>
      <c r="K134" s="224"/>
      <c r="L134" s="224"/>
      <c r="M134" s="224"/>
      <c r="N134" s="225"/>
      <c r="O134" s="225"/>
      <c r="P134" s="225"/>
      <c r="Q134" s="219"/>
      <c r="R134" s="219"/>
      <c r="S134" s="219"/>
      <c r="T134" s="220"/>
      <c r="U134" s="220"/>
      <c r="V134" s="220"/>
      <c r="W134" s="220"/>
      <c r="X134" s="26"/>
      <c r="Y134" s="17"/>
      <c r="Z134" s="25"/>
      <c r="AA134" s="2"/>
      <c r="AB134" s="2"/>
      <c r="AC134" s="2"/>
      <c r="AD134" s="2"/>
      <c r="AE134" s="2"/>
      <c r="AF134" s="2"/>
    </row>
    <row r="135" spans="1:35" s="7" customFormat="1" ht="15" customHeight="1">
      <c r="A135" s="23"/>
      <c r="B135" s="24"/>
      <c r="C135" s="23"/>
      <c r="D135" s="23"/>
      <c r="Y135" s="22"/>
      <c r="Z135" s="21"/>
      <c r="AA135" s="6"/>
      <c r="AB135" s="6"/>
      <c r="AC135" s="6"/>
      <c r="AD135" s="6"/>
      <c r="AE135" s="6"/>
      <c r="AF135" s="6"/>
    </row>
    <row r="136" spans="1:35" ht="15" customHeight="1">
      <c r="A136" s="15" t="str">
        <f>A58</f>
        <v>MADE IN VIET NAM</v>
      </c>
      <c r="B136" s="15"/>
      <c r="C136" s="15"/>
      <c r="D136" s="15"/>
      <c r="E136" s="20"/>
      <c r="F136" s="20"/>
      <c r="G136" s="20"/>
      <c r="H136" s="20"/>
      <c r="I136" s="20"/>
      <c r="J136" s="19"/>
      <c r="K136" s="19"/>
      <c r="L136" s="19"/>
      <c r="M136" s="19"/>
      <c r="N136" s="18"/>
      <c r="O136" s="17"/>
      <c r="P136" s="14"/>
      <c r="Q136" s="14"/>
      <c r="R136" s="15"/>
      <c r="S136" s="15"/>
      <c r="T136" s="15"/>
      <c r="U136" s="15"/>
      <c r="V136" s="15"/>
      <c r="W136" s="15"/>
      <c r="X136" s="14"/>
      <c r="Y136" s="14"/>
      <c r="AA136" s="2"/>
      <c r="AB136" s="2"/>
      <c r="AC136" s="2"/>
      <c r="AD136" s="2"/>
      <c r="AE136" s="2"/>
      <c r="AF136" s="2"/>
    </row>
    <row r="137" spans="1:35" ht="15" customHeight="1">
      <c r="A137" s="15" t="str">
        <f>A59</f>
        <v>//////////////////////////////////</v>
      </c>
      <c r="B137" s="15"/>
      <c r="C137" s="15"/>
      <c r="D137" s="15"/>
      <c r="E137" s="20"/>
      <c r="F137" s="20"/>
      <c r="G137" s="20"/>
      <c r="H137" s="20"/>
      <c r="I137" s="20"/>
      <c r="J137" s="19"/>
      <c r="K137" s="19"/>
      <c r="L137" s="19"/>
      <c r="M137" s="19"/>
      <c r="N137" s="18"/>
      <c r="O137" s="17"/>
      <c r="P137" s="14"/>
      <c r="Q137" s="16"/>
      <c r="R137" s="15"/>
      <c r="S137" s="15"/>
      <c r="T137" s="15"/>
      <c r="U137" s="15"/>
      <c r="V137" s="15"/>
      <c r="W137" s="15"/>
      <c r="X137" s="14"/>
      <c r="Y137" s="14"/>
      <c r="AA137" s="2"/>
      <c r="AB137" s="2"/>
      <c r="AC137" s="2"/>
      <c r="AD137" s="2"/>
      <c r="AE137" s="2"/>
      <c r="AF137" s="2"/>
      <c r="AI137" s="13"/>
    </row>
    <row r="138" spans="1:35" ht="15" customHeight="1">
      <c r="E138" s="11"/>
      <c r="F138" s="11"/>
      <c r="G138" s="11"/>
      <c r="H138" s="11"/>
      <c r="I138" s="11"/>
      <c r="J138" s="10"/>
      <c r="K138" s="10"/>
      <c r="L138" s="10"/>
      <c r="M138" s="10"/>
      <c r="N138" s="9"/>
      <c r="O138" s="8"/>
      <c r="P138" s="2"/>
      <c r="Q138" s="2"/>
      <c r="Y138" s="2"/>
      <c r="AA138" s="2"/>
      <c r="AB138" s="2"/>
      <c r="AC138" s="2"/>
      <c r="AD138" s="2"/>
      <c r="AE138" s="2"/>
      <c r="AF138" s="2"/>
    </row>
    <row r="139" spans="1:35" ht="15" customHeight="1">
      <c r="E139" s="11"/>
      <c r="F139" s="11"/>
      <c r="G139" s="11"/>
      <c r="H139" s="11"/>
      <c r="I139" s="11"/>
      <c r="J139" s="10"/>
      <c r="K139" s="10"/>
      <c r="L139" s="10"/>
      <c r="M139" s="10"/>
      <c r="N139" s="9"/>
      <c r="O139" s="8"/>
      <c r="P139" s="2"/>
      <c r="Q139" s="2"/>
      <c r="Y139" s="2"/>
      <c r="AA139" s="2"/>
      <c r="AB139" s="2"/>
      <c r="AC139" s="2"/>
      <c r="AD139" s="2"/>
      <c r="AE139" s="2"/>
      <c r="AF139" s="2"/>
    </row>
    <row r="140" spans="1:35" ht="15" customHeight="1">
      <c r="E140" s="11"/>
      <c r="F140" s="11"/>
      <c r="G140" s="11"/>
      <c r="H140" s="11"/>
      <c r="I140" s="11"/>
      <c r="J140" s="10"/>
      <c r="K140" s="10"/>
      <c r="L140" s="10"/>
      <c r="M140" s="10"/>
      <c r="N140" s="9"/>
      <c r="O140" s="8"/>
      <c r="P140" s="2"/>
      <c r="Q140" s="12"/>
      <c r="Y140" s="2"/>
      <c r="AA140" s="2"/>
      <c r="AB140" s="2"/>
      <c r="AC140" s="2"/>
      <c r="AD140" s="2"/>
      <c r="AE140" s="2"/>
      <c r="AF140" s="2"/>
    </row>
    <row r="141" spans="1:35" ht="15" customHeight="1">
      <c r="E141" s="11"/>
      <c r="F141" s="11"/>
      <c r="G141" s="11"/>
      <c r="H141" s="11"/>
      <c r="I141" s="11"/>
      <c r="J141" s="10"/>
      <c r="K141" s="10"/>
      <c r="L141" s="10"/>
      <c r="M141" s="10"/>
      <c r="N141" s="9"/>
      <c r="O141" s="8"/>
      <c r="P141" s="2"/>
      <c r="Q141" s="12"/>
      <c r="Y141" s="2"/>
      <c r="AA141" s="2"/>
      <c r="AB141" s="2"/>
      <c r="AC141" s="2"/>
      <c r="AD141" s="2"/>
      <c r="AE141" s="2"/>
      <c r="AF141" s="2"/>
    </row>
    <row r="142" spans="1:35" ht="15" customHeight="1">
      <c r="E142" s="11"/>
      <c r="F142" s="11"/>
      <c r="G142" s="11"/>
      <c r="H142" s="11"/>
      <c r="I142" s="11"/>
      <c r="J142" s="10"/>
      <c r="K142" s="10"/>
      <c r="L142" s="10"/>
      <c r="M142" s="10"/>
      <c r="N142" s="9"/>
      <c r="O142" s="8"/>
      <c r="P142" s="2"/>
      <c r="Q142" s="12"/>
      <c r="Y142" s="2"/>
      <c r="AA142" s="2"/>
      <c r="AB142" s="2"/>
      <c r="AC142" s="2"/>
      <c r="AD142" s="2"/>
      <c r="AE142" s="2"/>
      <c r="AF142" s="2"/>
    </row>
    <row r="143" spans="1:35" ht="15" customHeight="1">
      <c r="E143" s="11"/>
      <c r="F143" s="11"/>
      <c r="G143" s="11"/>
      <c r="H143" s="11"/>
      <c r="I143" s="11"/>
      <c r="J143" s="10"/>
      <c r="K143" s="10"/>
      <c r="L143" s="10"/>
      <c r="M143" s="10"/>
      <c r="N143" s="9"/>
      <c r="O143" s="8"/>
      <c r="P143" s="2"/>
      <c r="Q143" s="2"/>
      <c r="Y143" s="2"/>
      <c r="AA143" s="2"/>
      <c r="AB143" s="2"/>
      <c r="AC143" s="2"/>
      <c r="AD143" s="2"/>
      <c r="AE143" s="2"/>
      <c r="AF143" s="2"/>
    </row>
    <row r="144" spans="1:35" ht="15" customHeight="1">
      <c r="E144" s="11"/>
      <c r="F144" s="11"/>
      <c r="G144" s="11"/>
      <c r="H144" s="11"/>
      <c r="I144" s="11"/>
      <c r="J144" s="10"/>
      <c r="K144" s="10"/>
      <c r="L144" s="10"/>
      <c r="M144" s="10"/>
      <c r="N144" s="9"/>
      <c r="O144" s="8"/>
      <c r="P144" s="2"/>
      <c r="Q144" s="2"/>
      <c r="Y144" s="2"/>
      <c r="AA144" s="2"/>
      <c r="AB144" s="2"/>
      <c r="AC144" s="2"/>
      <c r="AD144" s="2"/>
      <c r="AE144" s="2"/>
      <c r="AF144" s="2"/>
    </row>
    <row r="145" spans="1:32" ht="15" customHeight="1">
      <c r="E145" s="11"/>
      <c r="F145" s="11"/>
      <c r="G145" s="11"/>
      <c r="H145" s="11"/>
      <c r="I145" s="11"/>
      <c r="J145" s="10"/>
      <c r="K145" s="10"/>
      <c r="L145" s="10"/>
      <c r="M145" s="10"/>
      <c r="N145" s="9"/>
      <c r="O145" s="8"/>
      <c r="P145" s="2"/>
      <c r="Q145" s="2"/>
      <c r="Y145" s="2"/>
      <c r="AA145" s="2"/>
      <c r="AB145" s="2"/>
      <c r="AC145" s="2"/>
      <c r="AD145" s="2"/>
      <c r="AE145" s="2"/>
      <c r="AF145" s="2"/>
    </row>
    <row r="146" spans="1:32" ht="15" customHeight="1">
      <c r="A146" s="7"/>
      <c r="E146" s="4"/>
      <c r="N146" s="6" t="s">
        <v>0</v>
      </c>
      <c r="O146" s="2"/>
      <c r="P146" s="5"/>
      <c r="Q146" s="5"/>
      <c r="R146" s="5"/>
      <c r="S146" s="5"/>
      <c r="T146" s="5"/>
      <c r="U146" s="5"/>
      <c r="V146" s="5"/>
      <c r="W146" s="5"/>
      <c r="Y146" s="2"/>
      <c r="AA146" s="2"/>
      <c r="AB146" s="2"/>
      <c r="AC146" s="2"/>
      <c r="AD146" s="2"/>
      <c r="AE146" s="2"/>
      <c r="AF146" s="2"/>
    </row>
    <row r="147" spans="1:32" ht="15" customHeight="1">
      <c r="E147" s="4"/>
      <c r="O147" s="2"/>
      <c r="P147" s="3"/>
      <c r="Q147" s="3"/>
      <c r="R147" s="2"/>
      <c r="S147" s="2"/>
      <c r="X147" s="3"/>
      <c r="Y147" s="2"/>
      <c r="AA147" s="2"/>
      <c r="AB147" s="2"/>
      <c r="AC147" s="2"/>
      <c r="AD147" s="2"/>
      <c r="AE147" s="2"/>
      <c r="AF147" s="2"/>
    </row>
  </sheetData>
  <mergeCells count="83">
    <mergeCell ref="T133:AA133"/>
    <mergeCell ref="J134:M134"/>
    <mergeCell ref="N134:P134"/>
    <mergeCell ref="Q134:S134"/>
    <mergeCell ref="T134:W134"/>
    <mergeCell ref="T131:AA131"/>
    <mergeCell ref="J132:M132"/>
    <mergeCell ref="N132:P132"/>
    <mergeCell ref="Q132:S132"/>
    <mergeCell ref="T132:W132"/>
    <mergeCell ref="R129:T129"/>
    <mergeCell ref="J130:M130"/>
    <mergeCell ref="N130:P130"/>
    <mergeCell ref="Q130:S130"/>
    <mergeCell ref="T130:W130"/>
    <mergeCell ref="Q122:S122"/>
    <mergeCell ref="U122:X122"/>
    <mergeCell ref="Q126:S126"/>
    <mergeCell ref="U126:X126"/>
    <mergeCell ref="J128:M128"/>
    <mergeCell ref="N128:P128"/>
    <mergeCell ref="Q128:S128"/>
    <mergeCell ref="T128:W128"/>
    <mergeCell ref="Q124:S124"/>
    <mergeCell ref="U124:X124"/>
    <mergeCell ref="B118:D119"/>
    <mergeCell ref="Q118:S118"/>
    <mergeCell ref="U118:X118"/>
    <mergeCell ref="Q120:S120"/>
    <mergeCell ref="U120:X120"/>
    <mergeCell ref="A77:Y77"/>
    <mergeCell ref="W79:X79"/>
    <mergeCell ref="A111:E111"/>
    <mergeCell ref="F111:I111"/>
    <mergeCell ref="A114:W114"/>
    <mergeCell ref="J54:N54"/>
    <mergeCell ref="O54:R54"/>
    <mergeCell ref="S54:W54"/>
    <mergeCell ref="J56:N56"/>
    <mergeCell ref="O56:R56"/>
    <mergeCell ref="S56:W56"/>
    <mergeCell ref="J52:N52"/>
    <mergeCell ref="S52:W52"/>
    <mergeCell ref="J45:N45"/>
    <mergeCell ref="O45:R45"/>
    <mergeCell ref="J46:N46"/>
    <mergeCell ref="O46:R46"/>
    <mergeCell ref="S46:W46"/>
    <mergeCell ref="J48:N48"/>
    <mergeCell ref="O48:R48"/>
    <mergeCell ref="S48:W48"/>
    <mergeCell ref="J50:N50"/>
    <mergeCell ref="O50:R50"/>
    <mergeCell ref="S50:W50"/>
    <mergeCell ref="F49:I49"/>
    <mergeCell ref="J49:N49"/>
    <mergeCell ref="O49:R49"/>
    <mergeCell ref="S49:W49"/>
    <mergeCell ref="A1:Y1"/>
    <mergeCell ref="W3:X3"/>
    <mergeCell ref="Q10:R10"/>
    <mergeCell ref="B12:G12"/>
    <mergeCell ref="F45:I45"/>
    <mergeCell ref="S45:W45"/>
    <mergeCell ref="A36:E36"/>
    <mergeCell ref="F36:I36"/>
    <mergeCell ref="A39:W39"/>
    <mergeCell ref="J42:N42"/>
    <mergeCell ref="O42:R42"/>
    <mergeCell ref="S42:W42"/>
    <mergeCell ref="B5:I5"/>
    <mergeCell ref="F47:I47"/>
    <mergeCell ref="J47:N47"/>
    <mergeCell ref="O47:R47"/>
    <mergeCell ref="S47:W47"/>
    <mergeCell ref="B43:D44"/>
    <mergeCell ref="F43:I43"/>
    <mergeCell ref="J43:N43"/>
    <mergeCell ref="O43:R43"/>
    <mergeCell ref="S43:W43"/>
    <mergeCell ref="J44:N44"/>
    <mergeCell ref="O44:R44"/>
    <mergeCell ref="S44:W44"/>
  </mergeCells>
  <phoneticPr fontId="48" type="noConversion"/>
  <printOptions horizontalCentered="1"/>
  <pageMargins left="0.47244094488188981" right="0.47244094488188981" top="0.51181102362204722" bottom="0.51181102362204722" header="0.51181102362204722" footer="0.51181102362204722"/>
  <pageSetup paperSize="9" scale="70" fitToHeight="5" orientation="portrait" r:id="rId1"/>
  <headerFooter alignWithMargins="0"/>
  <rowBreaks count="1" manualBreakCount="1">
    <brk id="76" max="2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 &amp; PK</vt:lpstr>
      <vt:lpstr>'IV &amp; PK'!Print_Area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OTM-COFERENCE ROOM</dc:creator>
  <cp:lastModifiedBy>VNG-279</cp:lastModifiedBy>
  <cp:lastPrinted>2020-03-17T06:24:39Z</cp:lastPrinted>
  <dcterms:created xsi:type="dcterms:W3CDTF">2020-02-13T09:46:39Z</dcterms:created>
  <dcterms:modified xsi:type="dcterms:W3CDTF">2023-07-17T02:56:11Z</dcterms:modified>
</cp:coreProperties>
</file>