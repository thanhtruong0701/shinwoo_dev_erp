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\gaspProjects\otm\02.Web\reports\ep\ex\"/>
    </mc:Choice>
  </mc:AlternateContent>
  <bookViews>
    <workbookView xWindow="-120" yWindow="-120" windowWidth="29040" windowHeight="15990"/>
  </bookViews>
  <sheets>
    <sheet name="IV &amp; PK" sheetId="1" r:id="rId1"/>
  </sheets>
  <definedNames>
    <definedName name="_xlnm.Print_Area" localSheetId="0">'IV &amp; PK'!$A$1:$Z$113</definedName>
  </definedNames>
  <calcPr calcId="162913"/>
</workbook>
</file>

<file path=xl/calcChain.xml><?xml version="1.0" encoding="utf-8"?>
<calcChain xmlns="http://schemas.openxmlformats.org/spreadsheetml/2006/main">
  <c r="B71" i="1" l="1"/>
  <c r="B72" i="1"/>
  <c r="B68" i="1" l="1"/>
  <c r="B65" i="1"/>
  <c r="B64" i="1"/>
  <c r="U98" i="1" l="1"/>
  <c r="R98" i="1"/>
  <c r="O98" i="1"/>
  <c r="K98" i="1"/>
  <c r="T39" i="1"/>
  <c r="K39" i="1"/>
  <c r="P80" i="1" l="1"/>
  <c r="G97" i="1" l="1"/>
  <c r="N96" i="1"/>
  <c r="P96" i="1" s="1"/>
  <c r="G96" i="1"/>
  <c r="G95" i="1"/>
  <c r="N94" i="1"/>
  <c r="P94" i="1" s="1"/>
  <c r="G94" i="1"/>
  <c r="X73" i="1" l="1"/>
  <c r="X72" i="1"/>
  <c r="X71" i="1"/>
  <c r="X70" i="1"/>
  <c r="X69" i="1"/>
  <c r="X68" i="1"/>
  <c r="V73" i="1"/>
  <c r="V72" i="1"/>
  <c r="V71" i="1"/>
  <c r="V70" i="1"/>
  <c r="V69" i="1"/>
  <c r="V68" i="1"/>
  <c r="T73" i="1"/>
  <c r="T72" i="1"/>
  <c r="T71" i="1"/>
  <c r="T70" i="1"/>
  <c r="T69" i="1"/>
  <c r="T68" i="1"/>
  <c r="R73" i="1"/>
  <c r="R72" i="1"/>
  <c r="R71" i="1"/>
  <c r="R70" i="1"/>
  <c r="R69" i="1"/>
  <c r="R68" i="1"/>
  <c r="T37" i="1"/>
  <c r="T35" i="1"/>
  <c r="B92" i="1" l="1"/>
  <c r="B93" i="1"/>
  <c r="B94" i="1"/>
  <c r="B91" i="1"/>
  <c r="A85" i="1" l="1"/>
  <c r="P71" i="1"/>
  <c r="B75" i="1" l="1"/>
  <c r="T33" i="1"/>
  <c r="N92" i="1" l="1"/>
  <c r="B76" i="1"/>
  <c r="Q80" i="1"/>
  <c r="P73" i="1"/>
  <c r="P72" i="1"/>
  <c r="P69" i="1"/>
  <c r="P70" i="1"/>
  <c r="P68" i="1"/>
  <c r="L64" i="1"/>
  <c r="P64" i="1"/>
  <c r="X64" i="1"/>
  <c r="O68" i="1"/>
  <c r="B80" i="1"/>
  <c r="B83" i="1"/>
  <c r="H83" i="1"/>
  <c r="G85" i="1"/>
  <c r="G92" i="1"/>
  <c r="G93" i="1"/>
  <c r="A102" i="1"/>
  <c r="A103" i="1"/>
  <c r="P92" i="1" l="1"/>
</calcChain>
</file>

<file path=xl/sharedStrings.xml><?xml version="1.0" encoding="utf-8"?>
<sst xmlns="http://schemas.openxmlformats.org/spreadsheetml/2006/main" count="92" uniqueCount="52">
  <si>
    <t>17)Signed By</t>
  </si>
  <si>
    <t xml:space="preserve">  T O T A L</t>
  </si>
  <si>
    <t>10)Marks and numbers of PKGS 11)Description of goods   12)Quantity       13)Net Weight          14)Gross Weight                    15)Measurement</t>
  </si>
  <si>
    <t>:</t>
  </si>
  <si>
    <t xml:space="preserve">※ </t>
  </si>
  <si>
    <t>7)Sailing on or about</t>
  </si>
  <si>
    <t>6)Carrier</t>
  </si>
  <si>
    <t>5)Final destination</t>
  </si>
  <si>
    <t>4)Port of loading</t>
  </si>
  <si>
    <t>※</t>
  </si>
  <si>
    <t>3)Notify party</t>
  </si>
  <si>
    <t>Q'TY/CTN</t>
  </si>
  <si>
    <t>P/No.</t>
  </si>
  <si>
    <t>2)For Account &amp; Risk of Messrs.</t>
  </si>
  <si>
    <t>9)Remarks :</t>
  </si>
  <si>
    <t>8)No. &amp; date of invoice</t>
  </si>
  <si>
    <t>1)Shipper/Exporter</t>
  </si>
  <si>
    <t>PACKING LIST</t>
  </si>
  <si>
    <t>- Swift code : IBKOKRSE</t>
  </si>
  <si>
    <t xml:space="preserve">* BANK INFORMATION </t>
  </si>
  <si>
    <t>18)Signed By</t>
  </si>
  <si>
    <t>//////////////////////////////////</t>
  </si>
  <si>
    <t>MADE IN VIET NAM</t>
  </si>
  <si>
    <t>OUT BOUND SHIPMENT</t>
  </si>
  <si>
    <t>LOT No.</t>
  </si>
  <si>
    <t>10) Country of Origin of Goods                   VIET NAM</t>
  </si>
  <si>
    <t>9) Terms of delivery and payment</t>
  </si>
  <si>
    <t>1)Shipper/Exporter/Manufacturer</t>
  </si>
  <si>
    <t>COMMERCIAL INVOICE</t>
  </si>
  <si>
    <t>THE SAME AS ABOVE</t>
  </si>
  <si>
    <t>11)Remarks :</t>
  </si>
  <si>
    <t>CTN/No.</t>
  </si>
  <si>
    <t>ETA</t>
  </si>
  <si>
    <t>SUPPLIER NO.</t>
  </si>
  <si>
    <t>12)Marks and numbers of PKGS 13)Description of goods  14)Quantity/Unit       15)Unit Price                                    16)Amount</t>
  </si>
  <si>
    <t>16)Commodity HTS Number                                "Automotive Seat Belt Component" (HS: 8708.29.20)</t>
  </si>
  <si>
    <t>17)Commodity HTS Number                                          " Automotive Seat Belt Component" (HS: 8708.29.20)</t>
  </si>
  <si>
    <t>AUTOLIV THAILAND</t>
  </si>
  <si>
    <t>MADE IN VIETNAM</t>
  </si>
  <si>
    <t>SHIPPING MARK:</t>
  </si>
  <si>
    <t>Cont/ seal:    HMMU2032814/ 191025132</t>
  </si>
  <si>
    <t>PALLET Q'TY</t>
  </si>
  <si>
    <t xml:space="preserve">PALLET SIZE </t>
  </si>
  <si>
    <t>WGT/PALLET</t>
  </si>
  <si>
    <t>- Address : Unit 604, Diamond Plaza, 34 Le Duan Blvd., Dist. 1, HCMC, Vietnam</t>
  </si>
  <si>
    <t>- Bank Account Number/SWIFT: 0764-0054-932-0001 // IBKOVNVX</t>
  </si>
  <si>
    <t>- Bank Name : Industrial Bank of Korea - Ho Chi Minh City Branch</t>
  </si>
  <si>
    <t xml:space="preserve">ATTN: </t>
  </si>
  <si>
    <t>TEL:</t>
  </si>
  <si>
    <t>T/T</t>
  </si>
  <si>
    <t xml:space="preserve">OUT BOUND SHIPMENT: </t>
  </si>
  <si>
    <t xml:space="preserve">PALLET 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</si>
</sst>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164" formatCode="_-* #,##0_-;\-* #,##0_-;_-* &quot;-&quot;_-;_-@_-"/>
    <numFmt numFmtId="165" formatCode="_-* #,##0.00_-;\-* #,##0.00_-;_-* &quot;-&quot;??_-;_-@_-"/>
    <numFmt numFmtId="166" formatCode="0.00\ &quot;CBM&quot;"/>
    <numFmt numFmtId="167" formatCode="#,##0\ &quot;kgs&quot;"/>
    <numFmt numFmtId="168" formatCode="0.000\ &quot;CBM&quot;"/>
    <numFmt numFmtId="169" formatCode="#,##0\ &quot;PCS&quot;"/>
    <numFmt numFmtId="170" formatCode="[$-409]d&quot;-&quot;mmm&quot;-&quot;yy;@"/>
    <numFmt numFmtId="171" formatCode="\(#\ &quot;BOXES)&quot;"/>
    <numFmt numFmtId="172" formatCode="&quot;(&quot;#\ &quot;SKIDS)&quot;"/>
    <numFmt numFmtId="173" formatCode="&quot;(&quot;#\ &quot;SKID)&quot;"/>
    <numFmt numFmtId="174" formatCode="&quot;0&quot;00#"/>
    <numFmt numFmtId="175" formatCode="&quot;I-000&quot;##&quot;,&quot;"/>
    <numFmt numFmtId="176" formatCode="&quot;￦ &quot;#,##0"/>
    <numFmt numFmtId="177" formatCode="&quot;US$&quot;\ #,##0.00"/>
    <numFmt numFmtId="178" formatCode="&quot;￦ &quot;#,##0.00"/>
    <numFmt numFmtId="179" formatCode="&quot;@$ &quot;0.0000"/>
    <numFmt numFmtId="180" formatCode="&quot;US$&quot;#,##0.00"/>
    <numFmt numFmtId="181" formatCode="m&quot;/&quot;d&quot;/&quot;yy;@"/>
    <numFmt numFmtId="182" formatCode="&quot;(0&quot;.0#\ &quot;SKID)&quot;"/>
    <numFmt numFmtId="183" formatCode="mm&quot;월&quot;\ dd&quot;일&quot;"/>
    <numFmt numFmtId="184" formatCode="_(* #,##0_);_(* \(#,##0\);_(* &quot;-&quot;??_);_(@_)"/>
    <numFmt numFmtId="185" formatCode="&quot;₩&quot;#,##0.00\ ;\(&quot;₩&quot;#,##0.00\)"/>
    <numFmt numFmtId="186" formatCode="&quot;₩&quot;#,##0;&quot;₩&quot;\-#,##0"/>
    <numFmt numFmtId="187" formatCode="&quot;&quot;#\ &quot;SKIDS&quot;"/>
    <numFmt numFmtId="188" formatCode="&quot;&quot;#\ &quot; PALLETS&quot;"/>
    <numFmt numFmtId="189" formatCode="&quot;(&quot;#\ &quot;BOXES)&quot;"/>
  </numFmts>
  <fonts count="47">
    <font>
      <sz val="10"/>
      <name val="MS Sans Serif"/>
      <family val="2"/>
    </font>
    <font>
      <sz val="10"/>
      <name val="MS Sans Serif"/>
      <family val="2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20"/>
      <name val="Tahoma"/>
      <family val="2"/>
    </font>
    <font>
      <u/>
      <sz val="10"/>
      <name val="Tahoma"/>
      <family val="2"/>
    </font>
    <font>
      <sz val="10"/>
      <color indexed="9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1"/>
      <color indexed="20"/>
      <name val="Calibri"/>
      <family val="2"/>
    </font>
    <font>
      <b/>
      <sz val="11"/>
      <name val="Helv"/>
      <family val="2"/>
    </font>
    <font>
      <sz val="12"/>
      <name val="굴림체"/>
      <family val="3"/>
      <charset val="129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宋体"/>
      <family val="3"/>
      <charset val="129"/>
    </font>
    <font>
      <sz val="12"/>
      <name val="宋体"/>
    </font>
    <font>
      <sz val="13"/>
      <name val="돋움"/>
      <family val="3"/>
      <charset val="129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0.5"/>
      <name val="Tahoma"/>
      <family val="2"/>
    </font>
    <font>
      <b/>
      <sz val="12"/>
      <name val="Tahoma"/>
      <family val="2"/>
    </font>
    <font>
      <sz val="12"/>
      <name val="宋体"/>
      <charset val="129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840">
    <xf numFmtId="0" fontId="0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5" borderId="0" applyNumberFormat="0" applyBorder="0" applyAlignment="0" applyProtection="0"/>
    <xf numFmtId="0" fontId="14" fillId="17" borderId="10" applyNumberFormat="0" applyAlignment="0" applyProtection="0"/>
    <xf numFmtId="0" fontId="15" fillId="0" borderId="0"/>
    <xf numFmtId="0" fontId="16" fillId="18" borderId="11" applyNumberFormat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19" fillId="8" borderId="10" applyNumberFormat="0" applyAlignment="0" applyProtection="0"/>
    <xf numFmtId="38" fontId="20" fillId="23" borderId="0" applyNumberFormat="0" applyBorder="0" applyAlignment="0" applyProtection="0"/>
    <xf numFmtId="0" fontId="21" fillId="0" borderId="0">
      <alignment horizontal="left"/>
    </xf>
    <xf numFmtId="0" fontId="22" fillId="0" borderId="13" applyNumberFormat="0" applyAlignment="0" applyProtection="0">
      <alignment horizontal="left" vertical="center"/>
    </xf>
    <xf numFmtId="0" fontId="22" fillId="0" borderId="14">
      <alignment horizontal="left" vertical="center"/>
    </xf>
    <xf numFmtId="0" fontId="23" fillId="4" borderId="0" applyNumberFormat="0" applyBorder="0" applyAlignment="0" applyProtection="0"/>
    <xf numFmtId="10" fontId="20" fillId="23" borderId="15" applyNumberFormat="0" applyBorder="0" applyAlignment="0" applyProtection="0"/>
    <xf numFmtId="0" fontId="24" fillId="0" borderId="3"/>
    <xf numFmtId="184" fontId="25" fillId="0" borderId="0"/>
    <xf numFmtId="0" fontId="11" fillId="24" borderId="16" applyNumberFormat="0" applyFont="0" applyAlignment="0" applyProtection="0"/>
    <xf numFmtId="10" fontId="26" fillId="0" borderId="0" applyFont="0" applyFill="0" applyBorder="0" applyAlignment="0" applyProtection="0"/>
    <xf numFmtId="0" fontId="27" fillId="17" borderId="17" applyNumberFormat="0" applyAlignment="0" applyProtection="0"/>
    <xf numFmtId="0" fontId="24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2" fillId="0" borderId="19" applyNumberFormat="0" applyFill="0" applyAlignment="0" applyProtection="0"/>
    <xf numFmtId="0" fontId="18" fillId="0" borderId="20" applyNumberFormat="0" applyFill="0" applyAlignment="0" applyProtection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7" fillId="0" borderId="0" applyFont="0" applyFill="0" applyBorder="0" applyAlignment="0" applyProtection="0">
      <alignment vertical="center"/>
    </xf>
    <xf numFmtId="164" fontId="37" fillId="0" borderId="0" applyFont="0" applyFill="0" applyBorder="0" applyAlignment="0" applyProtection="0">
      <alignment vertical="center"/>
    </xf>
    <xf numFmtId="164" fontId="37" fillId="0" borderId="0" applyFont="0" applyFill="0" applyBorder="0" applyAlignment="0" applyProtection="0">
      <alignment vertical="center"/>
    </xf>
    <xf numFmtId="164" fontId="37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4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49" fontId="41" fillId="0" borderId="0" applyNumberFormat="0" applyFill="0" applyBorder="0" applyAlignment="0" applyProtection="0"/>
    <xf numFmtId="49" fontId="36" fillId="0" borderId="0" applyNumberForma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49" fontId="42" fillId="0" borderId="0" applyNumberFormat="0" applyFill="0" applyBorder="0" applyAlignment="0" applyProtection="0"/>
    <xf numFmtId="10" fontId="33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/>
    <xf numFmtId="0" fontId="33" fillId="0" borderId="21" applyNumberFormat="0" applyFont="0" applyFill="0" applyAlignment="0" applyProtection="0"/>
    <xf numFmtId="185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31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66" fontId="2" fillId="2" borderId="0" xfId="0" applyNumberFormat="1" applyFont="1" applyFill="1" applyBorder="1" applyAlignment="1">
      <alignment horizontal="right" vertical="center"/>
    </xf>
    <xf numFmtId="167" fontId="3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Continuous" vertical="center"/>
    </xf>
    <xf numFmtId="0" fontId="5" fillId="2" borderId="0" xfId="0" applyFont="1" applyFill="1" applyBorder="1" applyAlignment="1">
      <alignment vertical="center"/>
    </xf>
    <xf numFmtId="167" fontId="2" fillId="2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67" fontId="2" fillId="0" borderId="0" xfId="0" applyNumberFormat="1" applyFont="1" applyFill="1" applyBorder="1" applyAlignment="1">
      <alignment vertical="center"/>
    </xf>
    <xf numFmtId="166" fontId="2" fillId="0" borderId="0" xfId="0" applyNumberFormat="1" applyFont="1" applyFill="1" applyBorder="1" applyAlignment="1">
      <alignment horizontal="right" vertical="center"/>
    </xf>
    <xf numFmtId="167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Continuous" vertical="center"/>
    </xf>
    <xf numFmtId="168" fontId="4" fillId="2" borderId="0" xfId="0" applyNumberFormat="1" applyFont="1" applyFill="1" applyBorder="1" applyAlignment="1">
      <alignment horizontal="right" vertical="center"/>
    </xf>
    <xf numFmtId="166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8" fontId="2" fillId="2" borderId="0" xfId="0" applyNumberFormat="1" applyFont="1" applyFill="1" applyBorder="1" applyAlignment="1">
      <alignment horizontal="right" vertical="center"/>
    </xf>
    <xf numFmtId="168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168" fontId="2" fillId="0" borderId="0" xfId="0" applyNumberFormat="1" applyFont="1" applyFill="1" applyBorder="1" applyAlignment="1">
      <alignment vertical="center"/>
    </xf>
    <xf numFmtId="168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169" fontId="2" fillId="2" borderId="0" xfId="0" applyNumberFormat="1" applyFont="1" applyFill="1" applyAlignment="1">
      <alignment vertical="center"/>
    </xf>
    <xf numFmtId="168" fontId="2" fillId="2" borderId="0" xfId="0" applyNumberFormat="1" applyFont="1" applyFill="1" applyBorder="1" applyAlignment="1">
      <alignment vertical="center"/>
    </xf>
    <xf numFmtId="0" fontId="2" fillId="0" borderId="0" xfId="0" applyFont="1"/>
    <xf numFmtId="0" fontId="2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168" fontId="3" fillId="2" borderId="0" xfId="0" quotePrefix="1" applyNumberFormat="1" applyFont="1" applyFill="1" applyAlignment="1">
      <alignment horizontal="left" vertical="center"/>
    </xf>
    <xf numFmtId="167" fontId="2" fillId="0" borderId="0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8" fontId="6" fillId="0" borderId="0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8" fontId="3" fillId="0" borderId="0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8" fontId="3" fillId="2" borderId="0" xfId="0" applyNumberFormat="1" applyFont="1" applyFill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/>
    <xf numFmtId="169" fontId="3" fillId="0" borderId="0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71" fontId="2" fillId="0" borderId="0" xfId="0" applyNumberFormat="1" applyFont="1" applyFill="1" applyBorder="1" applyAlignment="1">
      <alignment horizontal="left" vertical="center"/>
    </xf>
    <xf numFmtId="171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72" fontId="2" fillId="0" borderId="0" xfId="0" applyNumberFormat="1" applyFont="1" applyFill="1" applyBorder="1" applyAlignment="1">
      <alignment horizontal="left" vertical="center"/>
    </xf>
    <xf numFmtId="172" fontId="2" fillId="2" borderId="0" xfId="0" applyNumberFormat="1" applyFont="1" applyFill="1" applyAlignment="1">
      <alignment horizontal="left" vertical="center"/>
    </xf>
    <xf numFmtId="169" fontId="3" fillId="2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73" fontId="2" fillId="2" borderId="0" xfId="0" applyNumberFormat="1" applyFont="1" applyFill="1" applyBorder="1" applyAlignment="1">
      <alignment horizontal="left" vertical="center"/>
    </xf>
    <xf numFmtId="169" fontId="3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16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71" fontId="2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172" fontId="2" fillId="0" borderId="0" xfId="0" applyNumberFormat="1" applyFont="1" applyFill="1" applyAlignment="1">
      <alignment horizontal="left" vertical="center"/>
    </xf>
    <xf numFmtId="174" fontId="2" fillId="0" borderId="0" xfId="0" quotePrefix="1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/>
    </xf>
    <xf numFmtId="3" fontId="2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Font="1" applyFill="1" applyAlignment="1">
      <alignment horizontal="left" vertical="center"/>
    </xf>
    <xf numFmtId="174" fontId="2" fillId="2" borderId="0" xfId="0" applyNumberFormat="1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15" fontId="4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75" fontId="4" fillId="2" borderId="2" xfId="0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Continuous" vertical="center"/>
    </xf>
    <xf numFmtId="0" fontId="8" fillId="2" borderId="0" xfId="0" applyFont="1" applyFill="1" applyBorder="1" applyAlignment="1">
      <alignment horizontal="center" vertical="center"/>
    </xf>
    <xf numFmtId="0" fontId="2" fillId="2" borderId="0" xfId="0" quotePrefix="1" applyFont="1" applyFill="1" applyBorder="1" applyAlignment="1">
      <alignment vertical="center"/>
    </xf>
    <xf numFmtId="0" fontId="2" fillId="2" borderId="0" xfId="0" quotePrefix="1" applyFont="1" applyFill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176" fontId="2" fillId="2" borderId="0" xfId="0" applyNumberFormat="1" applyFont="1" applyFill="1" applyBorder="1" applyAlignment="1">
      <alignment vertical="center"/>
    </xf>
    <xf numFmtId="169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/>
    </xf>
    <xf numFmtId="177" fontId="2" fillId="2" borderId="0" xfId="0" applyNumberFormat="1" applyFont="1" applyFill="1" applyBorder="1" applyAlignment="1">
      <alignment horizontal="right" vertical="center"/>
    </xf>
    <xf numFmtId="4" fontId="2" fillId="2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Border="1" applyAlignment="1">
      <alignment vertical="center"/>
    </xf>
    <xf numFmtId="169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178" fontId="2" fillId="0" borderId="0" xfId="0" applyNumberFormat="1" applyFont="1" applyFill="1" applyBorder="1" applyAlignment="1">
      <alignment vertical="center"/>
    </xf>
    <xf numFmtId="0" fontId="2" fillId="0" borderId="0" xfId="0" applyFont="1" applyFill="1"/>
    <xf numFmtId="0" fontId="2" fillId="0" borderId="0" xfId="0" quotePrefix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horizontal="right" vertical="center"/>
    </xf>
    <xf numFmtId="4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177" fontId="2" fillId="0" borderId="2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180" fontId="2" fillId="2" borderId="0" xfId="0" applyNumberFormat="1" applyFont="1" applyFill="1" applyAlignment="1">
      <alignment vertical="center"/>
    </xf>
    <xf numFmtId="181" fontId="2" fillId="0" borderId="0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169" fontId="6" fillId="0" borderId="0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NumberFormat="1" applyFont="1" applyFill="1" applyAlignment="1">
      <alignment vertical="center" wrapText="1"/>
    </xf>
    <xf numFmtId="0" fontId="4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vertical="center"/>
    </xf>
    <xf numFmtId="174" fontId="7" fillId="0" borderId="0" xfId="0" applyNumberFormat="1" applyFont="1" applyFill="1" applyBorder="1" applyAlignment="1">
      <alignment horizontal="left" vertical="center"/>
    </xf>
    <xf numFmtId="174" fontId="2" fillId="0" borderId="0" xfId="0" quotePrefix="1" applyNumberFormat="1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174" fontId="2" fillId="0" borderId="0" xfId="0" quotePrefix="1" applyNumberFormat="1" applyFont="1" applyFill="1" applyBorder="1" applyAlignment="1">
      <alignment horizontal="left" vertical="center"/>
    </xf>
    <xf numFmtId="182" fontId="2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4" fillId="0" borderId="7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173" fontId="2" fillId="0" borderId="0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15" fontId="2" fillId="2" borderId="2" xfId="0" applyNumberFormat="1" applyFont="1" applyFill="1" applyBorder="1" applyAlignment="1">
      <alignment vertical="center"/>
    </xf>
    <xf numFmtId="183" fontId="2" fillId="2" borderId="2" xfId="0" applyNumberFormat="1" applyFont="1" applyFill="1" applyBorder="1" applyAlignment="1">
      <alignment vertical="center"/>
    </xf>
    <xf numFmtId="175" fontId="2" fillId="2" borderId="2" xfId="0" applyNumberFormat="1" applyFont="1" applyFill="1" applyBorder="1" applyAlignment="1">
      <alignment horizontal="center" vertical="center"/>
    </xf>
    <xf numFmtId="175" fontId="4" fillId="0" borderId="2" xfId="0" applyNumberFormat="1" applyFont="1" applyFill="1" applyBorder="1" applyAlignment="1">
      <alignment horizontal="left" vertical="center"/>
    </xf>
    <xf numFmtId="169" fontId="2" fillId="0" borderId="0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69" fontId="2" fillId="2" borderId="0" xfId="0" applyNumberFormat="1" applyFont="1" applyFill="1" applyAlignment="1">
      <alignment horizontal="left" vertical="center" wrapText="1"/>
    </xf>
    <xf numFmtId="0" fontId="44" fillId="0" borderId="0" xfId="0" applyFont="1"/>
    <xf numFmtId="0" fontId="44" fillId="2" borderId="0" xfId="0" applyFont="1" applyFill="1" applyBorder="1" applyAlignment="1">
      <alignment vertical="center"/>
    </xf>
    <xf numFmtId="0" fontId="44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87" fontId="2" fillId="2" borderId="0" xfId="0" applyNumberFormat="1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4" fillId="0" borderId="27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70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5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horizontal="left" vertical="center" wrapText="1"/>
    </xf>
    <xf numFmtId="188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/>
    </xf>
    <xf numFmtId="189" fontId="2" fillId="2" borderId="0" xfId="0" applyNumberFormat="1" applyFont="1" applyFill="1" applyAlignment="1">
      <alignment horizontal="left" vertical="center"/>
    </xf>
    <xf numFmtId="0" fontId="0" fillId="0" borderId="0" xfId="0"/>
    <xf numFmtId="0" fontId="2" fillId="2" borderId="0" xfId="0" quotePrefix="1" applyFont="1" applyFill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2" fillId="2" borderId="0" xfId="0" quotePrefix="1" applyFont="1" applyFill="1" applyBorder="1" applyAlignmen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4" fillId="0" borderId="28" xfId="0" applyFont="1" applyFill="1" applyBorder="1" applyAlignment="1">
      <alignment horizontal="right" vertical="center"/>
    </xf>
    <xf numFmtId="169" fontId="2" fillId="0" borderId="0" xfId="0" applyNumberFormat="1" applyFont="1" applyFill="1" applyAlignment="1">
      <alignment horizontal="right" vertical="center"/>
    </xf>
    <xf numFmtId="179" fontId="2" fillId="0" borderId="0" xfId="0" quotePrefix="1" applyNumberFormat="1" applyFont="1" applyFill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67" fontId="2" fillId="0" borderId="0" xfId="0" applyNumberFormat="1" applyFont="1" applyFill="1" applyBorder="1" applyAlignment="1">
      <alignment horizontal="center" vertical="center"/>
    </xf>
    <xf numFmtId="168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170" fontId="2" fillId="2" borderId="2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0" fontId="4" fillId="2" borderId="6" xfId="0" applyNumberFormat="1" applyFont="1" applyFill="1" applyBorder="1" applyAlignment="1">
      <alignment horizontal="center" vertical="center"/>
    </xf>
    <xf numFmtId="170" fontId="4" fillId="2" borderId="2" xfId="0" applyNumberFormat="1" applyFont="1" applyFill="1" applyBorder="1" applyAlignment="1">
      <alignment horizontal="center" vertical="center"/>
    </xf>
    <xf numFmtId="170" fontId="4" fillId="2" borderId="5" xfId="0" applyNumberFormat="1" applyFont="1" applyFill="1" applyBorder="1" applyAlignment="1">
      <alignment horizontal="center" vertical="center"/>
    </xf>
    <xf numFmtId="179" fontId="2" fillId="2" borderId="0" xfId="0" quotePrefix="1" applyNumberFormat="1" applyFont="1" applyFill="1" applyAlignment="1">
      <alignment horizontal="center" vertical="center"/>
    </xf>
    <xf numFmtId="170" fontId="2" fillId="0" borderId="2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70" fontId="4" fillId="0" borderId="6" xfId="0" applyNumberFormat="1" applyFont="1" applyFill="1" applyBorder="1" applyAlignment="1">
      <alignment horizontal="center" vertical="center"/>
    </xf>
    <xf numFmtId="170" fontId="4" fillId="0" borderId="2" xfId="0" applyNumberFormat="1" applyFont="1" applyFill="1" applyBorder="1" applyAlignment="1">
      <alignment horizontal="center" vertical="center"/>
    </xf>
    <xf numFmtId="170" fontId="4" fillId="0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/>
    </xf>
    <xf numFmtId="169" fontId="4" fillId="0" borderId="1" xfId="0" applyNumberFormat="1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9" fontId="2" fillId="0" borderId="0" xfId="0" applyNumberFormat="1" applyFont="1" applyFill="1" applyBorder="1" applyAlignment="1">
      <alignment horizontal="right" vertical="center"/>
    </xf>
    <xf numFmtId="167" fontId="3" fillId="0" borderId="0" xfId="0" applyNumberFormat="1" applyFont="1" applyFill="1" applyBorder="1" applyAlignment="1">
      <alignment horizontal="right" vertical="center"/>
    </xf>
    <xf numFmtId="169" fontId="4" fillId="0" borderId="1" xfId="0" applyNumberFormat="1" applyFont="1" applyFill="1" applyBorder="1" applyAlignment="1">
      <alignment horizontal="right" vertical="center"/>
    </xf>
    <xf numFmtId="167" fontId="4" fillId="0" borderId="1" xfId="0" applyNumberFormat="1" applyFont="1" applyFill="1" applyBorder="1" applyAlignment="1">
      <alignment horizontal="right" vertical="center"/>
    </xf>
    <xf numFmtId="167" fontId="4" fillId="0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</cellXfs>
  <cellStyles count="840">
    <cellStyle name="20% - Énfasis1" xfId="1"/>
    <cellStyle name="20% - Énfasis2" xfId="2"/>
    <cellStyle name="20% - Énfasis3" xfId="3"/>
    <cellStyle name="20% - Énfasis4" xfId="4"/>
    <cellStyle name="20% - Énfasis5" xfId="5"/>
    <cellStyle name="20% - Énfasis6" xfId="6"/>
    <cellStyle name="40% - Énfasis1" xfId="7"/>
    <cellStyle name="40% - Énfasis2" xfId="8"/>
    <cellStyle name="40% - Énfasis3" xfId="9"/>
    <cellStyle name="40% - Énfasis4" xfId="10"/>
    <cellStyle name="40% - Énfasis5" xfId="11"/>
    <cellStyle name="40% - Énfasis6" xfId="12"/>
    <cellStyle name="60% - Énfasis1" xfId="13"/>
    <cellStyle name="60% - Énfasis2" xfId="14"/>
    <cellStyle name="60% - Énfasis3" xfId="15"/>
    <cellStyle name="60% - Énfasis4" xfId="16"/>
    <cellStyle name="60% - Énfasis5" xfId="17"/>
    <cellStyle name="60% - Énfasis6" xfId="18"/>
    <cellStyle name="Buena" xfId="19"/>
    <cellStyle name="Cálculo" xfId="20"/>
    <cellStyle name="category" xfId="21"/>
    <cellStyle name="Celda de comprobación" xfId="22"/>
    <cellStyle name="Celda vinculada" xfId="23"/>
    <cellStyle name="Encabezado 4" xfId="24"/>
    <cellStyle name="Énfasis1" xfId="25"/>
    <cellStyle name="Énfasis2" xfId="26"/>
    <cellStyle name="Énfasis3" xfId="27"/>
    <cellStyle name="Énfasis4" xfId="28"/>
    <cellStyle name="Énfasis5" xfId="29"/>
    <cellStyle name="Énfasis6" xfId="30"/>
    <cellStyle name="Entrada" xfId="31"/>
    <cellStyle name="Grey" xfId="32"/>
    <cellStyle name="HEADER" xfId="33"/>
    <cellStyle name="Header1" xfId="34"/>
    <cellStyle name="Header2" xfId="35"/>
    <cellStyle name="Incorrecto" xfId="36"/>
    <cellStyle name="Input [yellow]" xfId="37"/>
    <cellStyle name="Model" xfId="38"/>
    <cellStyle name="Normal" xfId="0" builtinId="0"/>
    <cellStyle name="Normal - Style1" xfId="39"/>
    <cellStyle name="Notas" xfId="40"/>
    <cellStyle name="Percent [2]" xfId="41"/>
    <cellStyle name="Salida" xfId="42"/>
    <cellStyle name="subhead" xfId="43"/>
    <cellStyle name="Texto de advertencia" xfId="44"/>
    <cellStyle name="Texto explicativo" xfId="45"/>
    <cellStyle name="Título" xfId="46"/>
    <cellStyle name="Título 1" xfId="47"/>
    <cellStyle name="Título 2" xfId="48"/>
    <cellStyle name="Título 3" xfId="49"/>
    <cellStyle name="고정소숫점" xfId="50"/>
    <cellStyle name="고정출력1" xfId="51"/>
    <cellStyle name="고정출력2" xfId="52"/>
    <cellStyle name="날짜" xfId="53"/>
    <cellStyle name="달러" xfId="54"/>
    <cellStyle name="쉼표 [0] 2" xfId="55"/>
    <cellStyle name="쉼표 [0] 2 2" xfId="56"/>
    <cellStyle name="쉼표 [0] 2 2 2" xfId="57"/>
    <cellStyle name="쉼표 [0] 2 2 2 2" xfId="58"/>
    <cellStyle name="쉼표 [0] 2 2 2 2 2" xfId="59"/>
    <cellStyle name="쉼표 [0] 2 2 2 2 2 2" xfId="60"/>
    <cellStyle name="쉼표 [0] 2 2 2 2 2 2 2" xfId="61"/>
    <cellStyle name="쉼표 [0] 2 3" xfId="62"/>
    <cellStyle name="쉼표 [0] 2 4" xfId="63"/>
    <cellStyle name="쉼표 [0] 2 4 2" xfId="64"/>
    <cellStyle name="쉼표 [0] 3" xfId="65"/>
    <cellStyle name="쉼표 [0] 3 2" xfId="66"/>
    <cellStyle name="쉼표 [0] 4" xfId="67"/>
    <cellStyle name="쉼표 [0] 5" xfId="68"/>
    <cellStyle name="쉼표 2 2" xfId="69"/>
    <cellStyle name="쉼표 2 3" xfId="70"/>
    <cellStyle name="쉼표 2 4" xfId="71"/>
    <cellStyle name="쉼표 2 5" xfId="72"/>
    <cellStyle name="쉼표 2 6" xfId="73"/>
    <cellStyle name="쉼표 3" xfId="74"/>
    <cellStyle name="쉼표 4" xfId="75"/>
    <cellStyle name="스타일 1" xfId="76"/>
    <cellStyle name="스타일 1 2" xfId="77"/>
    <cellStyle name="스타일 1 2 10" xfId="78"/>
    <cellStyle name="스타일 1 2 10 2" xfId="79"/>
    <cellStyle name="스타일 1 2 10 2 2" xfId="516"/>
    <cellStyle name="스타일 1 2 10 3" xfId="80"/>
    <cellStyle name="스타일 1 2 10 3 2" xfId="517"/>
    <cellStyle name="스타일 1 2 10 4" xfId="81"/>
    <cellStyle name="스타일 1 2 10 4 2" xfId="518"/>
    <cellStyle name="스타일 1 2 10 5" xfId="82"/>
    <cellStyle name="스타일 1 2 10 5 2" xfId="519"/>
    <cellStyle name="스타일 1 2 11" xfId="83"/>
    <cellStyle name="스타일 1 2 11 2" xfId="84"/>
    <cellStyle name="스타일 1 2 11 2 2" xfId="520"/>
    <cellStyle name="스타일 1 2 11 3" xfId="85"/>
    <cellStyle name="스타일 1 2 11 3 2" xfId="521"/>
    <cellStyle name="스타일 1 2 11 4" xfId="86"/>
    <cellStyle name="스타일 1 2 11 4 2" xfId="522"/>
    <cellStyle name="스타일 1 2 11 5" xfId="87"/>
    <cellStyle name="스타일 1 2 11 5 2" xfId="523"/>
    <cellStyle name="스타일 1 2 12" xfId="88"/>
    <cellStyle name="스타일 1 2 12 2" xfId="89"/>
    <cellStyle name="스타일 1 2 12 2 2" xfId="524"/>
    <cellStyle name="스타일 1 2 12 3" xfId="90"/>
    <cellStyle name="스타일 1 2 12 3 2" xfId="525"/>
    <cellStyle name="스타일 1 2 12 4" xfId="91"/>
    <cellStyle name="스타일 1 2 12 4 2" xfId="526"/>
    <cellStyle name="스타일 1 2 12 5" xfId="92"/>
    <cellStyle name="스타일 1 2 12 5 2" xfId="527"/>
    <cellStyle name="스타일 1 2 13" xfId="93"/>
    <cellStyle name="스타일 1 2 13 2" xfId="94"/>
    <cellStyle name="스타일 1 2 13 2 2" xfId="528"/>
    <cellStyle name="스타일 1 2 13 3" xfId="95"/>
    <cellStyle name="스타일 1 2 13 3 2" xfId="529"/>
    <cellStyle name="스타일 1 2 13 4" xfId="96"/>
    <cellStyle name="스타일 1 2 13 4 2" xfId="530"/>
    <cellStyle name="스타일 1 2 13 5" xfId="97"/>
    <cellStyle name="스타일 1 2 13 5 2" xfId="531"/>
    <cellStyle name="스타일 1 2 14" xfId="98"/>
    <cellStyle name="스타일 1 2 14 2" xfId="99"/>
    <cellStyle name="스타일 1 2 14 2 2" xfId="532"/>
    <cellStyle name="스타일 1 2 14 3" xfId="100"/>
    <cellStyle name="스타일 1 2 14 3 2" xfId="533"/>
    <cellStyle name="스타일 1 2 14 4" xfId="101"/>
    <cellStyle name="스타일 1 2 14 4 2" xfId="534"/>
    <cellStyle name="스타일 1 2 14 5" xfId="102"/>
    <cellStyle name="스타일 1 2 14 5 2" xfId="535"/>
    <cellStyle name="스타일 1 2 15" xfId="103"/>
    <cellStyle name="스타일 1 2 15 2" xfId="104"/>
    <cellStyle name="스타일 1 2 15 2 2" xfId="536"/>
    <cellStyle name="스타일 1 2 15 3" xfId="105"/>
    <cellStyle name="스타일 1 2 15 3 2" xfId="537"/>
    <cellStyle name="스타일 1 2 15 4" xfId="106"/>
    <cellStyle name="스타일 1 2 15 4 2" xfId="538"/>
    <cellStyle name="스타일 1 2 15 5" xfId="107"/>
    <cellStyle name="스타일 1 2 15 5 2" xfId="539"/>
    <cellStyle name="스타일 1 2 16" xfId="108"/>
    <cellStyle name="스타일 1 2 16 2" xfId="109"/>
    <cellStyle name="스타일 1 2 16 2 2" xfId="540"/>
    <cellStyle name="스타일 1 2 16 3" xfId="110"/>
    <cellStyle name="스타일 1 2 16 3 2" xfId="541"/>
    <cellStyle name="스타일 1 2 16 4" xfId="111"/>
    <cellStyle name="스타일 1 2 16 4 2" xfId="542"/>
    <cellStyle name="스타일 1 2 16 5" xfId="112"/>
    <cellStyle name="스타일 1 2 16 5 2" xfId="543"/>
    <cellStyle name="스타일 1 2 17" xfId="113"/>
    <cellStyle name="스타일 1 2 17 2" xfId="114"/>
    <cellStyle name="스타일 1 2 17 2 2" xfId="544"/>
    <cellStyle name="스타일 1 2 17 3" xfId="115"/>
    <cellStyle name="스타일 1 2 17 3 2" xfId="545"/>
    <cellStyle name="스타일 1 2 17 4" xfId="116"/>
    <cellStyle name="스타일 1 2 17 4 2" xfId="546"/>
    <cellStyle name="스타일 1 2 17 5" xfId="117"/>
    <cellStyle name="스타일 1 2 17 5 2" xfId="547"/>
    <cellStyle name="스타일 1 2 18" xfId="118"/>
    <cellStyle name="스타일 1 2 18 2" xfId="119"/>
    <cellStyle name="스타일 1 2 18 2 2" xfId="548"/>
    <cellStyle name="스타일 1 2 18 3" xfId="120"/>
    <cellStyle name="스타일 1 2 18 3 2" xfId="549"/>
    <cellStyle name="스타일 1 2 18 4" xfId="121"/>
    <cellStyle name="스타일 1 2 18 4 2" xfId="550"/>
    <cellStyle name="스타일 1 2 18 5" xfId="122"/>
    <cellStyle name="스타일 1 2 18 5 2" xfId="551"/>
    <cellStyle name="스타일 1 2 19" xfId="123"/>
    <cellStyle name="스타일 1 2 19 2" xfId="124"/>
    <cellStyle name="스타일 1 2 19 2 2" xfId="552"/>
    <cellStyle name="스타일 1 2 19 3" xfId="125"/>
    <cellStyle name="스타일 1 2 19 3 2" xfId="553"/>
    <cellStyle name="스타일 1 2 19 4" xfId="126"/>
    <cellStyle name="스타일 1 2 19 4 2" xfId="554"/>
    <cellStyle name="스타일 1 2 19 5" xfId="127"/>
    <cellStyle name="스타일 1 2 19 5 2" xfId="555"/>
    <cellStyle name="스타일 1 2 2" xfId="128"/>
    <cellStyle name="스타일 1 2 2 2" xfId="129"/>
    <cellStyle name="스타일 1 2 2 2 2" xfId="556"/>
    <cellStyle name="스타일 1 2 2 3" xfId="130"/>
    <cellStyle name="스타일 1 2 2 3 2" xfId="557"/>
    <cellStyle name="스타일 1 2 2 4" xfId="131"/>
    <cellStyle name="스타일 1 2 2 4 2" xfId="558"/>
    <cellStyle name="스타일 1 2 2 5" xfId="132"/>
    <cellStyle name="스타일 1 2 2 5 2" xfId="559"/>
    <cellStyle name="스타일 1 2 20" xfId="133"/>
    <cellStyle name="스타일 1 2 20 2" xfId="134"/>
    <cellStyle name="스타일 1 2 20 2 2" xfId="560"/>
    <cellStyle name="스타일 1 2 20 3" xfId="135"/>
    <cellStyle name="스타일 1 2 20 3 2" xfId="561"/>
    <cellStyle name="스타일 1 2 20 4" xfId="136"/>
    <cellStyle name="스타일 1 2 20 4 2" xfId="562"/>
    <cellStyle name="스타일 1 2 20 5" xfId="137"/>
    <cellStyle name="스타일 1 2 20 5 2" xfId="563"/>
    <cellStyle name="스타일 1 2 21" xfId="138"/>
    <cellStyle name="스타일 1 2 21 2" xfId="139"/>
    <cellStyle name="스타일 1 2 21 2 2" xfId="564"/>
    <cellStyle name="스타일 1 2 21 3" xfId="140"/>
    <cellStyle name="스타일 1 2 21 3 2" xfId="565"/>
    <cellStyle name="스타일 1 2 21 4" xfId="141"/>
    <cellStyle name="스타일 1 2 21 4 2" xfId="566"/>
    <cellStyle name="스타일 1 2 21 5" xfId="142"/>
    <cellStyle name="스타일 1 2 21 5 2" xfId="567"/>
    <cellStyle name="스타일 1 2 22" xfId="143"/>
    <cellStyle name="스타일 1 2 22 2" xfId="144"/>
    <cellStyle name="스타일 1 2 22 2 2" xfId="568"/>
    <cellStyle name="스타일 1 2 22 3" xfId="145"/>
    <cellStyle name="스타일 1 2 22 3 2" xfId="569"/>
    <cellStyle name="스타일 1 2 22 4" xfId="146"/>
    <cellStyle name="스타일 1 2 22 4 2" xfId="570"/>
    <cellStyle name="스타일 1 2 22 5" xfId="147"/>
    <cellStyle name="스타일 1 2 22 5 2" xfId="571"/>
    <cellStyle name="스타일 1 2 23" xfId="148"/>
    <cellStyle name="스타일 1 2 23 2" xfId="149"/>
    <cellStyle name="스타일 1 2 23 2 2" xfId="572"/>
    <cellStyle name="스타일 1 2 23 3" xfId="150"/>
    <cellStyle name="스타일 1 2 23 3 2" xfId="573"/>
    <cellStyle name="스타일 1 2 23 4" xfId="151"/>
    <cellStyle name="스타일 1 2 23 4 2" xfId="574"/>
    <cellStyle name="스타일 1 2 23 5" xfId="152"/>
    <cellStyle name="스타일 1 2 23 5 2" xfId="575"/>
    <cellStyle name="스타일 1 2 24" xfId="153"/>
    <cellStyle name="스타일 1 2 24 2" xfId="154"/>
    <cellStyle name="스타일 1 2 24 2 2" xfId="576"/>
    <cellStyle name="스타일 1 2 24 3" xfId="155"/>
    <cellStyle name="스타일 1 2 24 3 2" xfId="577"/>
    <cellStyle name="스타일 1 2 24 4" xfId="156"/>
    <cellStyle name="스타일 1 2 24 4 2" xfId="578"/>
    <cellStyle name="스타일 1 2 24 5" xfId="157"/>
    <cellStyle name="스타일 1 2 24 5 2" xfId="579"/>
    <cellStyle name="스타일 1 2 25" xfId="158"/>
    <cellStyle name="스타일 1 2 25 2" xfId="159"/>
    <cellStyle name="스타일 1 2 25 2 2" xfId="580"/>
    <cellStyle name="스타일 1 2 25 3" xfId="160"/>
    <cellStyle name="스타일 1 2 25 3 2" xfId="581"/>
    <cellStyle name="스타일 1 2 25 4" xfId="161"/>
    <cellStyle name="스타일 1 2 25 4 2" xfId="582"/>
    <cellStyle name="스타일 1 2 25 5" xfId="162"/>
    <cellStyle name="스타일 1 2 25 5 2" xfId="583"/>
    <cellStyle name="스타일 1 2 26" xfId="163"/>
    <cellStyle name="스타일 1 2 26 2" xfId="164"/>
    <cellStyle name="스타일 1 2 26 2 2" xfId="584"/>
    <cellStyle name="스타일 1 2 26 3" xfId="165"/>
    <cellStyle name="스타일 1 2 26 3 2" xfId="585"/>
    <cellStyle name="스타일 1 2 26 4" xfId="166"/>
    <cellStyle name="스타일 1 2 26 4 2" xfId="586"/>
    <cellStyle name="스타일 1 2 26 5" xfId="167"/>
    <cellStyle name="스타일 1 2 26 5 2" xfId="587"/>
    <cellStyle name="스타일 1 2 27" xfId="168"/>
    <cellStyle name="스타일 1 2 27 2" xfId="169"/>
    <cellStyle name="스타일 1 2 27 2 2" xfId="588"/>
    <cellStyle name="스타일 1 2 27 3" xfId="170"/>
    <cellStyle name="스타일 1 2 27 3 2" xfId="589"/>
    <cellStyle name="스타일 1 2 27 4" xfId="171"/>
    <cellStyle name="스타일 1 2 27 4 2" xfId="590"/>
    <cellStyle name="스타일 1 2 27 5" xfId="172"/>
    <cellStyle name="스타일 1 2 27 5 2" xfId="591"/>
    <cellStyle name="스타일 1 2 28" xfId="173"/>
    <cellStyle name="스타일 1 2 28 2" xfId="174"/>
    <cellStyle name="스타일 1 2 28 2 2" xfId="592"/>
    <cellStyle name="스타일 1 2 28 3" xfId="175"/>
    <cellStyle name="스타일 1 2 28 3 2" xfId="593"/>
    <cellStyle name="스타일 1 2 28 4" xfId="176"/>
    <cellStyle name="스타일 1 2 28 4 2" xfId="594"/>
    <cellStyle name="스타일 1 2 28 5" xfId="177"/>
    <cellStyle name="스타일 1 2 28 5 2" xfId="595"/>
    <cellStyle name="스타일 1 2 29" xfId="178"/>
    <cellStyle name="스타일 1 2 29 2" xfId="179"/>
    <cellStyle name="스타일 1 2 29 2 2" xfId="596"/>
    <cellStyle name="스타일 1 2 29 3" xfId="180"/>
    <cellStyle name="스타일 1 2 29 3 2" xfId="597"/>
    <cellStyle name="스타일 1 2 29 4" xfId="181"/>
    <cellStyle name="스타일 1 2 29 4 2" xfId="598"/>
    <cellStyle name="스타일 1 2 29 5" xfId="182"/>
    <cellStyle name="스타일 1 2 29 5 2" xfId="599"/>
    <cellStyle name="스타일 1 2 3" xfId="183"/>
    <cellStyle name="스타일 1 2 3 2" xfId="184"/>
    <cellStyle name="스타일 1 2 3 2 2" xfId="600"/>
    <cellStyle name="스타일 1 2 3 3" xfId="185"/>
    <cellStyle name="스타일 1 2 3 3 2" xfId="601"/>
    <cellStyle name="스타일 1 2 3 4" xfId="186"/>
    <cellStyle name="스타일 1 2 3 4 2" xfId="602"/>
    <cellStyle name="스타일 1 2 3 5" xfId="187"/>
    <cellStyle name="스타일 1 2 3 5 2" xfId="603"/>
    <cellStyle name="스타일 1 2 30" xfId="188"/>
    <cellStyle name="스타일 1 2 30 2" xfId="189"/>
    <cellStyle name="스타일 1 2 30 2 2" xfId="604"/>
    <cellStyle name="스타일 1 2 30 3" xfId="190"/>
    <cellStyle name="스타일 1 2 30 3 2" xfId="605"/>
    <cellStyle name="스타일 1 2 30 4" xfId="191"/>
    <cellStyle name="스타일 1 2 30 4 2" xfId="606"/>
    <cellStyle name="스타일 1 2 30 5" xfId="192"/>
    <cellStyle name="스타일 1 2 30 5 2" xfId="607"/>
    <cellStyle name="스타일 1 2 31" xfId="193"/>
    <cellStyle name="스타일 1 2 31 2" xfId="194"/>
    <cellStyle name="스타일 1 2 31 2 2" xfId="608"/>
    <cellStyle name="스타일 1 2 31 3" xfId="195"/>
    <cellStyle name="스타일 1 2 31 3 2" xfId="609"/>
    <cellStyle name="스타일 1 2 31 4" xfId="196"/>
    <cellStyle name="스타일 1 2 31 4 2" xfId="610"/>
    <cellStyle name="스타일 1 2 31 5" xfId="197"/>
    <cellStyle name="스타일 1 2 31 5 2" xfId="611"/>
    <cellStyle name="스타일 1 2 32" xfId="198"/>
    <cellStyle name="스타일 1 2 32 2" xfId="199"/>
    <cellStyle name="스타일 1 2 32 2 2" xfId="612"/>
    <cellStyle name="스타일 1 2 32 3" xfId="200"/>
    <cellStyle name="스타일 1 2 32 3 2" xfId="613"/>
    <cellStyle name="스타일 1 2 32 4" xfId="201"/>
    <cellStyle name="스타일 1 2 32 4 2" xfId="614"/>
    <cellStyle name="스타일 1 2 32 5" xfId="202"/>
    <cellStyle name="스타일 1 2 32 5 2" xfId="615"/>
    <cellStyle name="스타일 1 2 33" xfId="203"/>
    <cellStyle name="스타일 1 2 33 2" xfId="204"/>
    <cellStyle name="스타일 1 2 33 2 2" xfId="616"/>
    <cellStyle name="스타일 1 2 33 3" xfId="205"/>
    <cellStyle name="스타일 1 2 33 3 2" xfId="617"/>
    <cellStyle name="스타일 1 2 33 4" xfId="206"/>
    <cellStyle name="스타일 1 2 33 4 2" xfId="618"/>
    <cellStyle name="스타일 1 2 33 5" xfId="207"/>
    <cellStyle name="스타일 1 2 33 5 2" xfId="619"/>
    <cellStyle name="스타일 1 2 34" xfId="208"/>
    <cellStyle name="스타일 1 2 34 2" xfId="209"/>
    <cellStyle name="스타일 1 2 34 2 2" xfId="620"/>
    <cellStyle name="스타일 1 2 34 3" xfId="210"/>
    <cellStyle name="스타일 1 2 34 3 2" xfId="621"/>
    <cellStyle name="스타일 1 2 34 4" xfId="211"/>
    <cellStyle name="스타일 1 2 34 4 2" xfId="622"/>
    <cellStyle name="스타일 1 2 34 5" xfId="212"/>
    <cellStyle name="스타일 1 2 34 5 2" xfId="623"/>
    <cellStyle name="스타일 1 2 35" xfId="213"/>
    <cellStyle name="스타일 1 2 35 2" xfId="214"/>
    <cellStyle name="스타일 1 2 35 2 2" xfId="624"/>
    <cellStyle name="스타일 1 2 35 3" xfId="215"/>
    <cellStyle name="스타일 1 2 35 3 2" xfId="625"/>
    <cellStyle name="스타일 1 2 35 4" xfId="216"/>
    <cellStyle name="스타일 1 2 35 4 2" xfId="626"/>
    <cellStyle name="스타일 1 2 35 5" xfId="217"/>
    <cellStyle name="스타일 1 2 35 5 2" xfId="627"/>
    <cellStyle name="스타일 1 2 36" xfId="218"/>
    <cellStyle name="스타일 1 2 36 2" xfId="219"/>
    <cellStyle name="스타일 1 2 36 2 2" xfId="628"/>
    <cellStyle name="스타일 1 2 36 3" xfId="220"/>
    <cellStyle name="스타일 1 2 36 3 2" xfId="629"/>
    <cellStyle name="스타일 1 2 36 4" xfId="221"/>
    <cellStyle name="스타일 1 2 36 4 2" xfId="630"/>
    <cellStyle name="스타일 1 2 36 5" xfId="222"/>
    <cellStyle name="스타일 1 2 36 5 2" xfId="631"/>
    <cellStyle name="스타일 1 2 37" xfId="223"/>
    <cellStyle name="스타일 1 2 37 2" xfId="224"/>
    <cellStyle name="스타일 1 2 37 2 2" xfId="632"/>
    <cellStyle name="스타일 1 2 37 3" xfId="225"/>
    <cellStyle name="스타일 1 2 37 3 2" xfId="633"/>
    <cellStyle name="스타일 1 2 37 4" xfId="226"/>
    <cellStyle name="스타일 1 2 37 4 2" xfId="634"/>
    <cellStyle name="스타일 1 2 37 5" xfId="227"/>
    <cellStyle name="스타일 1 2 37 5 2" xfId="635"/>
    <cellStyle name="스타일 1 2 38" xfId="228"/>
    <cellStyle name="스타일 1 2 38 2" xfId="229"/>
    <cellStyle name="스타일 1 2 38 2 2" xfId="636"/>
    <cellStyle name="스타일 1 2 38 3" xfId="230"/>
    <cellStyle name="스타일 1 2 38 3 2" xfId="637"/>
    <cellStyle name="스타일 1 2 38 4" xfId="231"/>
    <cellStyle name="스타일 1 2 38 4 2" xfId="638"/>
    <cellStyle name="스타일 1 2 38 5" xfId="232"/>
    <cellStyle name="스타일 1 2 38 5 2" xfId="639"/>
    <cellStyle name="스타일 1 2 39" xfId="233"/>
    <cellStyle name="스타일 1 2 39 2" xfId="234"/>
    <cellStyle name="스타일 1 2 39 2 2" xfId="640"/>
    <cellStyle name="스타일 1 2 39 3" xfId="235"/>
    <cellStyle name="스타일 1 2 39 3 2" xfId="641"/>
    <cellStyle name="스타일 1 2 39 4" xfId="236"/>
    <cellStyle name="스타일 1 2 39 4 2" xfId="642"/>
    <cellStyle name="스타일 1 2 39 5" xfId="237"/>
    <cellStyle name="스타일 1 2 39 5 2" xfId="643"/>
    <cellStyle name="스타일 1 2 4" xfId="238"/>
    <cellStyle name="스타일 1 2 4 2" xfId="239"/>
    <cellStyle name="스타일 1 2 4 2 2" xfId="644"/>
    <cellStyle name="스타일 1 2 4 3" xfId="240"/>
    <cellStyle name="스타일 1 2 4 3 2" xfId="645"/>
    <cellStyle name="스타일 1 2 4 4" xfId="241"/>
    <cellStyle name="스타일 1 2 4 4 2" xfId="646"/>
    <cellStyle name="스타일 1 2 4 5" xfId="242"/>
    <cellStyle name="스타일 1 2 4 5 2" xfId="647"/>
    <cellStyle name="스타일 1 2 40" xfId="243"/>
    <cellStyle name="스타일 1 2 40 2" xfId="244"/>
    <cellStyle name="스타일 1 2 40 2 2" xfId="648"/>
    <cellStyle name="스타일 1 2 40 3" xfId="245"/>
    <cellStyle name="스타일 1 2 40 3 2" xfId="649"/>
    <cellStyle name="스타일 1 2 40 4" xfId="246"/>
    <cellStyle name="스타일 1 2 40 4 2" xfId="650"/>
    <cellStyle name="스타일 1 2 40 5" xfId="247"/>
    <cellStyle name="스타일 1 2 40 5 2" xfId="651"/>
    <cellStyle name="스타일 1 2 41" xfId="248"/>
    <cellStyle name="스타일 1 2 41 2" xfId="652"/>
    <cellStyle name="스타일 1 2 42" xfId="249"/>
    <cellStyle name="스타일 1 2 42 2" xfId="653"/>
    <cellStyle name="스타일 1 2 43" xfId="250"/>
    <cellStyle name="스타일 1 2 43 2" xfId="654"/>
    <cellStyle name="스타일 1 2 44" xfId="251"/>
    <cellStyle name="스타일 1 2 44 2" xfId="655"/>
    <cellStyle name="스타일 1 2 5" xfId="252"/>
    <cellStyle name="스타일 1 2 5 2" xfId="253"/>
    <cellStyle name="스타일 1 2 5 2 2" xfId="656"/>
    <cellStyle name="스타일 1 2 5 3" xfId="254"/>
    <cellStyle name="스타일 1 2 5 3 2" xfId="657"/>
    <cellStyle name="스타일 1 2 5 4" xfId="255"/>
    <cellStyle name="스타일 1 2 5 4 2" xfId="658"/>
    <cellStyle name="스타일 1 2 5 5" xfId="256"/>
    <cellStyle name="스타일 1 2 5 5 2" xfId="659"/>
    <cellStyle name="스타일 1 2 6" xfId="257"/>
    <cellStyle name="스타일 1 2 6 2" xfId="258"/>
    <cellStyle name="스타일 1 2 6 2 2" xfId="660"/>
    <cellStyle name="스타일 1 2 6 3" xfId="259"/>
    <cellStyle name="스타일 1 2 6 3 2" xfId="661"/>
    <cellStyle name="스타일 1 2 6 4" xfId="260"/>
    <cellStyle name="스타일 1 2 6 4 2" xfId="662"/>
    <cellStyle name="스타일 1 2 6 5" xfId="261"/>
    <cellStyle name="스타일 1 2 6 5 2" xfId="663"/>
    <cellStyle name="스타일 1 2 7" xfId="262"/>
    <cellStyle name="스타일 1 2 7 2" xfId="263"/>
    <cellStyle name="스타일 1 2 7 2 2" xfId="664"/>
    <cellStyle name="스타일 1 2 7 3" xfId="264"/>
    <cellStyle name="스타일 1 2 7 3 2" xfId="665"/>
    <cellStyle name="스타일 1 2 7 4" xfId="265"/>
    <cellStyle name="스타일 1 2 7 4 2" xfId="666"/>
    <cellStyle name="스타일 1 2 7 5" xfId="266"/>
    <cellStyle name="스타일 1 2 7 5 2" xfId="667"/>
    <cellStyle name="스타일 1 2 8" xfId="267"/>
    <cellStyle name="스타일 1 2 8 2" xfId="268"/>
    <cellStyle name="스타일 1 2 8 2 2" xfId="668"/>
    <cellStyle name="스타일 1 2 8 3" xfId="269"/>
    <cellStyle name="스타일 1 2 8 3 2" xfId="669"/>
    <cellStyle name="스타일 1 2 8 4" xfId="270"/>
    <cellStyle name="스타일 1 2 8 4 2" xfId="670"/>
    <cellStyle name="스타일 1 2 8 5" xfId="271"/>
    <cellStyle name="스타일 1 2 8 5 2" xfId="671"/>
    <cellStyle name="스타일 1 2 9" xfId="272"/>
    <cellStyle name="스타일 1 2 9 2" xfId="273"/>
    <cellStyle name="스타일 1 2 9 2 2" xfId="672"/>
    <cellStyle name="스타일 1 2 9 3" xfId="274"/>
    <cellStyle name="스타일 1 2 9 3 2" xfId="673"/>
    <cellStyle name="스타일 1 2 9 4" xfId="275"/>
    <cellStyle name="스타일 1 2 9 4 2" xfId="674"/>
    <cellStyle name="스타일 1 2 9 5" xfId="276"/>
    <cellStyle name="스타일 1 2 9 5 2" xfId="675"/>
    <cellStyle name="스타일 1 3" xfId="277"/>
    <cellStyle name="스타일 1 3 10" xfId="278"/>
    <cellStyle name="스타일 1 3 10 2" xfId="279"/>
    <cellStyle name="스타일 1 3 10 2 2" xfId="676"/>
    <cellStyle name="스타일 1 3 10 3" xfId="280"/>
    <cellStyle name="스타일 1 3 10 3 2" xfId="677"/>
    <cellStyle name="스타일 1 3 10 4" xfId="281"/>
    <cellStyle name="스타일 1 3 10 4 2" xfId="678"/>
    <cellStyle name="스타일 1 3 10 5" xfId="282"/>
    <cellStyle name="스타일 1 3 10 5 2" xfId="679"/>
    <cellStyle name="스타일 1 3 11" xfId="283"/>
    <cellStyle name="스타일 1 3 11 2" xfId="284"/>
    <cellStyle name="스타일 1 3 11 2 2" xfId="680"/>
    <cellStyle name="스타일 1 3 11 3" xfId="285"/>
    <cellStyle name="스타일 1 3 11 3 2" xfId="681"/>
    <cellStyle name="스타일 1 3 11 4" xfId="286"/>
    <cellStyle name="스타일 1 3 11 4 2" xfId="682"/>
    <cellStyle name="스타일 1 3 11 5" xfId="287"/>
    <cellStyle name="스타일 1 3 11 5 2" xfId="683"/>
    <cellStyle name="스타일 1 3 12" xfId="288"/>
    <cellStyle name="스타일 1 3 12 2" xfId="289"/>
    <cellStyle name="스타일 1 3 12 2 2" xfId="684"/>
    <cellStyle name="스타일 1 3 12 3" xfId="290"/>
    <cellStyle name="스타일 1 3 12 3 2" xfId="685"/>
    <cellStyle name="스타일 1 3 12 4" xfId="291"/>
    <cellStyle name="스타일 1 3 12 4 2" xfId="686"/>
    <cellStyle name="스타일 1 3 12 5" xfId="292"/>
    <cellStyle name="스타일 1 3 12 5 2" xfId="687"/>
    <cellStyle name="스타일 1 3 13" xfId="293"/>
    <cellStyle name="스타일 1 3 13 2" xfId="294"/>
    <cellStyle name="스타일 1 3 13 2 2" xfId="688"/>
    <cellStyle name="스타일 1 3 13 3" xfId="295"/>
    <cellStyle name="스타일 1 3 13 3 2" xfId="689"/>
    <cellStyle name="스타일 1 3 13 4" xfId="296"/>
    <cellStyle name="스타일 1 3 13 4 2" xfId="690"/>
    <cellStyle name="스타일 1 3 13 5" xfId="297"/>
    <cellStyle name="스타일 1 3 13 5 2" xfId="691"/>
    <cellStyle name="스타일 1 3 14" xfId="298"/>
    <cellStyle name="스타일 1 3 14 2" xfId="299"/>
    <cellStyle name="스타일 1 3 14 2 2" xfId="692"/>
    <cellStyle name="스타일 1 3 14 3" xfId="300"/>
    <cellStyle name="스타일 1 3 14 3 2" xfId="693"/>
    <cellStyle name="스타일 1 3 14 4" xfId="301"/>
    <cellStyle name="스타일 1 3 14 4 2" xfId="694"/>
    <cellStyle name="스타일 1 3 14 5" xfId="302"/>
    <cellStyle name="스타일 1 3 14 5 2" xfId="695"/>
    <cellStyle name="스타일 1 3 15" xfId="303"/>
    <cellStyle name="스타일 1 3 15 2" xfId="304"/>
    <cellStyle name="스타일 1 3 15 2 2" xfId="696"/>
    <cellStyle name="스타일 1 3 15 3" xfId="305"/>
    <cellStyle name="스타일 1 3 15 3 2" xfId="697"/>
    <cellStyle name="스타일 1 3 15 4" xfId="306"/>
    <cellStyle name="스타일 1 3 15 4 2" xfId="698"/>
    <cellStyle name="스타일 1 3 15 5" xfId="307"/>
    <cellStyle name="스타일 1 3 15 5 2" xfId="699"/>
    <cellStyle name="스타일 1 3 16" xfId="308"/>
    <cellStyle name="스타일 1 3 16 2" xfId="309"/>
    <cellStyle name="스타일 1 3 16 2 2" xfId="700"/>
    <cellStyle name="스타일 1 3 16 3" xfId="310"/>
    <cellStyle name="스타일 1 3 16 3 2" xfId="701"/>
    <cellStyle name="스타일 1 3 16 4" xfId="311"/>
    <cellStyle name="스타일 1 3 16 4 2" xfId="702"/>
    <cellStyle name="스타일 1 3 16 5" xfId="312"/>
    <cellStyle name="스타일 1 3 16 5 2" xfId="703"/>
    <cellStyle name="스타일 1 3 17" xfId="313"/>
    <cellStyle name="스타일 1 3 17 2" xfId="314"/>
    <cellStyle name="스타일 1 3 17 2 2" xfId="704"/>
    <cellStyle name="스타일 1 3 17 3" xfId="315"/>
    <cellStyle name="스타일 1 3 17 3 2" xfId="705"/>
    <cellStyle name="스타일 1 3 17 4" xfId="316"/>
    <cellStyle name="스타일 1 3 17 4 2" xfId="706"/>
    <cellStyle name="스타일 1 3 17 5" xfId="317"/>
    <cellStyle name="스타일 1 3 17 5 2" xfId="707"/>
    <cellStyle name="스타일 1 3 18" xfId="318"/>
    <cellStyle name="스타일 1 3 18 2" xfId="319"/>
    <cellStyle name="스타일 1 3 18 2 2" xfId="708"/>
    <cellStyle name="스타일 1 3 18 3" xfId="320"/>
    <cellStyle name="스타일 1 3 18 3 2" xfId="709"/>
    <cellStyle name="스타일 1 3 18 4" xfId="321"/>
    <cellStyle name="스타일 1 3 18 4 2" xfId="710"/>
    <cellStyle name="스타일 1 3 18 5" xfId="322"/>
    <cellStyle name="스타일 1 3 18 5 2" xfId="711"/>
    <cellStyle name="스타일 1 3 19" xfId="323"/>
    <cellStyle name="스타일 1 3 19 2" xfId="324"/>
    <cellStyle name="스타일 1 3 19 2 2" xfId="712"/>
    <cellStyle name="스타일 1 3 19 3" xfId="325"/>
    <cellStyle name="스타일 1 3 19 3 2" xfId="713"/>
    <cellStyle name="스타일 1 3 19 4" xfId="326"/>
    <cellStyle name="스타일 1 3 19 4 2" xfId="714"/>
    <cellStyle name="스타일 1 3 19 5" xfId="327"/>
    <cellStyle name="스타일 1 3 19 5 2" xfId="715"/>
    <cellStyle name="스타일 1 3 2" xfId="328"/>
    <cellStyle name="스타일 1 3 2 2" xfId="329"/>
    <cellStyle name="스타일 1 3 2 2 2" xfId="716"/>
    <cellStyle name="스타일 1 3 2 3" xfId="330"/>
    <cellStyle name="스타일 1 3 2 3 2" xfId="717"/>
    <cellStyle name="스타일 1 3 2 4" xfId="331"/>
    <cellStyle name="스타일 1 3 2 4 2" xfId="718"/>
    <cellStyle name="스타일 1 3 2 5" xfId="332"/>
    <cellStyle name="스타일 1 3 2 5 2" xfId="719"/>
    <cellStyle name="스타일 1 3 20" xfId="333"/>
    <cellStyle name="스타일 1 3 20 2" xfId="334"/>
    <cellStyle name="스타일 1 3 20 2 2" xfId="720"/>
    <cellStyle name="스타일 1 3 20 3" xfId="335"/>
    <cellStyle name="스타일 1 3 20 3 2" xfId="721"/>
    <cellStyle name="스타일 1 3 20 4" xfId="336"/>
    <cellStyle name="스타일 1 3 20 4 2" xfId="722"/>
    <cellStyle name="스타일 1 3 20 5" xfId="337"/>
    <cellStyle name="스타일 1 3 20 5 2" xfId="723"/>
    <cellStyle name="스타일 1 3 21" xfId="338"/>
    <cellStyle name="스타일 1 3 21 2" xfId="339"/>
    <cellStyle name="스타일 1 3 21 2 2" xfId="724"/>
    <cellStyle name="스타일 1 3 21 3" xfId="340"/>
    <cellStyle name="스타일 1 3 21 3 2" xfId="725"/>
    <cellStyle name="스타일 1 3 21 4" xfId="341"/>
    <cellStyle name="스타일 1 3 21 4 2" xfId="726"/>
    <cellStyle name="스타일 1 3 21 5" xfId="342"/>
    <cellStyle name="스타일 1 3 21 5 2" xfId="727"/>
    <cellStyle name="스타일 1 3 22" xfId="343"/>
    <cellStyle name="스타일 1 3 22 2" xfId="344"/>
    <cellStyle name="스타일 1 3 22 2 2" xfId="728"/>
    <cellStyle name="스타일 1 3 22 3" xfId="345"/>
    <cellStyle name="스타일 1 3 22 3 2" xfId="729"/>
    <cellStyle name="스타일 1 3 22 4" xfId="346"/>
    <cellStyle name="스타일 1 3 22 4 2" xfId="730"/>
    <cellStyle name="스타일 1 3 22 5" xfId="347"/>
    <cellStyle name="스타일 1 3 22 5 2" xfId="731"/>
    <cellStyle name="스타일 1 3 23" xfId="348"/>
    <cellStyle name="스타일 1 3 23 2" xfId="349"/>
    <cellStyle name="스타일 1 3 23 2 2" xfId="732"/>
    <cellStyle name="스타일 1 3 23 3" xfId="350"/>
    <cellStyle name="스타일 1 3 23 3 2" xfId="733"/>
    <cellStyle name="스타일 1 3 23 4" xfId="351"/>
    <cellStyle name="스타일 1 3 23 4 2" xfId="734"/>
    <cellStyle name="스타일 1 3 23 5" xfId="352"/>
    <cellStyle name="스타일 1 3 23 5 2" xfId="735"/>
    <cellStyle name="스타일 1 3 24" xfId="353"/>
    <cellStyle name="스타일 1 3 24 2" xfId="354"/>
    <cellStyle name="스타일 1 3 24 2 2" xfId="736"/>
    <cellStyle name="스타일 1 3 24 3" xfId="355"/>
    <cellStyle name="스타일 1 3 24 3 2" xfId="737"/>
    <cellStyle name="스타일 1 3 24 4" xfId="356"/>
    <cellStyle name="스타일 1 3 24 4 2" xfId="738"/>
    <cellStyle name="스타일 1 3 24 5" xfId="357"/>
    <cellStyle name="스타일 1 3 24 5 2" xfId="739"/>
    <cellStyle name="스타일 1 3 25" xfId="358"/>
    <cellStyle name="스타일 1 3 25 2" xfId="359"/>
    <cellStyle name="스타일 1 3 25 2 2" xfId="740"/>
    <cellStyle name="스타일 1 3 25 3" xfId="360"/>
    <cellStyle name="스타일 1 3 25 3 2" xfId="741"/>
    <cellStyle name="스타일 1 3 25 4" xfId="361"/>
    <cellStyle name="스타일 1 3 25 4 2" xfId="742"/>
    <cellStyle name="스타일 1 3 25 5" xfId="362"/>
    <cellStyle name="스타일 1 3 25 5 2" xfId="743"/>
    <cellStyle name="스타일 1 3 26" xfId="363"/>
    <cellStyle name="스타일 1 3 26 2" xfId="364"/>
    <cellStyle name="스타일 1 3 26 2 2" xfId="744"/>
    <cellStyle name="스타일 1 3 26 3" xfId="365"/>
    <cellStyle name="스타일 1 3 26 3 2" xfId="745"/>
    <cellStyle name="스타일 1 3 26 4" xfId="366"/>
    <cellStyle name="스타일 1 3 26 4 2" xfId="746"/>
    <cellStyle name="스타일 1 3 26 5" xfId="367"/>
    <cellStyle name="스타일 1 3 26 5 2" xfId="747"/>
    <cellStyle name="스타일 1 3 27" xfId="368"/>
    <cellStyle name="스타일 1 3 27 2" xfId="369"/>
    <cellStyle name="스타일 1 3 27 2 2" xfId="748"/>
    <cellStyle name="스타일 1 3 27 3" xfId="370"/>
    <cellStyle name="스타일 1 3 27 3 2" xfId="749"/>
    <cellStyle name="스타일 1 3 27 4" xfId="371"/>
    <cellStyle name="스타일 1 3 27 4 2" xfId="750"/>
    <cellStyle name="스타일 1 3 27 5" xfId="372"/>
    <cellStyle name="스타일 1 3 27 5 2" xfId="751"/>
    <cellStyle name="스타일 1 3 28" xfId="373"/>
    <cellStyle name="스타일 1 3 28 2" xfId="374"/>
    <cellStyle name="스타일 1 3 28 2 2" xfId="752"/>
    <cellStyle name="스타일 1 3 28 3" xfId="375"/>
    <cellStyle name="스타일 1 3 28 3 2" xfId="753"/>
    <cellStyle name="스타일 1 3 28 4" xfId="376"/>
    <cellStyle name="스타일 1 3 28 4 2" xfId="754"/>
    <cellStyle name="스타일 1 3 28 5" xfId="377"/>
    <cellStyle name="스타일 1 3 28 5 2" xfId="755"/>
    <cellStyle name="스타일 1 3 29" xfId="378"/>
    <cellStyle name="스타일 1 3 29 2" xfId="379"/>
    <cellStyle name="스타일 1 3 29 2 2" xfId="756"/>
    <cellStyle name="스타일 1 3 29 3" xfId="380"/>
    <cellStyle name="스타일 1 3 29 3 2" xfId="757"/>
    <cellStyle name="스타일 1 3 29 4" xfId="381"/>
    <cellStyle name="스타일 1 3 29 4 2" xfId="758"/>
    <cellStyle name="스타일 1 3 29 5" xfId="382"/>
    <cellStyle name="스타일 1 3 29 5 2" xfId="759"/>
    <cellStyle name="스타일 1 3 3" xfId="383"/>
    <cellStyle name="스타일 1 3 3 2" xfId="384"/>
    <cellStyle name="스타일 1 3 3 2 2" xfId="760"/>
    <cellStyle name="스타일 1 3 3 3" xfId="385"/>
    <cellStyle name="스타일 1 3 3 3 2" xfId="761"/>
    <cellStyle name="스타일 1 3 3 4" xfId="386"/>
    <cellStyle name="스타일 1 3 3 4 2" xfId="762"/>
    <cellStyle name="스타일 1 3 3 5" xfId="387"/>
    <cellStyle name="스타일 1 3 3 5 2" xfId="763"/>
    <cellStyle name="스타일 1 3 30" xfId="388"/>
    <cellStyle name="스타일 1 3 30 2" xfId="389"/>
    <cellStyle name="스타일 1 3 30 2 2" xfId="764"/>
    <cellStyle name="스타일 1 3 30 3" xfId="390"/>
    <cellStyle name="스타일 1 3 30 3 2" xfId="765"/>
    <cellStyle name="스타일 1 3 30 4" xfId="391"/>
    <cellStyle name="스타일 1 3 30 4 2" xfId="766"/>
    <cellStyle name="스타일 1 3 30 5" xfId="392"/>
    <cellStyle name="스타일 1 3 30 5 2" xfId="767"/>
    <cellStyle name="스타일 1 3 31" xfId="393"/>
    <cellStyle name="스타일 1 3 31 2" xfId="394"/>
    <cellStyle name="스타일 1 3 31 2 2" xfId="768"/>
    <cellStyle name="스타일 1 3 31 3" xfId="395"/>
    <cellStyle name="스타일 1 3 31 3 2" xfId="769"/>
    <cellStyle name="스타일 1 3 31 4" xfId="396"/>
    <cellStyle name="스타일 1 3 31 4 2" xfId="770"/>
    <cellStyle name="스타일 1 3 31 5" xfId="397"/>
    <cellStyle name="스타일 1 3 31 5 2" xfId="771"/>
    <cellStyle name="스타일 1 3 32" xfId="398"/>
    <cellStyle name="스타일 1 3 32 2" xfId="399"/>
    <cellStyle name="스타일 1 3 32 2 2" xfId="772"/>
    <cellStyle name="스타일 1 3 32 3" xfId="400"/>
    <cellStyle name="스타일 1 3 32 3 2" xfId="773"/>
    <cellStyle name="스타일 1 3 32 4" xfId="401"/>
    <cellStyle name="스타일 1 3 32 4 2" xfId="774"/>
    <cellStyle name="스타일 1 3 32 5" xfId="402"/>
    <cellStyle name="스타일 1 3 32 5 2" xfId="775"/>
    <cellStyle name="스타일 1 3 33" xfId="403"/>
    <cellStyle name="스타일 1 3 33 2" xfId="404"/>
    <cellStyle name="스타일 1 3 33 2 2" xfId="776"/>
    <cellStyle name="스타일 1 3 33 3" xfId="405"/>
    <cellStyle name="스타일 1 3 33 3 2" xfId="777"/>
    <cellStyle name="스타일 1 3 33 4" xfId="406"/>
    <cellStyle name="스타일 1 3 33 4 2" xfId="778"/>
    <cellStyle name="스타일 1 3 33 5" xfId="407"/>
    <cellStyle name="스타일 1 3 33 5 2" xfId="779"/>
    <cellStyle name="스타일 1 3 34" xfId="408"/>
    <cellStyle name="스타일 1 3 34 2" xfId="409"/>
    <cellStyle name="스타일 1 3 34 2 2" xfId="780"/>
    <cellStyle name="스타일 1 3 34 3" xfId="410"/>
    <cellStyle name="스타일 1 3 34 3 2" xfId="781"/>
    <cellStyle name="스타일 1 3 34 4" xfId="411"/>
    <cellStyle name="스타일 1 3 34 4 2" xfId="782"/>
    <cellStyle name="스타일 1 3 34 5" xfId="412"/>
    <cellStyle name="스타일 1 3 34 5 2" xfId="783"/>
    <cellStyle name="스타일 1 3 35" xfId="413"/>
    <cellStyle name="스타일 1 3 35 2" xfId="414"/>
    <cellStyle name="스타일 1 3 35 2 2" xfId="784"/>
    <cellStyle name="스타일 1 3 35 3" xfId="415"/>
    <cellStyle name="스타일 1 3 35 3 2" xfId="785"/>
    <cellStyle name="스타일 1 3 35 4" xfId="416"/>
    <cellStyle name="스타일 1 3 35 4 2" xfId="786"/>
    <cellStyle name="스타일 1 3 35 5" xfId="417"/>
    <cellStyle name="스타일 1 3 35 5 2" xfId="787"/>
    <cellStyle name="스타일 1 3 36" xfId="418"/>
    <cellStyle name="스타일 1 3 36 2" xfId="419"/>
    <cellStyle name="스타일 1 3 36 2 2" xfId="788"/>
    <cellStyle name="스타일 1 3 36 3" xfId="420"/>
    <cellStyle name="스타일 1 3 36 3 2" xfId="789"/>
    <cellStyle name="스타일 1 3 36 4" xfId="421"/>
    <cellStyle name="스타일 1 3 36 4 2" xfId="790"/>
    <cellStyle name="스타일 1 3 36 5" xfId="422"/>
    <cellStyle name="스타일 1 3 36 5 2" xfId="791"/>
    <cellStyle name="스타일 1 3 37" xfId="423"/>
    <cellStyle name="스타일 1 3 37 2" xfId="424"/>
    <cellStyle name="스타일 1 3 37 2 2" xfId="792"/>
    <cellStyle name="스타일 1 3 37 3" xfId="425"/>
    <cellStyle name="스타일 1 3 37 3 2" xfId="793"/>
    <cellStyle name="스타일 1 3 37 4" xfId="426"/>
    <cellStyle name="스타일 1 3 37 4 2" xfId="794"/>
    <cellStyle name="스타일 1 3 37 5" xfId="427"/>
    <cellStyle name="스타일 1 3 37 5 2" xfId="795"/>
    <cellStyle name="스타일 1 3 38" xfId="428"/>
    <cellStyle name="스타일 1 3 38 2" xfId="429"/>
    <cellStyle name="스타일 1 3 38 2 2" xfId="796"/>
    <cellStyle name="스타일 1 3 38 3" xfId="430"/>
    <cellStyle name="스타일 1 3 38 3 2" xfId="797"/>
    <cellStyle name="스타일 1 3 38 4" xfId="431"/>
    <cellStyle name="스타일 1 3 38 4 2" xfId="798"/>
    <cellStyle name="스타일 1 3 38 5" xfId="432"/>
    <cellStyle name="스타일 1 3 38 5 2" xfId="799"/>
    <cellStyle name="스타일 1 3 39" xfId="433"/>
    <cellStyle name="스타일 1 3 39 2" xfId="434"/>
    <cellStyle name="스타일 1 3 39 2 2" xfId="800"/>
    <cellStyle name="스타일 1 3 39 3" xfId="435"/>
    <cellStyle name="스타일 1 3 39 3 2" xfId="801"/>
    <cellStyle name="스타일 1 3 39 4" xfId="436"/>
    <cellStyle name="스타일 1 3 39 4 2" xfId="802"/>
    <cellStyle name="스타일 1 3 39 5" xfId="437"/>
    <cellStyle name="스타일 1 3 39 5 2" xfId="803"/>
    <cellStyle name="스타일 1 3 4" xfId="438"/>
    <cellStyle name="스타일 1 3 4 2" xfId="439"/>
    <cellStyle name="스타일 1 3 4 2 2" xfId="804"/>
    <cellStyle name="스타일 1 3 4 3" xfId="440"/>
    <cellStyle name="스타일 1 3 4 3 2" xfId="805"/>
    <cellStyle name="스타일 1 3 4 4" xfId="441"/>
    <cellStyle name="스타일 1 3 4 4 2" xfId="806"/>
    <cellStyle name="스타일 1 3 4 5" xfId="442"/>
    <cellStyle name="스타일 1 3 4 5 2" xfId="807"/>
    <cellStyle name="스타일 1 3 40" xfId="443"/>
    <cellStyle name="스타일 1 3 40 2" xfId="444"/>
    <cellStyle name="스타일 1 3 40 2 2" xfId="808"/>
    <cellStyle name="스타일 1 3 40 3" xfId="445"/>
    <cellStyle name="스타일 1 3 40 3 2" xfId="809"/>
    <cellStyle name="스타일 1 3 40 4" xfId="446"/>
    <cellStyle name="스타일 1 3 40 4 2" xfId="810"/>
    <cellStyle name="스타일 1 3 40 5" xfId="447"/>
    <cellStyle name="스타일 1 3 40 5 2" xfId="811"/>
    <cellStyle name="스타일 1 3 41" xfId="448"/>
    <cellStyle name="스타일 1 3 41 2" xfId="812"/>
    <cellStyle name="스타일 1 3 42" xfId="449"/>
    <cellStyle name="스타일 1 3 42 2" xfId="813"/>
    <cellStyle name="스타일 1 3 43" xfId="450"/>
    <cellStyle name="스타일 1 3 43 2" xfId="814"/>
    <cellStyle name="스타일 1 3 44" xfId="451"/>
    <cellStyle name="스타일 1 3 44 2" xfId="815"/>
    <cellStyle name="스타일 1 3 5" xfId="452"/>
    <cellStyle name="스타일 1 3 5 2" xfId="453"/>
    <cellStyle name="스타일 1 3 5 2 2" xfId="816"/>
    <cellStyle name="스타일 1 3 5 3" xfId="454"/>
    <cellStyle name="스타일 1 3 5 3 2" xfId="817"/>
    <cellStyle name="스타일 1 3 5 4" xfId="455"/>
    <cellStyle name="스타일 1 3 5 4 2" xfId="818"/>
    <cellStyle name="스타일 1 3 5 5" xfId="456"/>
    <cellStyle name="스타일 1 3 5 5 2" xfId="819"/>
    <cellStyle name="스타일 1 3 6" xfId="457"/>
    <cellStyle name="스타일 1 3 6 2" xfId="458"/>
    <cellStyle name="스타일 1 3 6 2 2" xfId="820"/>
    <cellStyle name="스타일 1 3 6 3" xfId="459"/>
    <cellStyle name="스타일 1 3 6 3 2" xfId="821"/>
    <cellStyle name="스타일 1 3 6 4" xfId="460"/>
    <cellStyle name="스타일 1 3 6 4 2" xfId="822"/>
    <cellStyle name="스타일 1 3 6 5" xfId="461"/>
    <cellStyle name="스타일 1 3 6 5 2" xfId="823"/>
    <cellStyle name="스타일 1 3 7" xfId="462"/>
    <cellStyle name="스타일 1 3 7 2" xfId="463"/>
    <cellStyle name="스타일 1 3 7 2 2" xfId="824"/>
    <cellStyle name="스타일 1 3 7 3" xfId="464"/>
    <cellStyle name="스타일 1 3 7 3 2" xfId="825"/>
    <cellStyle name="스타일 1 3 7 4" xfId="465"/>
    <cellStyle name="스타일 1 3 7 4 2" xfId="826"/>
    <cellStyle name="스타일 1 3 7 5" xfId="466"/>
    <cellStyle name="스타일 1 3 7 5 2" xfId="827"/>
    <cellStyle name="스타일 1 3 8" xfId="467"/>
    <cellStyle name="스타일 1 3 8 2" xfId="468"/>
    <cellStyle name="스타일 1 3 8 2 2" xfId="828"/>
    <cellStyle name="스타일 1 3 8 3" xfId="469"/>
    <cellStyle name="스타일 1 3 8 3 2" xfId="829"/>
    <cellStyle name="스타일 1 3 8 4" xfId="470"/>
    <cellStyle name="스타일 1 3 8 4 2" xfId="830"/>
    <cellStyle name="스타일 1 3 8 5" xfId="471"/>
    <cellStyle name="스타일 1 3 8 5 2" xfId="831"/>
    <cellStyle name="스타일 1 3 9" xfId="472"/>
    <cellStyle name="스타일 1 3 9 2" xfId="473"/>
    <cellStyle name="스타일 1 3 9 2 2" xfId="832"/>
    <cellStyle name="스타일 1 3 9 3" xfId="474"/>
    <cellStyle name="스타일 1 3 9 3 2" xfId="833"/>
    <cellStyle name="스타일 1 3 9 4" xfId="475"/>
    <cellStyle name="스타일 1 3 9 4 2" xfId="834"/>
    <cellStyle name="스타일 1 3 9 5" xfId="476"/>
    <cellStyle name="스타일 1 3 9 5 2" xfId="835"/>
    <cellStyle name="스타일 1 4" xfId="477"/>
    <cellStyle name="스타일 1 4 2" xfId="836"/>
    <cellStyle name="스타일 1 5" xfId="478"/>
    <cellStyle name="스타일 1 5 2" xfId="837"/>
    <cellStyle name="스타일 1 6" xfId="479"/>
    <cellStyle name="스타일 1 6 2" xfId="838"/>
    <cellStyle name="스타일 1 7" xfId="480"/>
    <cellStyle name="스타일 1 7 2" xfId="839"/>
    <cellStyle name="자리수" xfId="481"/>
    <cellStyle name="자리수0" xfId="482"/>
    <cellStyle name="제목1" xfId="483"/>
    <cellStyle name="제목2" xfId="484"/>
    <cellStyle name="제목3" xfId="485"/>
    <cellStyle name="콤마 [0]_(改定前)검사.계측및" xfId="486"/>
    <cellStyle name="콤마_(改定前)검사.계측및" xfId="487"/>
    <cellStyle name="큰제목" xfId="488"/>
    <cellStyle name="퍼센트" xfId="489"/>
    <cellStyle name="표준 2" xfId="490"/>
    <cellStyle name="표준 2 2" xfId="491"/>
    <cellStyle name="표준 2 2 2" xfId="492"/>
    <cellStyle name="표준 2 2 2 2" xfId="493"/>
    <cellStyle name="표준 2 2 2 2 2" xfId="494"/>
    <cellStyle name="표준 2 2 2 2 2 2" xfId="495"/>
    <cellStyle name="표준 2 2 2 2 2 2 2" xfId="496"/>
    <cellStyle name="표준 2 2 2 2 2 2 2 2" xfId="497"/>
    <cellStyle name="표준 2 2 2 2 2 2_출하계획서" xfId="498"/>
    <cellStyle name="표준 2 2 2 2 2_출하계획서" xfId="499"/>
    <cellStyle name="표준 2 2 2 2_111" xfId="500"/>
    <cellStyle name="표준 2 2 2_111" xfId="501"/>
    <cellStyle name="표준 2 2_111" xfId="502"/>
    <cellStyle name="표준 2 3" xfId="503"/>
    <cellStyle name="표준 2 4" xfId="504"/>
    <cellStyle name="표준 2 5" xfId="505"/>
    <cellStyle name="표준 2 6" xfId="506"/>
    <cellStyle name="표준 3" xfId="507"/>
    <cellStyle name="표준 4" xfId="508"/>
    <cellStyle name="표준 5" xfId="509"/>
    <cellStyle name="표준 6" xfId="510"/>
    <cellStyle name="표준 7" xfId="511"/>
    <cellStyle name="표준 8" xfId="512"/>
    <cellStyle name="합산" xfId="513"/>
    <cellStyle name="화폐기호" xfId="514"/>
    <cellStyle name="화폐기호0" xfId="5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590550</xdr:colOff>
      <xdr:row>43</xdr:row>
      <xdr:rowOff>85725</xdr:rowOff>
    </xdr:from>
    <xdr:to>
      <xdr:col>23</xdr:col>
      <xdr:colOff>228600</xdr:colOff>
      <xdr:row>53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38825" y="10972800"/>
          <a:ext cx="249555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723899</xdr:colOff>
      <xdr:row>101</xdr:row>
      <xdr:rowOff>47625</xdr:rowOff>
    </xdr:from>
    <xdr:to>
      <xdr:col>23</xdr:col>
      <xdr:colOff>447674</xdr:colOff>
      <xdr:row>111</xdr:row>
      <xdr:rowOff>85142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72174" y="25393650"/>
          <a:ext cx="2581275" cy="19425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113"/>
  <sheetViews>
    <sheetView showGridLines="0" showZeros="0" tabSelected="1" view="pageBreakPreview" topLeftCell="A63" zoomScaleNormal="85" zoomScaleSheetLayoutView="100" workbookViewId="0">
      <selection activeCell="H92" sqref="H92"/>
    </sheetView>
  </sheetViews>
  <sheetFormatPr defaultRowHeight="17.25" customHeight="1"/>
  <cols>
    <col min="1" max="1" width="1.42578125" style="1" customWidth="1"/>
    <col min="2" max="2" width="7.5703125" style="1" customWidth="1"/>
    <col min="3" max="3" width="1.28515625" style="1" customWidth="1"/>
    <col min="4" max="4" width="8.28515625" style="1" customWidth="1"/>
    <col min="5" max="5" width="8.140625" style="1" customWidth="1"/>
    <col min="6" max="6" width="4.42578125" style="1" customWidth="1"/>
    <col min="7" max="7" width="2.28515625" style="1" customWidth="1"/>
    <col min="8" max="8" width="7.85546875" style="1" customWidth="1"/>
    <col min="9" max="9" width="7" style="1" customWidth="1"/>
    <col min="10" max="10" width="3.85546875" style="1" customWidth="1"/>
    <col min="11" max="11" width="1.28515625" style="1" customWidth="1"/>
    <col min="12" max="12" width="2.140625" style="1" customWidth="1"/>
    <col min="13" max="13" width="1.7109375" style="1" customWidth="1"/>
    <col min="14" max="14" width="11.42578125" style="1" bestFit="1" customWidth="1"/>
    <col min="15" max="15" width="1.7109375" style="1" customWidth="1"/>
    <col min="16" max="16" width="13.7109375" style="1" customWidth="1"/>
    <col min="17" max="17" width="1.42578125" style="1" customWidth="1"/>
    <col min="18" max="18" width="13" style="1" customWidth="1"/>
    <col min="19" max="19" width="1.42578125" style="1" customWidth="1"/>
    <col min="20" max="20" width="13.42578125" style="1" bestFit="1" customWidth="1"/>
    <col min="21" max="21" width="1.42578125" style="1" customWidth="1"/>
    <col min="22" max="22" width="12.140625" style="1" customWidth="1"/>
    <col min="23" max="23" width="1.42578125" style="1" customWidth="1"/>
    <col min="24" max="24" width="11.85546875" style="1" customWidth="1"/>
    <col min="25" max="25" width="1.85546875" style="2" customWidth="1"/>
    <col min="26" max="26" width="4.5703125" style="1" hidden="1" customWidth="1"/>
    <col min="27" max="27" width="4.5703125" style="2" customWidth="1"/>
    <col min="28" max="28" width="1" style="1" customWidth="1"/>
    <col min="29" max="34" width="2.28515625" style="1" customWidth="1"/>
    <col min="35" max="35" width="9.5703125" style="1" customWidth="1"/>
    <col min="36" max="36" width="17.28515625" style="1" customWidth="1"/>
    <col min="37" max="16384" width="9.140625" style="1"/>
  </cols>
  <sheetData>
    <row r="1" spans="1:40" ht="34.5" customHeight="1">
      <c r="A1" s="195" t="s">
        <v>28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91"/>
    </row>
    <row r="2" spans="1:40" ht="14.25" customHeight="1">
      <c r="A2" s="6" t="s">
        <v>27</v>
      </c>
      <c r="B2" s="2"/>
      <c r="C2" s="2"/>
      <c r="D2" s="2"/>
      <c r="E2" s="2"/>
      <c r="F2" s="2"/>
      <c r="G2" s="2"/>
      <c r="H2" s="2"/>
      <c r="I2" s="2"/>
      <c r="J2" s="53"/>
      <c r="K2" s="6" t="s">
        <v>15</v>
      </c>
      <c r="L2" s="6"/>
      <c r="M2" s="6"/>
      <c r="N2" s="6"/>
      <c r="O2" s="6"/>
      <c r="P2" s="6"/>
      <c r="Q2" s="6"/>
      <c r="R2" s="6"/>
      <c r="S2" s="6"/>
      <c r="T2" s="6"/>
      <c r="Z2" s="2"/>
    </row>
    <row r="3" spans="1:40" ht="14.25" customHeight="1">
      <c r="B3" s="211"/>
      <c r="C3" s="211"/>
      <c r="D3" s="211"/>
      <c r="E3" s="211"/>
      <c r="F3" s="211"/>
      <c r="G3" s="211"/>
      <c r="H3" s="211"/>
      <c r="I3" s="211"/>
      <c r="J3" s="42"/>
      <c r="K3" s="5"/>
      <c r="L3" s="149"/>
      <c r="M3" s="148"/>
      <c r="N3" s="148"/>
      <c r="O3" s="147"/>
      <c r="P3" s="146"/>
      <c r="Q3" s="5"/>
      <c r="R3" s="5"/>
      <c r="T3" s="5"/>
      <c r="U3" s="5"/>
      <c r="V3" s="5"/>
      <c r="W3" s="5"/>
      <c r="X3" s="203"/>
      <c r="Y3" s="203"/>
      <c r="Z3" s="2"/>
    </row>
    <row r="4" spans="1:40" ht="14.25" customHeight="1">
      <c r="B4" s="210"/>
      <c r="C4" s="210"/>
      <c r="D4" s="210"/>
      <c r="E4" s="210"/>
      <c r="F4" s="210"/>
      <c r="G4" s="210"/>
      <c r="H4" s="210"/>
      <c r="I4" s="210"/>
      <c r="J4" s="42"/>
      <c r="K4" s="36" t="s">
        <v>26</v>
      </c>
      <c r="L4" s="36"/>
      <c r="M4" s="36"/>
      <c r="N4" s="36"/>
      <c r="O4" s="36"/>
      <c r="P4" s="36"/>
      <c r="Q4" s="36"/>
      <c r="R4" s="36"/>
      <c r="S4" s="36"/>
      <c r="T4" s="6"/>
      <c r="Z4" s="2"/>
    </row>
    <row r="5" spans="1:40" ht="14.25" customHeight="1">
      <c r="B5" s="210"/>
      <c r="C5" s="210"/>
      <c r="D5" s="210"/>
      <c r="E5" s="210"/>
      <c r="F5" s="210"/>
      <c r="G5" s="210"/>
      <c r="H5" s="210"/>
      <c r="I5" s="210"/>
      <c r="J5" s="42"/>
      <c r="K5" s="6"/>
      <c r="M5" s="6"/>
      <c r="N5" s="6"/>
      <c r="O5" s="6"/>
      <c r="P5" s="6"/>
      <c r="Q5" s="6"/>
      <c r="R5" s="6"/>
      <c r="S5" s="6"/>
      <c r="T5" s="6"/>
      <c r="Z5" s="2"/>
    </row>
    <row r="6" spans="1:40" ht="14.25" customHeight="1">
      <c r="B6" s="210"/>
      <c r="C6" s="210"/>
      <c r="D6" s="210"/>
      <c r="E6" s="210"/>
      <c r="F6" s="210"/>
      <c r="G6" s="210"/>
      <c r="H6" s="210"/>
      <c r="I6" s="210"/>
      <c r="J6" s="42"/>
      <c r="L6" s="1" t="s">
        <v>49</v>
      </c>
      <c r="T6" s="2"/>
      <c r="Z6" s="2"/>
    </row>
    <row r="7" spans="1:40" ht="14.25" customHeight="1">
      <c r="B7" s="2"/>
      <c r="C7" s="173"/>
      <c r="D7" s="2"/>
      <c r="E7" s="2"/>
      <c r="F7" s="2"/>
      <c r="G7" s="2"/>
      <c r="H7" s="2"/>
      <c r="I7" s="2"/>
      <c r="J7" s="42"/>
      <c r="K7" s="36" t="s">
        <v>25</v>
      </c>
      <c r="L7" s="36"/>
      <c r="M7" s="36"/>
      <c r="N7" s="36"/>
      <c r="O7" s="36"/>
      <c r="P7" s="36"/>
      <c r="Q7" s="36"/>
      <c r="R7" s="36"/>
      <c r="S7" s="36"/>
      <c r="T7" s="36"/>
      <c r="U7" s="3"/>
      <c r="V7" s="3"/>
      <c r="W7" s="3"/>
      <c r="X7" s="3"/>
      <c r="Y7" s="3"/>
      <c r="Z7" s="2"/>
    </row>
    <row r="8" spans="1:40" ht="14.25" customHeight="1">
      <c r="B8" s="5"/>
      <c r="C8" s="5"/>
      <c r="D8" s="5"/>
      <c r="E8" s="5"/>
      <c r="F8" s="5"/>
      <c r="G8" s="5"/>
      <c r="H8" s="5"/>
      <c r="I8" s="5"/>
      <c r="J8" s="145"/>
      <c r="K8" s="157"/>
      <c r="L8" s="13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</row>
    <row r="9" spans="1:40" ht="14.25" customHeight="1">
      <c r="A9" s="30" t="s">
        <v>13</v>
      </c>
      <c r="B9" s="66"/>
      <c r="C9" s="66"/>
      <c r="D9" s="66"/>
      <c r="E9" s="66"/>
      <c r="F9" s="66"/>
      <c r="G9" s="66"/>
      <c r="H9" s="66"/>
      <c r="I9" s="66"/>
      <c r="J9" s="66"/>
      <c r="K9" s="125" t="s">
        <v>30</v>
      </c>
      <c r="L9" s="14"/>
      <c r="M9" s="2"/>
      <c r="N9" s="14"/>
      <c r="O9" s="14"/>
      <c r="P9" s="14"/>
      <c r="Q9" s="14"/>
      <c r="R9" s="14"/>
      <c r="S9" s="14"/>
      <c r="T9" s="14"/>
      <c r="U9" s="14"/>
      <c r="V9" s="2"/>
      <c r="W9" s="2"/>
      <c r="X9" s="2"/>
      <c r="Z9" s="2"/>
    </row>
    <row r="10" spans="1:40" ht="14.25" customHeight="1">
      <c r="A10" s="15"/>
      <c r="B10" s="80"/>
      <c r="I10" s="34"/>
      <c r="J10" s="14"/>
      <c r="K10" s="117"/>
      <c r="L10" s="27"/>
      <c r="M10" s="15"/>
      <c r="N10" s="15"/>
      <c r="O10" s="153"/>
      <c r="P10" s="37"/>
      <c r="Q10" s="152"/>
      <c r="R10" s="152"/>
      <c r="S10" s="152"/>
      <c r="T10" s="37"/>
      <c r="U10" s="82"/>
      <c r="V10" s="82"/>
      <c r="W10" s="82"/>
      <c r="X10" s="82"/>
      <c r="Y10" s="37"/>
      <c r="Z10" s="37"/>
      <c r="AA10" s="37"/>
      <c r="AJ10" s="80"/>
      <c r="AK10" s="80"/>
      <c r="AL10" s="80"/>
      <c r="AM10" s="80"/>
      <c r="AN10" s="80"/>
    </row>
    <row r="11" spans="1:40" ht="14.25" customHeight="1">
      <c r="A11" s="15"/>
      <c r="B11" s="194"/>
      <c r="C11" s="194"/>
      <c r="D11" s="194"/>
      <c r="E11" s="194"/>
      <c r="F11" s="194"/>
      <c r="G11" s="194"/>
      <c r="H11" s="194"/>
      <c r="I11" s="194"/>
      <c r="J11" s="80"/>
      <c r="K11" s="117"/>
      <c r="L11" s="27" t="s">
        <v>9</v>
      </c>
      <c r="M11" s="15" t="s">
        <v>12</v>
      </c>
      <c r="N11" s="15"/>
      <c r="O11" s="153" t="s">
        <v>3</v>
      </c>
      <c r="P11" s="152"/>
      <c r="Q11" s="83"/>
      <c r="R11" s="152"/>
      <c r="S11" s="15"/>
      <c r="T11" s="152"/>
      <c r="V11" s="152"/>
      <c r="X11" s="152"/>
      <c r="Y11" s="82"/>
      <c r="Z11" s="82"/>
      <c r="AA11" s="82"/>
      <c r="AB11" s="15"/>
      <c r="AC11" s="15"/>
      <c r="AD11" s="15"/>
      <c r="AE11" s="15"/>
      <c r="AF11" s="15"/>
      <c r="AJ11" s="15"/>
      <c r="AK11" s="15"/>
      <c r="AL11" s="15"/>
      <c r="AM11" s="15"/>
      <c r="AN11" s="15"/>
    </row>
    <row r="12" spans="1:40" ht="15" customHeight="1">
      <c r="A12" s="15"/>
      <c r="B12" s="194"/>
      <c r="C12" s="194"/>
      <c r="D12" s="194"/>
      <c r="E12" s="194"/>
      <c r="F12" s="194"/>
      <c r="G12" s="194"/>
      <c r="H12" s="194"/>
      <c r="I12" s="194"/>
      <c r="J12" s="80"/>
      <c r="K12" s="117"/>
      <c r="L12" s="27" t="s">
        <v>9</v>
      </c>
      <c r="M12" s="15" t="s">
        <v>24</v>
      </c>
      <c r="N12" s="15"/>
      <c r="O12" s="153" t="s">
        <v>3</v>
      </c>
      <c r="P12" s="152"/>
      <c r="R12" s="152"/>
      <c r="T12" s="152"/>
      <c r="V12" s="152"/>
      <c r="X12" s="152"/>
      <c r="Y12" s="82"/>
      <c r="Z12" s="70"/>
      <c r="AA12" s="82"/>
      <c r="AB12" s="14"/>
      <c r="AC12" s="15"/>
      <c r="AD12" s="15"/>
      <c r="AE12" s="15"/>
      <c r="AF12" s="15"/>
      <c r="AG12" s="15"/>
      <c r="AJ12" s="15"/>
      <c r="AK12" s="15"/>
      <c r="AL12" s="15"/>
      <c r="AM12" s="15"/>
      <c r="AN12" s="15"/>
    </row>
    <row r="13" spans="1:40" ht="14.25" customHeight="1">
      <c r="A13" s="15"/>
      <c r="B13" s="194"/>
      <c r="C13" s="194"/>
      <c r="D13" s="194"/>
      <c r="E13" s="194"/>
      <c r="F13" s="194"/>
      <c r="G13" s="194"/>
      <c r="H13" s="194"/>
      <c r="I13" s="194"/>
      <c r="J13" s="15"/>
      <c r="K13" s="117"/>
      <c r="L13" s="27" t="s">
        <v>9</v>
      </c>
      <c r="M13" s="15" t="s">
        <v>31</v>
      </c>
      <c r="N13" s="15"/>
      <c r="O13" s="162" t="s">
        <v>3</v>
      </c>
      <c r="P13" s="151"/>
      <c r="Q13" s="83"/>
      <c r="R13" s="151"/>
      <c r="S13" s="15"/>
      <c r="T13" s="151"/>
      <c r="V13" s="151"/>
      <c r="X13" s="151"/>
      <c r="Y13" s="62"/>
      <c r="Z13" s="144"/>
      <c r="AA13" s="14"/>
      <c r="AB13" s="143"/>
      <c r="AC13" s="15"/>
      <c r="AD13" s="15"/>
      <c r="AE13" s="15"/>
      <c r="AF13" s="15"/>
      <c r="AG13" s="15"/>
      <c r="AH13" s="15"/>
      <c r="AJ13" s="15"/>
      <c r="AK13" s="15"/>
      <c r="AL13" s="15"/>
      <c r="AM13" s="15"/>
      <c r="AN13" s="15"/>
    </row>
    <row r="14" spans="1:40" ht="12.75">
      <c r="A14" s="15"/>
      <c r="B14" s="1" t="s">
        <v>47</v>
      </c>
      <c r="C14" s="15"/>
      <c r="I14" s="15"/>
      <c r="J14" s="15"/>
      <c r="K14" s="125"/>
      <c r="L14" s="27"/>
      <c r="M14" s="80"/>
      <c r="N14" s="80"/>
      <c r="O14" s="80"/>
      <c r="P14" s="73">
        <v>123</v>
      </c>
      <c r="Q14" s="83"/>
      <c r="R14" s="73"/>
      <c r="S14" s="15"/>
      <c r="T14" s="73"/>
      <c r="V14" s="73"/>
      <c r="X14" s="73"/>
      <c r="Y14" s="133"/>
      <c r="Z14" s="133"/>
      <c r="AA14" s="14"/>
      <c r="AB14" s="14"/>
      <c r="AC14" s="15"/>
      <c r="AD14" s="15"/>
      <c r="AE14" s="15"/>
      <c r="AF14" s="15"/>
      <c r="AG14" s="15"/>
      <c r="AH14" s="15"/>
      <c r="AJ14" s="15"/>
      <c r="AK14" s="15"/>
      <c r="AL14" s="15"/>
      <c r="AM14" s="15"/>
      <c r="AN14" s="15"/>
    </row>
    <row r="15" spans="1:40" ht="12.75">
      <c r="A15" s="15"/>
      <c r="B15" s="15" t="s">
        <v>48</v>
      </c>
      <c r="I15" s="15"/>
      <c r="J15" s="119"/>
      <c r="K15" s="117"/>
      <c r="L15" s="27" t="s">
        <v>9</v>
      </c>
      <c r="M15" s="15" t="s">
        <v>11</v>
      </c>
      <c r="O15" s="15" t="s">
        <v>3</v>
      </c>
      <c r="P15" s="71"/>
      <c r="Q15" s="15"/>
      <c r="R15" s="71"/>
      <c r="S15" s="15"/>
      <c r="T15" s="71"/>
      <c r="V15" s="71"/>
      <c r="W15" s="2"/>
      <c r="X15" s="71"/>
      <c r="Y15" s="55"/>
      <c r="Z15" s="55"/>
      <c r="AA15" s="14"/>
      <c r="AB15" s="14"/>
      <c r="AC15" s="15"/>
      <c r="AD15" s="15"/>
      <c r="AE15" s="15"/>
      <c r="AF15" s="15"/>
      <c r="AG15" s="15"/>
      <c r="AH15" s="15"/>
    </row>
    <row r="16" spans="1:40" ht="12.75">
      <c r="A16" s="15"/>
      <c r="B16" s="15"/>
      <c r="C16" s="15"/>
      <c r="D16" s="15"/>
      <c r="E16" s="15"/>
      <c r="F16" s="15"/>
      <c r="G16" s="15"/>
      <c r="H16" s="15"/>
      <c r="I16" s="15"/>
      <c r="J16" s="119"/>
      <c r="K16" s="117"/>
      <c r="L16" s="27" t="s">
        <v>9</v>
      </c>
      <c r="M16" s="15" t="s">
        <v>41</v>
      </c>
      <c r="N16" s="15"/>
      <c r="O16" s="162" t="s">
        <v>3</v>
      </c>
      <c r="P16" s="179"/>
      <c r="Q16" s="71"/>
      <c r="R16" s="163"/>
      <c r="S16" s="163"/>
      <c r="T16" s="163"/>
      <c r="U16" s="163"/>
      <c r="V16" s="163"/>
      <c r="W16" s="2"/>
      <c r="X16" s="163"/>
      <c r="Y16" s="142"/>
      <c r="Z16" s="142"/>
      <c r="AA16" s="14"/>
      <c r="AB16" s="14"/>
      <c r="AC16" s="15"/>
      <c r="AD16" s="15"/>
      <c r="AE16" s="15"/>
      <c r="AF16" s="15"/>
      <c r="AG16" s="15"/>
      <c r="AH16" s="15"/>
    </row>
    <row r="17" spans="1:49" ht="14.25" customHeight="1">
      <c r="A17" s="30" t="s">
        <v>10</v>
      </c>
      <c r="B17" s="66"/>
      <c r="C17" s="66"/>
      <c r="D17" s="66"/>
      <c r="E17" s="66"/>
      <c r="F17" s="66"/>
      <c r="G17" s="66"/>
      <c r="H17" s="66"/>
      <c r="I17" s="66"/>
      <c r="J17" s="156"/>
      <c r="K17" s="125"/>
      <c r="P17" s="186"/>
      <c r="Q17" s="163"/>
      <c r="S17" s="80"/>
      <c r="U17" s="7"/>
      <c r="W17" s="82"/>
      <c r="Y17" s="142"/>
      <c r="Z17" s="82"/>
      <c r="AA17" s="14"/>
      <c r="AB17" s="14"/>
      <c r="AC17" s="15"/>
      <c r="AD17" s="15"/>
      <c r="AE17" s="15"/>
      <c r="AF17" s="15"/>
      <c r="AG17" s="15"/>
      <c r="AH17" s="15"/>
    </row>
    <row r="18" spans="1:49" ht="14.25" customHeight="1">
      <c r="A18" s="15"/>
      <c r="B18" s="7"/>
      <c r="H18" s="15"/>
      <c r="I18" s="15"/>
      <c r="J18" s="119"/>
      <c r="K18" s="14"/>
      <c r="L18" s="27" t="s">
        <v>9</v>
      </c>
      <c r="M18" s="15" t="s">
        <v>32</v>
      </c>
      <c r="N18" s="15"/>
      <c r="O18" s="153" t="s">
        <v>3</v>
      </c>
      <c r="P18" s="175"/>
      <c r="Q18" s="68"/>
      <c r="R18" s="175"/>
      <c r="S18" s="15"/>
      <c r="T18" s="175"/>
      <c r="U18" s="15"/>
      <c r="V18" s="175"/>
      <c r="X18" s="175"/>
      <c r="Y18" s="70"/>
      <c r="Z18" s="70"/>
      <c r="AA18" s="14"/>
      <c r="AB18" s="14"/>
      <c r="AC18" s="15"/>
      <c r="AD18" s="15"/>
      <c r="AE18" s="15"/>
      <c r="AF18" s="15"/>
      <c r="AG18" s="15"/>
      <c r="AH18" s="15"/>
      <c r="AJ18" s="32"/>
    </row>
    <row r="19" spans="1:49" ht="14.25" customHeight="1">
      <c r="A19" s="15"/>
      <c r="B19" s="37"/>
      <c r="C19" s="141"/>
      <c r="D19" s="141"/>
      <c r="E19" s="141"/>
      <c r="F19" s="141"/>
      <c r="G19" s="141"/>
      <c r="H19" s="140"/>
      <c r="I19" s="140"/>
      <c r="J19" s="139"/>
      <c r="K19" s="15"/>
      <c r="L19" s="27"/>
      <c r="M19" s="15"/>
      <c r="N19" s="15"/>
      <c r="O19" s="72"/>
      <c r="P19" s="77"/>
      <c r="Q19" s="138"/>
      <c r="R19" s="151"/>
      <c r="S19" s="15"/>
      <c r="T19" s="151"/>
      <c r="V19" s="151"/>
      <c r="X19" s="151"/>
      <c r="Y19" s="137"/>
      <c r="Z19" s="62"/>
      <c r="AA19" s="136"/>
      <c r="AB19" s="14"/>
      <c r="AC19" s="15"/>
      <c r="AD19" s="15"/>
      <c r="AE19" s="15"/>
      <c r="AF19" s="15"/>
      <c r="AG19" s="15"/>
      <c r="AH19" s="15"/>
      <c r="AW19" s="81"/>
    </row>
    <row r="20" spans="1:49" ht="14.25" customHeight="1">
      <c r="A20" s="15"/>
      <c r="B20" s="7" t="s">
        <v>29</v>
      </c>
      <c r="H20" s="15"/>
      <c r="I20" s="15"/>
      <c r="J20" s="119"/>
      <c r="K20" s="14"/>
      <c r="L20" s="153" t="s">
        <v>9</v>
      </c>
      <c r="M20" s="15" t="s">
        <v>33</v>
      </c>
      <c r="N20" s="106"/>
      <c r="O20" s="15" t="s">
        <v>3</v>
      </c>
      <c r="P20" s="81"/>
      <c r="Q20" s="55"/>
      <c r="R20" s="81"/>
      <c r="S20" s="14"/>
      <c r="T20" s="81"/>
      <c r="U20" s="2"/>
      <c r="V20" s="81"/>
      <c r="W20" s="2"/>
      <c r="X20" s="81"/>
      <c r="Y20" s="137"/>
      <c r="Z20" s="62"/>
      <c r="AA20" s="136"/>
      <c r="AB20" s="14"/>
      <c r="AC20" s="15"/>
      <c r="AD20" s="15"/>
      <c r="AE20" s="15"/>
      <c r="AF20" s="15"/>
      <c r="AG20" s="15"/>
      <c r="AH20" s="15"/>
      <c r="AW20" s="79"/>
    </row>
    <row r="21" spans="1:49" ht="14.25" customHeight="1">
      <c r="I21" s="15"/>
      <c r="J21" s="119"/>
      <c r="K21" s="125"/>
      <c r="L21" s="153" t="s">
        <v>9</v>
      </c>
      <c r="M21" s="15" t="s">
        <v>50</v>
      </c>
      <c r="N21" s="106"/>
      <c r="O21" s="15"/>
      <c r="P21" s="15"/>
      <c r="Q21" s="14"/>
      <c r="R21" s="14"/>
      <c r="S21" s="14"/>
      <c r="T21" s="14"/>
      <c r="U21" s="14"/>
      <c r="V21" s="2"/>
      <c r="W21" s="2"/>
      <c r="X21" s="2"/>
      <c r="Y21" s="137"/>
      <c r="Z21" s="62"/>
      <c r="AA21" s="136"/>
      <c r="AB21" s="14"/>
      <c r="AC21" s="15"/>
      <c r="AD21" s="15"/>
      <c r="AE21" s="15"/>
      <c r="AF21" s="15"/>
      <c r="AG21" s="15"/>
      <c r="AH21" s="15"/>
      <c r="AW21" s="163"/>
    </row>
    <row r="22" spans="1:49" ht="15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4"/>
      <c r="K22" s="117"/>
      <c r="L22" s="27"/>
      <c r="M22" s="15"/>
      <c r="N22" s="15"/>
      <c r="O22" s="72"/>
      <c r="P22" s="204"/>
      <c r="Q22" s="204"/>
      <c r="R22" s="204"/>
      <c r="S22" s="204"/>
      <c r="T22" s="204"/>
      <c r="U22" s="204"/>
      <c r="X22" s="61"/>
      <c r="Y22" s="133"/>
      <c r="Z22" s="133"/>
      <c r="AA22" s="132"/>
      <c r="AB22" s="14"/>
      <c r="AC22" s="131"/>
      <c r="AD22" s="15"/>
      <c r="AE22" s="15"/>
      <c r="AF22" s="15"/>
      <c r="AG22" s="15"/>
      <c r="AH22" s="15"/>
    </row>
    <row r="23" spans="1:49" ht="14.25" customHeight="1">
      <c r="A23" s="80" t="s">
        <v>8</v>
      </c>
      <c r="B23" s="15"/>
      <c r="C23" s="14"/>
      <c r="D23" s="14"/>
      <c r="E23" s="14"/>
      <c r="F23" s="119"/>
      <c r="G23" s="125" t="s">
        <v>7</v>
      </c>
      <c r="H23" s="23"/>
      <c r="I23" s="23"/>
      <c r="J23" s="118"/>
      <c r="K23" s="117"/>
      <c r="L23" s="27"/>
      <c r="M23" s="15"/>
      <c r="N23" s="15"/>
      <c r="O23" s="72"/>
      <c r="P23" s="151"/>
      <c r="Q23" s="76"/>
      <c r="R23" s="62"/>
      <c r="S23" s="15"/>
      <c r="T23" s="75"/>
      <c r="X23" s="63"/>
      <c r="Y23" s="130"/>
      <c r="Z23" s="130"/>
      <c r="AA23" s="55"/>
      <c r="AB23" s="14"/>
      <c r="AC23" s="15"/>
      <c r="AD23" s="15"/>
      <c r="AE23" s="15"/>
      <c r="AF23" s="15"/>
      <c r="AG23" s="15"/>
      <c r="AH23" s="15"/>
    </row>
    <row r="24" spans="1:49" s="7" customFormat="1" ht="14.25" customHeight="1">
      <c r="A24" s="128"/>
      <c r="B24" s="45"/>
      <c r="C24" s="46"/>
      <c r="D24" s="46"/>
      <c r="E24" s="46"/>
      <c r="F24" s="129"/>
      <c r="G24" s="128"/>
      <c r="H24" s="127"/>
      <c r="I24" s="127"/>
      <c r="J24" s="126"/>
      <c r="K24" s="125"/>
      <c r="L24" s="80"/>
      <c r="M24" s="80"/>
      <c r="N24" s="80"/>
      <c r="O24" s="80"/>
      <c r="P24" s="73"/>
      <c r="Q24" s="124"/>
      <c r="R24" s="123"/>
      <c r="S24" s="80"/>
      <c r="T24" s="122"/>
      <c r="X24" s="121"/>
      <c r="Y24" s="120"/>
      <c r="Z24" s="120"/>
      <c r="AA24" s="23"/>
      <c r="AB24" s="80"/>
      <c r="AC24" s="80"/>
      <c r="AD24" s="80"/>
      <c r="AE24" s="80"/>
      <c r="AF24" s="80"/>
      <c r="AG24" s="80"/>
      <c r="AH24" s="80"/>
    </row>
    <row r="25" spans="1:49" ht="14.25" customHeight="1">
      <c r="A25" s="80" t="s">
        <v>6</v>
      </c>
      <c r="B25" s="15"/>
      <c r="C25" s="14"/>
      <c r="D25" s="14"/>
      <c r="E25" s="14"/>
      <c r="F25" s="119"/>
      <c r="G25" s="125" t="s">
        <v>5</v>
      </c>
      <c r="H25" s="23"/>
      <c r="I25" s="23"/>
      <c r="J25" s="118"/>
      <c r="K25" s="117"/>
      <c r="L25" s="27"/>
      <c r="M25" s="15"/>
      <c r="N25" s="15"/>
      <c r="O25" s="72"/>
      <c r="P25" s="71"/>
      <c r="Q25" s="68"/>
      <c r="R25" s="70"/>
      <c r="S25" s="15"/>
      <c r="T25" s="69"/>
      <c r="X25" s="61"/>
      <c r="Y25" s="14"/>
      <c r="Z25" s="14"/>
      <c r="AA25" s="14"/>
      <c r="AB25" s="15"/>
      <c r="AC25" s="15"/>
      <c r="AD25" s="15"/>
      <c r="AE25" s="15"/>
      <c r="AF25" s="15"/>
      <c r="AG25" s="15"/>
      <c r="AH25" s="15"/>
    </row>
    <row r="26" spans="1:49" ht="14.25" customHeight="1">
      <c r="A26" s="205"/>
      <c r="B26" s="205"/>
      <c r="C26" s="205"/>
      <c r="D26" s="205"/>
      <c r="E26" s="205"/>
      <c r="F26" s="206"/>
      <c r="G26" s="207"/>
      <c r="H26" s="208"/>
      <c r="I26" s="208"/>
      <c r="J26" s="209"/>
      <c r="K26" s="14"/>
      <c r="L26" s="165"/>
      <c r="M26" s="15"/>
      <c r="N26" s="106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4"/>
      <c r="Z26" s="14"/>
      <c r="AA26" s="14"/>
      <c r="AB26" s="15"/>
      <c r="AC26" s="15"/>
      <c r="AD26" s="15"/>
      <c r="AE26" s="15"/>
      <c r="AF26" s="15"/>
      <c r="AG26" s="15"/>
      <c r="AH26" s="15"/>
    </row>
    <row r="27" spans="1:49" ht="15" customHeight="1">
      <c r="A27" s="30" t="s">
        <v>34</v>
      </c>
      <c r="B27" s="66"/>
      <c r="C27" s="66"/>
      <c r="D27" s="66"/>
      <c r="E27" s="66"/>
      <c r="F27" s="66"/>
      <c r="G27" s="116"/>
      <c r="H27" s="14"/>
      <c r="I27" s="14"/>
      <c r="J27" s="14"/>
      <c r="K27" s="66"/>
      <c r="L27" s="66"/>
      <c r="M27" s="66"/>
      <c r="N27" s="66"/>
      <c r="O27" s="66"/>
      <c r="P27" s="66"/>
      <c r="Q27" s="66"/>
      <c r="R27" s="66"/>
      <c r="S27" s="30"/>
      <c r="T27" s="30"/>
      <c r="U27" s="66"/>
      <c r="V27" s="66"/>
      <c r="W27" s="66"/>
      <c r="X27" s="66"/>
      <c r="Y27" s="66"/>
      <c r="Z27" s="14"/>
      <c r="AA27" s="14"/>
      <c r="AB27" s="15"/>
      <c r="AC27" s="15"/>
      <c r="AD27" s="15"/>
      <c r="AE27" s="15"/>
      <c r="AF27" s="15"/>
      <c r="AG27" s="15"/>
      <c r="AH27" s="15"/>
      <c r="AJ27" s="115"/>
    </row>
    <row r="28" spans="1:49" ht="1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35"/>
      <c r="Z28" s="2"/>
    </row>
    <row r="29" spans="1:49" ht="15" customHeight="1">
      <c r="A29" s="212" t="s">
        <v>36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Z29" s="2"/>
    </row>
    <row r="30" spans="1:49" ht="15" customHeight="1">
      <c r="A30" s="114"/>
      <c r="B30" s="114"/>
      <c r="C30" s="114"/>
      <c r="D30" s="114"/>
      <c r="E30" s="16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Z30" s="2"/>
    </row>
    <row r="31" spans="1:49" ht="15" customHeight="1" thickBot="1">
      <c r="A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Z31" s="2"/>
      <c r="AA31" s="35"/>
    </row>
    <row r="32" spans="1:49" ht="16.5" customHeight="1">
      <c r="A32" s="15"/>
      <c r="B32" s="214" t="s">
        <v>39</v>
      </c>
      <c r="C32" s="215"/>
      <c r="D32" s="215"/>
      <c r="E32" s="216"/>
      <c r="F32" s="15"/>
      <c r="G32" s="106"/>
      <c r="H32" s="106"/>
      <c r="I32" s="106"/>
      <c r="J32" s="106"/>
      <c r="K32" s="188"/>
      <c r="L32" s="188"/>
      <c r="M32" s="188"/>
      <c r="N32" s="188"/>
      <c r="O32" s="188"/>
      <c r="P32" s="189"/>
      <c r="Q32" s="189"/>
      <c r="R32" s="189"/>
      <c r="S32" s="189"/>
      <c r="T32" s="190"/>
      <c r="U32" s="190"/>
      <c r="V32" s="190"/>
      <c r="W32" s="190"/>
      <c r="X32" s="190"/>
      <c r="Y32" s="95"/>
      <c r="Z32" s="2"/>
      <c r="AA32" s="95"/>
      <c r="AC32" s="35"/>
    </row>
    <row r="33" spans="1:29" ht="16.5" customHeight="1">
      <c r="A33" s="15"/>
      <c r="B33" s="167" t="s">
        <v>37</v>
      </c>
      <c r="C33" s="2"/>
      <c r="D33" s="2"/>
      <c r="E33" s="168"/>
      <c r="F33" s="15"/>
      <c r="G33" s="213"/>
      <c r="H33" s="213"/>
      <c r="I33" s="213"/>
      <c r="J33" s="213"/>
      <c r="K33" s="188"/>
      <c r="L33" s="188"/>
      <c r="M33" s="188"/>
      <c r="N33" s="188"/>
      <c r="O33" s="188"/>
      <c r="P33" s="202"/>
      <c r="Q33" s="202"/>
      <c r="R33" s="202"/>
      <c r="S33" s="202"/>
      <c r="T33" s="190">
        <f>ROUND(K33*P33,2)</f>
        <v>0</v>
      </c>
      <c r="U33" s="190"/>
      <c r="V33" s="190"/>
      <c r="W33" s="190"/>
      <c r="X33" s="190"/>
      <c r="Y33" s="95"/>
      <c r="Z33" s="2"/>
      <c r="AA33" s="95"/>
      <c r="AC33" s="35"/>
    </row>
    <row r="34" spans="1:29" ht="16.5" customHeight="1">
      <c r="A34" s="15"/>
      <c r="B34" s="169" t="s">
        <v>51</v>
      </c>
      <c r="C34" s="166"/>
      <c r="D34" s="23"/>
      <c r="E34" s="187"/>
      <c r="F34" s="107"/>
      <c r="G34" s="107"/>
      <c r="H34" s="106"/>
      <c r="I34" s="106"/>
      <c r="J34" s="106"/>
      <c r="K34" s="188"/>
      <c r="L34" s="188"/>
      <c r="M34" s="188"/>
      <c r="N34" s="188"/>
      <c r="O34" s="188"/>
      <c r="P34" s="189"/>
      <c r="Q34" s="189"/>
      <c r="R34" s="189"/>
      <c r="S34" s="189"/>
      <c r="T34" s="190"/>
      <c r="U34" s="190"/>
      <c r="V34" s="190"/>
      <c r="W34" s="190"/>
      <c r="X34" s="190"/>
      <c r="Y34" s="95"/>
      <c r="Z34" s="2"/>
      <c r="AA34" s="95"/>
      <c r="AC34" s="35"/>
    </row>
    <row r="35" spans="1:29" ht="16.5" customHeight="1" thickBot="1">
      <c r="A35" s="15"/>
      <c r="B35" s="170" t="s">
        <v>38</v>
      </c>
      <c r="C35" s="171"/>
      <c r="D35" s="171"/>
      <c r="E35" s="172"/>
      <c r="F35" s="93"/>
      <c r="G35" s="219"/>
      <c r="H35" s="219"/>
      <c r="I35" s="219"/>
      <c r="J35" s="219"/>
      <c r="K35" s="188"/>
      <c r="L35" s="188"/>
      <c r="M35" s="188"/>
      <c r="N35" s="188"/>
      <c r="O35" s="188"/>
      <c r="P35" s="202"/>
      <c r="Q35" s="202"/>
      <c r="R35" s="202"/>
      <c r="S35" s="202"/>
      <c r="T35" s="190">
        <f>ROUND(K35*P35,2)</f>
        <v>0</v>
      </c>
      <c r="U35" s="190"/>
      <c r="V35" s="190"/>
      <c r="W35" s="190"/>
      <c r="X35" s="190"/>
      <c r="Y35" s="95"/>
      <c r="Z35" s="2"/>
      <c r="AA35" s="95"/>
      <c r="AC35" s="35"/>
    </row>
    <row r="36" spans="1:29" ht="15" customHeight="1">
      <c r="A36" s="15"/>
      <c r="B36" s="15"/>
      <c r="C36" s="15"/>
      <c r="D36" s="81"/>
      <c r="E36" s="81"/>
      <c r="G36" s="107"/>
      <c r="H36" s="106"/>
      <c r="I36" s="106"/>
      <c r="J36" s="106"/>
      <c r="K36" s="188"/>
      <c r="L36" s="188"/>
      <c r="M36" s="188"/>
      <c r="N36" s="188"/>
      <c r="O36" s="188"/>
      <c r="P36" s="189"/>
      <c r="Q36" s="189"/>
      <c r="R36" s="189"/>
      <c r="S36" s="189"/>
      <c r="T36" s="190"/>
      <c r="U36" s="190"/>
      <c r="V36" s="190"/>
      <c r="W36" s="190"/>
      <c r="X36" s="190"/>
      <c r="Y36" s="95"/>
      <c r="Z36" s="2"/>
      <c r="AA36" s="95"/>
      <c r="AC36" s="35"/>
    </row>
    <row r="37" spans="1:29" ht="15" customHeight="1">
      <c r="A37" s="15"/>
      <c r="B37" s="15"/>
      <c r="C37" s="15"/>
      <c r="D37" s="81"/>
      <c r="E37" s="81"/>
      <c r="G37" s="219"/>
      <c r="H37" s="219"/>
      <c r="I37" s="219"/>
      <c r="J37" s="219"/>
      <c r="K37" s="188"/>
      <c r="L37" s="188"/>
      <c r="M37" s="188"/>
      <c r="N37" s="188"/>
      <c r="O37" s="188"/>
      <c r="P37" s="202"/>
      <c r="Q37" s="202"/>
      <c r="R37" s="202"/>
      <c r="S37" s="202"/>
      <c r="T37" s="190">
        <f>ROUND(K37*P37,2)</f>
        <v>0</v>
      </c>
      <c r="U37" s="190"/>
      <c r="V37" s="190"/>
      <c r="W37" s="190"/>
      <c r="X37" s="190"/>
      <c r="Y37" s="109"/>
      <c r="Z37" s="109"/>
      <c r="AA37" s="109"/>
      <c r="AB37" s="108"/>
      <c r="AC37" s="35"/>
    </row>
    <row r="38" spans="1:29" ht="15" customHeight="1">
      <c r="A38" s="15"/>
      <c r="B38" s="15"/>
      <c r="C38" s="15"/>
      <c r="D38" s="81"/>
      <c r="E38" s="81"/>
      <c r="G38" s="107"/>
      <c r="H38" s="106"/>
      <c r="I38" s="106"/>
      <c r="J38" s="106"/>
      <c r="K38" s="188"/>
      <c r="L38" s="188"/>
      <c r="M38" s="188"/>
      <c r="N38" s="188"/>
      <c r="O38" s="188"/>
      <c r="P38" s="189"/>
      <c r="Q38" s="189"/>
      <c r="R38" s="189"/>
      <c r="S38" s="189"/>
      <c r="T38" s="190"/>
      <c r="U38" s="190"/>
      <c r="V38" s="190"/>
      <c r="W38" s="190"/>
      <c r="X38" s="190"/>
      <c r="Y38" s="113"/>
      <c r="Z38" s="109"/>
      <c r="AA38" s="109"/>
      <c r="AB38" s="108"/>
      <c r="AC38" s="35"/>
    </row>
    <row r="39" spans="1:29" ht="15" customHeight="1">
      <c r="A39" s="15"/>
      <c r="B39" s="15"/>
      <c r="C39" s="15"/>
      <c r="D39" s="81"/>
      <c r="E39" s="81"/>
      <c r="F39" s="112" t="s">
        <v>1</v>
      </c>
      <c r="G39" s="30"/>
      <c r="H39" s="30"/>
      <c r="I39" s="30"/>
      <c r="J39" s="30"/>
      <c r="K39" s="217">
        <f>SUM(K31:K38)</f>
        <v>0</v>
      </c>
      <c r="L39" s="217"/>
      <c r="M39" s="217"/>
      <c r="N39" s="217"/>
      <c r="O39" s="217"/>
      <c r="P39" s="30"/>
      <c r="Q39" s="111"/>
      <c r="R39" s="111"/>
      <c r="S39" s="110"/>
      <c r="T39" s="218">
        <f>SUM(T31:T38)</f>
        <v>0</v>
      </c>
      <c r="U39" s="218"/>
      <c r="V39" s="218"/>
      <c r="W39" s="218"/>
      <c r="X39" s="218"/>
      <c r="Y39" s="95"/>
      <c r="Z39" s="109"/>
      <c r="AA39" s="109"/>
      <c r="AB39" s="108"/>
      <c r="AC39" s="35"/>
    </row>
    <row r="40" spans="1:29" ht="15" customHeight="1">
      <c r="A40" s="15"/>
      <c r="B40" s="15"/>
      <c r="C40" s="15"/>
      <c r="D40" s="81"/>
      <c r="E40" s="81"/>
      <c r="Y40" s="109"/>
      <c r="Z40" s="109"/>
      <c r="AA40" s="109"/>
      <c r="AB40" s="108"/>
      <c r="AC40" s="35"/>
    </row>
    <row r="41" spans="1:29" ht="15" customHeight="1">
      <c r="A41" s="15"/>
      <c r="B41" s="15"/>
      <c r="C41" s="15"/>
      <c r="D41" s="81"/>
      <c r="E41" s="81"/>
      <c r="F41" s="15"/>
      <c r="G41" s="15"/>
      <c r="H41" s="15"/>
      <c r="I41" s="15"/>
      <c r="J41" s="15"/>
      <c r="K41" s="188"/>
      <c r="L41" s="188"/>
      <c r="M41" s="188"/>
      <c r="N41" s="188"/>
      <c r="O41" s="188"/>
      <c r="P41" s="189"/>
      <c r="Q41" s="189"/>
      <c r="R41" s="189"/>
      <c r="S41" s="189"/>
      <c r="T41" s="190"/>
      <c r="U41" s="190"/>
      <c r="V41" s="190"/>
      <c r="W41" s="190"/>
      <c r="X41" s="190"/>
      <c r="Y41" s="109"/>
      <c r="Z41" s="109"/>
      <c r="AA41" s="109"/>
      <c r="AB41" s="108"/>
      <c r="AC41" s="35"/>
    </row>
    <row r="42" spans="1:29" ht="15" customHeight="1">
      <c r="A42" s="15"/>
      <c r="B42" s="65"/>
      <c r="C42" s="15"/>
      <c r="D42" s="14"/>
      <c r="E42" s="14"/>
      <c r="Y42" s="1"/>
      <c r="Z42" s="2"/>
      <c r="AA42" s="95"/>
    </row>
    <row r="43" spans="1:29" ht="15" customHeight="1">
      <c r="A43" s="65" t="s">
        <v>22</v>
      </c>
      <c r="B43" s="65"/>
      <c r="C43" s="15"/>
      <c r="D43" s="14"/>
      <c r="E43" s="14"/>
      <c r="F43" s="104"/>
      <c r="G43" s="14"/>
      <c r="H43" s="14"/>
      <c r="I43" s="14"/>
      <c r="J43" s="14"/>
      <c r="K43" s="103"/>
      <c r="L43" s="103"/>
      <c r="M43" s="103"/>
      <c r="N43" s="103"/>
      <c r="O43" s="103"/>
      <c r="P43" s="14"/>
      <c r="Q43" s="102"/>
      <c r="R43" s="102"/>
      <c r="S43" s="101"/>
      <c r="T43" s="100"/>
      <c r="U43" s="100"/>
      <c r="V43" s="105"/>
      <c r="W43" s="100"/>
      <c r="X43" s="100"/>
      <c r="Y43" s="95"/>
      <c r="Z43" s="2"/>
      <c r="AA43" s="95"/>
    </row>
    <row r="44" spans="1:29" ht="15" customHeight="1">
      <c r="A44" s="65" t="s">
        <v>21</v>
      </c>
      <c r="B44" s="65"/>
      <c r="C44" s="15"/>
      <c r="D44" s="14"/>
      <c r="E44" s="14"/>
      <c r="F44" s="104"/>
      <c r="G44" s="14"/>
      <c r="H44" s="14"/>
      <c r="I44" s="14"/>
      <c r="J44" s="14"/>
      <c r="K44" s="103"/>
      <c r="L44" s="103"/>
      <c r="M44" s="103"/>
      <c r="N44" s="103"/>
      <c r="O44" s="103"/>
      <c r="P44" s="14"/>
      <c r="Q44" s="102"/>
      <c r="R44" s="102"/>
      <c r="S44" s="101"/>
      <c r="T44" s="100"/>
      <c r="U44" s="100"/>
      <c r="V44" s="105"/>
      <c r="W44" s="100"/>
      <c r="X44" s="100"/>
      <c r="Y44" s="95"/>
      <c r="Z44" s="2"/>
      <c r="AA44" s="95"/>
    </row>
    <row r="45" spans="1:29" ht="15" customHeight="1">
      <c r="A45" s="65"/>
      <c r="B45" s="65"/>
      <c r="C45" s="15"/>
      <c r="D45" s="14"/>
      <c r="E45" s="14"/>
      <c r="F45" s="104"/>
      <c r="G45" s="14"/>
      <c r="H45" s="14"/>
      <c r="I45" s="14"/>
      <c r="J45" s="14"/>
      <c r="K45" s="150"/>
      <c r="L45" s="150"/>
      <c r="M45" s="150"/>
      <c r="N45" s="150"/>
      <c r="O45" s="150"/>
      <c r="P45" s="14"/>
      <c r="Q45" s="102"/>
      <c r="R45" s="102"/>
      <c r="S45" s="101"/>
      <c r="T45" s="100"/>
      <c r="U45" s="100"/>
      <c r="V45" s="105"/>
      <c r="W45" s="100"/>
      <c r="X45" s="100"/>
      <c r="Y45" s="95"/>
      <c r="Z45" s="2"/>
      <c r="AA45" s="95"/>
    </row>
    <row r="46" spans="1:29" ht="15" customHeight="1">
      <c r="A46" s="65"/>
      <c r="B46" s="65"/>
      <c r="C46" s="15"/>
      <c r="D46" s="14"/>
      <c r="E46" s="14"/>
      <c r="F46" s="104"/>
      <c r="G46" s="14"/>
      <c r="H46" s="14"/>
      <c r="I46" s="14"/>
      <c r="J46" s="14"/>
      <c r="K46" s="150"/>
      <c r="L46" s="150"/>
      <c r="M46" s="150"/>
      <c r="N46" s="150"/>
      <c r="O46" s="150"/>
      <c r="P46" s="14"/>
      <c r="Q46" s="102"/>
      <c r="R46" s="102"/>
      <c r="S46" s="101"/>
      <c r="T46" s="100"/>
      <c r="U46" s="100"/>
      <c r="V46" s="105"/>
      <c r="W46" s="100"/>
      <c r="X46" s="100"/>
      <c r="Y46" s="95"/>
      <c r="Z46" s="2"/>
      <c r="AA46" s="95"/>
    </row>
    <row r="47" spans="1:29" ht="15" customHeight="1">
      <c r="A47" s="65"/>
      <c r="B47" s="65"/>
      <c r="C47" s="15"/>
      <c r="D47" s="14"/>
      <c r="E47" s="14"/>
      <c r="F47" s="104"/>
      <c r="G47" s="14"/>
      <c r="H47" s="14"/>
      <c r="I47" s="14"/>
      <c r="J47" s="14"/>
      <c r="K47" s="150"/>
      <c r="L47" s="150"/>
      <c r="M47" s="150"/>
      <c r="N47" s="150"/>
      <c r="O47" s="150"/>
      <c r="P47" s="14"/>
      <c r="Q47" s="102"/>
      <c r="R47" s="102"/>
      <c r="S47" s="101"/>
      <c r="T47" s="100"/>
      <c r="U47" s="100"/>
      <c r="V47" s="105"/>
      <c r="W47" s="100"/>
      <c r="X47" s="100"/>
      <c r="Y47" s="95"/>
      <c r="Z47" s="2"/>
      <c r="AA47" s="95"/>
    </row>
    <row r="48" spans="1:29" ht="15" customHeight="1">
      <c r="A48" s="65"/>
      <c r="B48" s="65"/>
      <c r="C48" s="15"/>
      <c r="D48" s="14"/>
      <c r="E48" s="14"/>
      <c r="F48" s="104"/>
      <c r="G48" s="14"/>
      <c r="H48" s="14"/>
      <c r="I48" s="14"/>
      <c r="J48" s="14"/>
      <c r="K48" s="103"/>
      <c r="L48" s="103"/>
      <c r="M48" s="103"/>
      <c r="N48" s="103"/>
      <c r="O48" s="103"/>
      <c r="P48" s="14"/>
      <c r="Q48" s="102"/>
      <c r="R48" s="102"/>
      <c r="S48" s="101"/>
      <c r="T48" s="100"/>
      <c r="U48" s="100"/>
      <c r="V48" s="100"/>
      <c r="W48" s="100"/>
      <c r="X48" s="100"/>
      <c r="Y48" s="95"/>
      <c r="Z48" s="2"/>
      <c r="AA48" s="95"/>
    </row>
    <row r="49" spans="1:33" ht="15" customHeight="1">
      <c r="A49" s="85"/>
      <c r="B49" s="85"/>
      <c r="D49" s="2"/>
      <c r="E49" s="2"/>
      <c r="F49" s="97"/>
      <c r="G49" s="2"/>
      <c r="H49" s="2"/>
      <c r="I49" s="2"/>
      <c r="J49" s="2"/>
      <c r="K49" s="96"/>
      <c r="L49" s="96"/>
      <c r="M49" s="96"/>
      <c r="N49" s="96"/>
      <c r="O49" s="96"/>
      <c r="P49" s="2"/>
      <c r="Q49" s="99"/>
      <c r="R49" s="99"/>
      <c r="S49" s="98"/>
      <c r="T49" s="95"/>
      <c r="U49" s="95"/>
      <c r="V49" s="95"/>
      <c r="W49" s="95"/>
      <c r="X49" s="95"/>
      <c r="Y49" s="95"/>
      <c r="Z49" s="2"/>
      <c r="AA49" s="95"/>
    </row>
    <row r="50" spans="1:33" ht="15" customHeight="1">
      <c r="A50" s="85"/>
      <c r="B50" s="85"/>
      <c r="D50" s="2"/>
      <c r="E50" s="2"/>
      <c r="F50" s="97"/>
      <c r="G50" s="2"/>
      <c r="H50" s="2"/>
      <c r="I50" s="2"/>
      <c r="J50" s="2"/>
      <c r="K50" s="96"/>
      <c r="L50" s="96"/>
      <c r="M50" s="96"/>
      <c r="N50" s="96"/>
      <c r="O50" s="96"/>
      <c r="P50" s="2"/>
      <c r="Q50" s="99"/>
      <c r="R50" s="99"/>
      <c r="S50" s="98"/>
      <c r="T50" s="95"/>
      <c r="U50" s="95"/>
      <c r="V50" s="95"/>
      <c r="W50" s="95"/>
      <c r="X50" s="95"/>
      <c r="Y50" s="95"/>
      <c r="Z50" s="2"/>
      <c r="AA50" s="95"/>
    </row>
    <row r="51" spans="1:33" ht="15" customHeight="1">
      <c r="A51" s="85"/>
      <c r="B51" s="85"/>
      <c r="D51" s="2"/>
      <c r="E51" s="2"/>
      <c r="F51" s="97"/>
      <c r="G51" s="2"/>
      <c r="H51" s="2"/>
      <c r="I51" s="2"/>
      <c r="J51" s="2"/>
      <c r="K51" s="96"/>
      <c r="L51" s="96"/>
      <c r="M51" s="96"/>
      <c r="N51" s="96"/>
      <c r="O51" s="96"/>
      <c r="P51" s="2"/>
      <c r="Q51" s="99"/>
      <c r="R51" s="99"/>
      <c r="S51" s="98"/>
      <c r="T51" s="95"/>
      <c r="U51" s="95"/>
      <c r="V51" s="95"/>
      <c r="W51" s="95"/>
      <c r="X51" s="95"/>
      <c r="Y51" s="95"/>
      <c r="Z51" s="2"/>
      <c r="AA51" s="95"/>
    </row>
    <row r="52" spans="1:33" ht="15" customHeight="1">
      <c r="A52" s="85"/>
      <c r="B52" s="85"/>
      <c r="D52" s="2"/>
      <c r="E52" s="2"/>
      <c r="F52" s="97"/>
      <c r="G52" s="2"/>
      <c r="H52" s="2"/>
      <c r="I52" s="2"/>
      <c r="J52" s="2"/>
      <c r="K52" s="96"/>
      <c r="L52" s="96"/>
      <c r="M52" s="96"/>
      <c r="N52" s="96"/>
      <c r="O52" s="96"/>
      <c r="P52" s="2"/>
      <c r="Q52" s="99"/>
      <c r="R52" s="99"/>
      <c r="S52" s="98"/>
      <c r="T52" s="95"/>
      <c r="U52" s="95"/>
      <c r="V52" s="95"/>
      <c r="W52" s="95"/>
      <c r="X52" s="95"/>
      <c r="Y52" s="95"/>
      <c r="Z52" s="2"/>
      <c r="AA52" s="95"/>
    </row>
    <row r="53" spans="1:33" ht="15" customHeight="1">
      <c r="A53" s="85"/>
      <c r="B53" s="85"/>
      <c r="D53" s="2"/>
      <c r="E53" s="2"/>
      <c r="F53" s="97"/>
      <c r="G53" s="2"/>
      <c r="H53" s="2"/>
      <c r="I53" s="2"/>
      <c r="J53" s="2"/>
      <c r="K53" s="96"/>
      <c r="L53" s="96"/>
      <c r="M53" s="96"/>
      <c r="N53" s="96"/>
      <c r="O53" s="96"/>
      <c r="P53" s="2"/>
      <c r="Q53" s="99"/>
      <c r="R53" s="99"/>
      <c r="S53" s="98"/>
      <c r="T53" s="95"/>
      <c r="U53" s="95"/>
      <c r="V53" s="95"/>
      <c r="W53" s="95"/>
      <c r="X53" s="95"/>
      <c r="Y53" s="95"/>
      <c r="Z53" s="2"/>
      <c r="AA53" s="95"/>
    </row>
    <row r="54" spans="1:33" ht="15" customHeight="1">
      <c r="A54" s="85"/>
      <c r="B54" s="85"/>
      <c r="D54" s="2"/>
      <c r="E54" s="2"/>
      <c r="F54" s="97"/>
      <c r="G54" s="2"/>
      <c r="H54" s="2"/>
      <c r="I54" s="2"/>
      <c r="J54" s="2"/>
      <c r="K54" s="96"/>
      <c r="L54" s="96"/>
      <c r="M54" s="96"/>
      <c r="O54" s="6" t="s">
        <v>20</v>
      </c>
      <c r="P54" s="6"/>
      <c r="R54" s="5"/>
      <c r="S54" s="5"/>
      <c r="T54" s="5"/>
      <c r="U54" s="5"/>
      <c r="V54" s="5"/>
      <c r="W54" s="5"/>
      <c r="X54" s="5"/>
      <c r="Y54" s="95"/>
      <c r="Z54" s="2"/>
      <c r="AA54" s="95"/>
    </row>
    <row r="55" spans="1:33" ht="15" customHeight="1">
      <c r="A55" s="34"/>
      <c r="B55" s="85" t="s">
        <v>19</v>
      </c>
      <c r="C55" s="2"/>
      <c r="D55" s="34"/>
      <c r="E55" s="34"/>
      <c r="F55" s="93"/>
      <c r="G55" s="4"/>
      <c r="H55" s="34"/>
      <c r="I55" s="34"/>
      <c r="J55" s="34"/>
      <c r="K55" s="34"/>
      <c r="L55" s="34"/>
      <c r="M55" s="34"/>
      <c r="N55" s="34"/>
      <c r="O55" s="2"/>
      <c r="P55" s="2"/>
      <c r="Q55" s="3"/>
      <c r="R55" s="2"/>
      <c r="S55" s="2"/>
      <c r="T55" s="34"/>
      <c r="U55" s="34"/>
      <c r="V55" s="34"/>
      <c r="W55" s="34"/>
      <c r="X55" s="3"/>
      <c r="Y55" s="3"/>
      <c r="Z55" s="3"/>
      <c r="AB55" s="2"/>
      <c r="AC55" s="2"/>
      <c r="AD55" s="2"/>
      <c r="AE55" s="34"/>
      <c r="AF55" s="34"/>
    </row>
    <row r="56" spans="1:33" ht="15" customHeight="1">
      <c r="A56" s="34"/>
      <c r="B56" s="85"/>
      <c r="C56" s="2"/>
      <c r="D56" s="34"/>
      <c r="E56" s="34"/>
      <c r="F56" s="184" t="s">
        <v>46</v>
      </c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160"/>
      <c r="R56" s="2"/>
      <c r="S56" s="2"/>
      <c r="T56" s="34"/>
      <c r="U56" s="34"/>
      <c r="V56" s="34"/>
      <c r="W56" s="34"/>
      <c r="X56" s="2"/>
      <c r="Z56" s="2"/>
      <c r="AB56" s="2"/>
      <c r="AC56" s="2"/>
      <c r="AD56" s="2"/>
      <c r="AE56" s="34"/>
      <c r="AF56" s="34"/>
    </row>
    <row r="57" spans="1:33" ht="15" customHeight="1">
      <c r="A57" s="6"/>
      <c r="B57" s="93"/>
      <c r="C57" s="34"/>
      <c r="D57" s="2"/>
      <c r="E57" s="2"/>
      <c r="F57" s="183" t="s">
        <v>44</v>
      </c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159"/>
      <c r="R57" s="94"/>
      <c r="S57" s="34"/>
      <c r="T57" s="34"/>
      <c r="U57" s="34"/>
      <c r="V57" s="34"/>
      <c r="W57" s="34"/>
      <c r="X57" s="34"/>
      <c r="Y57" s="34"/>
      <c r="Z57" s="93"/>
      <c r="AB57" s="2"/>
      <c r="AC57" s="2"/>
      <c r="AD57" s="2"/>
      <c r="AE57" s="34"/>
      <c r="AF57" s="34"/>
    </row>
    <row r="58" spans="1:33" ht="15" customHeight="1">
      <c r="A58" s="6"/>
      <c r="B58" s="93"/>
      <c r="C58" s="34"/>
      <c r="D58" s="2"/>
      <c r="E58" s="2"/>
      <c r="F58" s="185" t="s">
        <v>45</v>
      </c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161"/>
      <c r="R58" s="92"/>
      <c r="Z58" s="93" t="s">
        <v>18</v>
      </c>
      <c r="AB58" s="2"/>
      <c r="AC58" s="2"/>
      <c r="AD58" s="2"/>
    </row>
    <row r="59" spans="1:33" ht="15" customHeight="1">
      <c r="F59" s="182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161"/>
      <c r="Z59" s="2"/>
      <c r="AB59" s="2"/>
      <c r="AC59" s="2"/>
      <c r="AD59" s="2"/>
      <c r="AE59" s="2"/>
      <c r="AF59" s="2"/>
      <c r="AG59" s="2"/>
    </row>
    <row r="60" spans="1:33" ht="15" customHeight="1">
      <c r="A60" s="6"/>
      <c r="B60" s="2"/>
      <c r="C60" s="2"/>
      <c r="D60" s="2"/>
      <c r="E60" s="2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Z60" s="2"/>
      <c r="AB60" s="2"/>
      <c r="AC60" s="2"/>
      <c r="AD60" s="2"/>
      <c r="AE60" s="2"/>
      <c r="AF60" s="2"/>
      <c r="AG60" s="2"/>
    </row>
    <row r="61" spans="1:33" ht="15" customHeight="1">
      <c r="A61" s="6"/>
      <c r="B61" s="2"/>
      <c r="C61" s="2"/>
      <c r="D61" s="2"/>
      <c r="E61" s="2"/>
      <c r="F61" s="2"/>
      <c r="Q61" s="2"/>
      <c r="Z61" s="2"/>
      <c r="AB61" s="2"/>
      <c r="AC61" s="2"/>
      <c r="AD61" s="2"/>
      <c r="AE61" s="2"/>
      <c r="AF61" s="2"/>
      <c r="AG61" s="2"/>
    </row>
    <row r="62" spans="1:33" ht="34.5" customHeight="1">
      <c r="A62" s="195" t="s">
        <v>17</v>
      </c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91"/>
      <c r="AB62" s="2"/>
      <c r="AC62" s="2"/>
      <c r="AD62" s="2"/>
      <c r="AE62" s="2"/>
      <c r="AF62" s="2"/>
      <c r="AG62" s="2"/>
    </row>
    <row r="63" spans="1:33" ht="14.25" customHeight="1">
      <c r="A63" s="6" t="s">
        <v>16</v>
      </c>
      <c r="B63" s="2"/>
      <c r="C63" s="2"/>
      <c r="D63" s="2"/>
      <c r="E63" s="2"/>
      <c r="F63" s="2"/>
      <c r="G63" s="2"/>
      <c r="H63" s="2"/>
      <c r="I63" s="2"/>
      <c r="J63" s="42"/>
      <c r="K63" s="6" t="s">
        <v>15</v>
      </c>
      <c r="L63" s="6"/>
      <c r="M63" s="6"/>
      <c r="N63" s="90"/>
      <c r="O63" s="90"/>
      <c r="P63" s="90"/>
      <c r="Q63" s="90"/>
      <c r="R63" s="90"/>
      <c r="S63" s="6"/>
      <c r="T63" s="6"/>
      <c r="Z63" s="2"/>
      <c r="AB63" s="2"/>
      <c r="AC63" s="2"/>
      <c r="AD63" s="2"/>
      <c r="AE63" s="2"/>
      <c r="AF63" s="2"/>
      <c r="AG63" s="2"/>
    </row>
    <row r="64" spans="1:33" ht="14.25" customHeight="1">
      <c r="A64" s="7"/>
      <c r="B64" s="211">
        <f>B3</f>
        <v>0</v>
      </c>
      <c r="C64" s="211"/>
      <c r="D64" s="211"/>
      <c r="E64" s="211"/>
      <c r="F64" s="211"/>
      <c r="G64" s="211"/>
      <c r="H64" s="211"/>
      <c r="I64" s="211"/>
      <c r="J64" s="42"/>
      <c r="K64" s="89"/>
      <c r="L64" s="88">
        <f>L3</f>
        <v>0</v>
      </c>
      <c r="M64" s="87"/>
      <c r="N64" s="87"/>
      <c r="O64" s="46"/>
      <c r="P64" s="86">
        <f>P3</f>
        <v>0</v>
      </c>
      <c r="Q64" s="46"/>
      <c r="R64" s="46"/>
      <c r="S64" s="46"/>
      <c r="T64" s="46"/>
      <c r="U64" s="46"/>
      <c r="V64" s="46"/>
      <c r="W64" s="46"/>
      <c r="X64" s="196">
        <f>X3</f>
        <v>0</v>
      </c>
      <c r="Y64" s="196"/>
      <c r="Z64" s="2"/>
      <c r="AB64" s="2"/>
      <c r="AC64" s="2"/>
      <c r="AD64" s="2"/>
      <c r="AE64" s="2"/>
      <c r="AF64" s="2"/>
      <c r="AG64" s="2"/>
    </row>
    <row r="65" spans="1:33" ht="14.25" customHeight="1">
      <c r="B65" s="210">
        <f>B4</f>
        <v>0</v>
      </c>
      <c r="C65" s="210"/>
      <c r="D65" s="210"/>
      <c r="E65" s="210"/>
      <c r="F65" s="210"/>
      <c r="G65" s="210"/>
      <c r="H65" s="210"/>
      <c r="I65" s="210"/>
      <c r="J65" s="42"/>
      <c r="K65" s="2"/>
      <c r="L65" s="37"/>
      <c r="M65" s="35"/>
      <c r="N65" s="35"/>
      <c r="O65" s="2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B65" s="2"/>
      <c r="AC65" s="2"/>
      <c r="AD65" s="2"/>
      <c r="AE65" s="2"/>
      <c r="AF65" s="2"/>
      <c r="AG65" s="2"/>
    </row>
    <row r="66" spans="1:33" ht="14.25" customHeight="1">
      <c r="B66" s="210"/>
      <c r="C66" s="210"/>
      <c r="D66" s="210"/>
      <c r="E66" s="210"/>
      <c r="F66" s="210"/>
      <c r="G66" s="210"/>
      <c r="H66" s="210"/>
      <c r="I66" s="210"/>
      <c r="J66" s="42"/>
      <c r="K66" s="6" t="s">
        <v>14</v>
      </c>
      <c r="L66" s="6"/>
      <c r="M66" s="6"/>
      <c r="N66" s="6"/>
      <c r="O66" s="6"/>
      <c r="P66" s="23"/>
      <c r="Q66" s="80"/>
      <c r="R66" s="23"/>
      <c r="S66" s="23"/>
      <c r="T66" s="23"/>
      <c r="U66" s="14"/>
      <c r="V66" s="14"/>
      <c r="W66" s="14"/>
      <c r="X66" s="14"/>
      <c r="Y66" s="14"/>
      <c r="Z66" s="14"/>
      <c r="AB66" s="2"/>
      <c r="AC66" s="2"/>
      <c r="AD66" s="2"/>
      <c r="AE66" s="2"/>
      <c r="AF66" s="2"/>
      <c r="AG66" s="2"/>
    </row>
    <row r="67" spans="1:33" ht="14.25" customHeight="1">
      <c r="B67" s="210"/>
      <c r="C67" s="210"/>
      <c r="D67" s="210"/>
      <c r="E67" s="210"/>
      <c r="F67" s="210"/>
      <c r="G67" s="210"/>
      <c r="H67" s="210"/>
      <c r="I67" s="210"/>
      <c r="J67" s="42"/>
      <c r="K67" s="6"/>
      <c r="L67" s="6"/>
      <c r="M67" s="6"/>
      <c r="N67" s="6"/>
      <c r="O67" s="6"/>
      <c r="P67" s="23"/>
      <c r="Q67" s="80"/>
      <c r="R67" s="23"/>
      <c r="S67" s="23"/>
      <c r="T67" s="23"/>
      <c r="U67" s="14"/>
      <c r="V67" s="14"/>
      <c r="W67" s="14"/>
      <c r="X67" s="14"/>
      <c r="Y67" s="14"/>
      <c r="Z67" s="14"/>
      <c r="AB67" s="2"/>
      <c r="AC67" s="2"/>
      <c r="AD67" s="2"/>
      <c r="AE67" s="2"/>
      <c r="AF67" s="2"/>
      <c r="AG67" s="2"/>
    </row>
    <row r="68" spans="1:33" ht="14.25" customHeight="1">
      <c r="A68" s="2"/>
      <c r="B68" s="173">
        <f>B7</f>
        <v>0</v>
      </c>
      <c r="C68" s="2"/>
      <c r="D68" s="2"/>
      <c r="E68" s="2"/>
      <c r="F68" s="2"/>
      <c r="J68" s="42"/>
      <c r="K68" s="6"/>
      <c r="L68" s="27" t="s">
        <v>9</v>
      </c>
      <c r="M68" s="15" t="s">
        <v>12</v>
      </c>
      <c r="N68" s="15"/>
      <c r="O68" s="35" t="str">
        <f>O12</f>
        <v>:</v>
      </c>
      <c r="P68" s="84">
        <f t="shared" ref="P68:R73" si="0">P11</f>
        <v>0</v>
      </c>
      <c r="Q68" s="58"/>
      <c r="R68" s="84">
        <f t="shared" si="0"/>
        <v>0</v>
      </c>
      <c r="S68" s="14"/>
      <c r="T68" s="84">
        <f t="shared" ref="T68" si="1">T11</f>
        <v>0</v>
      </c>
      <c r="U68" s="14"/>
      <c r="V68" s="84">
        <f t="shared" ref="V68" si="2">V11</f>
        <v>0</v>
      </c>
      <c r="W68" s="65"/>
      <c r="X68" s="84">
        <f t="shared" ref="X68" si="3">X11</f>
        <v>0</v>
      </c>
      <c r="Y68" s="65"/>
      <c r="Z68" s="14"/>
      <c r="AA68" s="85"/>
      <c r="AB68" s="2"/>
      <c r="AC68" s="2"/>
      <c r="AD68" s="2"/>
      <c r="AE68" s="2"/>
      <c r="AF68" s="2"/>
      <c r="AG68" s="2"/>
    </row>
    <row r="69" spans="1:33" ht="15" customHeight="1">
      <c r="A69" s="5"/>
      <c r="B69" s="5"/>
      <c r="C69" s="5"/>
      <c r="D69" s="5"/>
      <c r="E69" s="5"/>
      <c r="F69" s="5"/>
      <c r="G69" s="5"/>
      <c r="H69" s="5"/>
      <c r="I69" s="5"/>
      <c r="J69" s="145"/>
      <c r="K69" s="2"/>
      <c r="L69" s="27" t="s">
        <v>9</v>
      </c>
      <c r="M69" s="15" t="s">
        <v>24</v>
      </c>
      <c r="N69" s="15"/>
      <c r="O69" s="72" t="s">
        <v>3</v>
      </c>
      <c r="P69" s="84">
        <f t="shared" si="0"/>
        <v>0</v>
      </c>
      <c r="R69" s="84">
        <f t="shared" si="0"/>
        <v>0</v>
      </c>
      <c r="S69" s="61"/>
      <c r="T69" s="84">
        <f t="shared" ref="T69" si="4">T12</f>
        <v>0</v>
      </c>
      <c r="U69" s="61"/>
      <c r="V69" s="84">
        <f t="shared" ref="V69" si="5">V12</f>
        <v>0</v>
      </c>
      <c r="W69" s="61"/>
      <c r="X69" s="84">
        <f t="shared" ref="X69" si="6">X12</f>
        <v>0</v>
      </c>
      <c r="Y69" s="15"/>
      <c r="Z69" s="14"/>
      <c r="AB69" s="2"/>
      <c r="AC69" s="2"/>
      <c r="AD69" s="2"/>
      <c r="AE69" s="2"/>
      <c r="AF69" s="2"/>
      <c r="AG69" s="2"/>
    </row>
    <row r="70" spans="1:33" ht="14.25" customHeight="1">
      <c r="A70" s="36" t="s">
        <v>13</v>
      </c>
      <c r="B70" s="3"/>
      <c r="C70" s="3"/>
      <c r="D70" s="3"/>
      <c r="E70" s="3"/>
      <c r="F70" s="3"/>
      <c r="G70" s="3"/>
      <c r="H70" s="3"/>
      <c r="I70" s="3"/>
      <c r="J70" s="53"/>
      <c r="K70" s="2"/>
      <c r="L70" s="27" t="s">
        <v>9</v>
      </c>
      <c r="M70" s="15" t="s">
        <v>31</v>
      </c>
      <c r="N70" s="15"/>
      <c r="O70" s="72" t="s">
        <v>3</v>
      </c>
      <c r="P70" s="84">
        <f t="shared" si="0"/>
        <v>0</v>
      </c>
      <c r="Q70" s="15"/>
      <c r="R70" s="84">
        <f t="shared" si="0"/>
        <v>0</v>
      </c>
      <c r="S70" s="15"/>
      <c r="T70" s="84">
        <f t="shared" ref="T70" si="7">T13</f>
        <v>0</v>
      </c>
      <c r="V70" s="84">
        <f t="shared" ref="V70" si="8">V13</f>
        <v>0</v>
      </c>
      <c r="W70" s="61"/>
      <c r="X70" s="84">
        <f t="shared" ref="X70" si="9">X13</f>
        <v>0</v>
      </c>
      <c r="Y70" s="1"/>
      <c r="Z70" s="14"/>
      <c r="AB70" s="2"/>
      <c r="AC70" s="2"/>
      <c r="AD70" s="2"/>
      <c r="AE70" s="2"/>
      <c r="AF70" s="2"/>
      <c r="AG70" s="2"/>
    </row>
    <row r="71" spans="1:33" ht="13.5" customHeight="1">
      <c r="A71" s="15"/>
      <c r="B71" s="80">
        <f>B10</f>
        <v>0</v>
      </c>
      <c r="C71" s="15"/>
      <c r="D71" s="15"/>
      <c r="E71" s="15"/>
      <c r="F71" s="15"/>
      <c r="G71" s="15"/>
      <c r="J71" s="42"/>
      <c r="K71" s="6"/>
      <c r="L71" s="27"/>
      <c r="M71" s="80"/>
      <c r="N71" s="80"/>
      <c r="O71" s="72"/>
      <c r="P71" s="181">
        <f t="shared" si="0"/>
        <v>123</v>
      </c>
      <c r="Q71" s="15"/>
      <c r="R71" s="63">
        <f t="shared" si="0"/>
        <v>0</v>
      </c>
      <c r="S71" s="15"/>
      <c r="T71" s="63">
        <f t="shared" ref="T71" si="10">T14</f>
        <v>0</v>
      </c>
      <c r="V71" s="63">
        <f t="shared" ref="V71" si="11">V14</f>
        <v>0</v>
      </c>
      <c r="W71" s="61"/>
      <c r="X71" s="63">
        <f t="shared" ref="X71" si="12">X14</f>
        <v>0</v>
      </c>
      <c r="Y71" s="1"/>
      <c r="Z71" s="14"/>
      <c r="AB71" s="2"/>
      <c r="AC71" s="2"/>
      <c r="AD71" s="2"/>
      <c r="AE71" s="2"/>
      <c r="AF71" s="2"/>
      <c r="AG71" s="2"/>
    </row>
    <row r="72" spans="1:33" ht="13.5" customHeight="1">
      <c r="A72" s="15"/>
      <c r="B72" s="194">
        <f>B11</f>
        <v>0</v>
      </c>
      <c r="C72" s="194"/>
      <c r="D72" s="194"/>
      <c r="E72" s="194"/>
      <c r="F72" s="194"/>
      <c r="G72" s="194"/>
      <c r="H72" s="194"/>
      <c r="I72" s="194"/>
      <c r="J72" s="42"/>
      <c r="K72" s="6"/>
      <c r="L72" s="27" t="s">
        <v>9</v>
      </c>
      <c r="M72" s="15" t="s">
        <v>11</v>
      </c>
      <c r="O72" s="72" t="s">
        <v>3</v>
      </c>
      <c r="P72" s="158">
        <f t="shared" si="0"/>
        <v>0</v>
      </c>
      <c r="Q72" s="154"/>
      <c r="R72" s="158">
        <f t="shared" si="0"/>
        <v>0</v>
      </c>
      <c r="S72" s="15"/>
      <c r="T72" s="158">
        <f t="shared" ref="T72" si="13">T15</f>
        <v>0</v>
      </c>
      <c r="V72" s="158">
        <f t="shared" ref="V72" si="14">V15</f>
        <v>0</v>
      </c>
      <c r="W72" s="61"/>
      <c r="X72" s="158">
        <f t="shared" ref="X72" si="15">X15</f>
        <v>0</v>
      </c>
      <c r="Y72" s="1"/>
      <c r="Z72" s="14"/>
      <c r="AB72" s="2"/>
      <c r="AC72" s="2"/>
      <c r="AD72" s="2"/>
      <c r="AE72" s="2"/>
      <c r="AF72" s="2"/>
      <c r="AG72" s="2"/>
    </row>
    <row r="73" spans="1:33" ht="15" customHeight="1">
      <c r="A73" s="15"/>
      <c r="B73" s="194"/>
      <c r="C73" s="194"/>
      <c r="D73" s="194"/>
      <c r="E73" s="194"/>
      <c r="F73" s="194"/>
      <c r="G73" s="194"/>
      <c r="H73" s="194"/>
      <c r="I73" s="194"/>
      <c r="J73" s="42"/>
      <c r="K73" s="6"/>
      <c r="L73" s="27" t="s">
        <v>9</v>
      </c>
      <c r="M73" s="15" t="s">
        <v>41</v>
      </c>
      <c r="N73" s="15"/>
      <c r="O73" s="72" t="s">
        <v>3</v>
      </c>
      <c r="P73" s="179">
        <f t="shared" si="0"/>
        <v>0</v>
      </c>
      <c r="Q73" s="76"/>
      <c r="R73" s="178">
        <f t="shared" si="0"/>
        <v>0</v>
      </c>
      <c r="S73" s="154"/>
      <c r="T73" s="178">
        <f t="shared" ref="T73" si="16">T16</f>
        <v>0</v>
      </c>
      <c r="U73" s="154"/>
      <c r="V73" s="178">
        <f t="shared" ref="V73" si="17">V16</f>
        <v>0</v>
      </c>
      <c r="W73" s="61"/>
      <c r="X73" s="178">
        <f t="shared" ref="X73" si="18">X16</f>
        <v>0</v>
      </c>
      <c r="Y73" s="78"/>
      <c r="Z73" s="14"/>
      <c r="AB73" s="2"/>
      <c r="AC73" s="2"/>
      <c r="AD73" s="2"/>
      <c r="AE73" s="2"/>
      <c r="AF73" s="2"/>
      <c r="AG73" s="2"/>
    </row>
    <row r="74" spans="1:33" ht="12.75">
      <c r="A74" s="15"/>
      <c r="B74" s="194"/>
      <c r="C74" s="194"/>
      <c r="D74" s="194"/>
      <c r="E74" s="194"/>
      <c r="F74" s="194"/>
      <c r="G74" s="194"/>
      <c r="H74" s="194"/>
      <c r="I74" s="194"/>
      <c r="J74" s="42"/>
      <c r="K74" s="2"/>
      <c r="R74" s="62"/>
      <c r="S74" s="15"/>
      <c r="T74" s="75"/>
      <c r="W74" s="61"/>
      <c r="X74" s="74"/>
      <c r="Y74" s="1"/>
      <c r="Z74" s="14"/>
      <c r="AB74" s="2"/>
      <c r="AC74" s="2"/>
      <c r="AD74" s="2"/>
      <c r="AE74" s="2"/>
      <c r="AF74" s="2"/>
      <c r="AG74" s="2"/>
    </row>
    <row r="75" spans="1:33" ht="14.25" customHeight="1">
      <c r="A75" s="15"/>
      <c r="B75" s="15" t="str">
        <f>B14</f>
        <v xml:space="preserve">ATTN: </v>
      </c>
      <c r="J75" s="42"/>
      <c r="K75" s="2"/>
      <c r="L75" s="27"/>
      <c r="M75" s="15"/>
      <c r="N75" s="15"/>
      <c r="O75" s="72"/>
      <c r="P75" s="71"/>
      <c r="Q75" s="68"/>
      <c r="R75" s="70"/>
      <c r="S75" s="15"/>
      <c r="T75" s="69"/>
      <c r="W75" s="61"/>
      <c r="X75" s="68"/>
      <c r="Y75" s="1"/>
      <c r="Z75" s="14"/>
      <c r="AB75" s="2"/>
      <c r="AC75" s="2"/>
      <c r="AD75" s="2"/>
      <c r="AE75" s="2"/>
      <c r="AF75" s="2"/>
      <c r="AG75" s="2"/>
    </row>
    <row r="76" spans="1:33" ht="14.25" customHeight="1">
      <c r="A76" s="15"/>
      <c r="B76" s="15" t="str">
        <f>B15</f>
        <v>TEL:</v>
      </c>
      <c r="C76" s="15"/>
      <c r="D76" s="15"/>
      <c r="E76" s="15"/>
      <c r="F76" s="15"/>
      <c r="G76" s="15"/>
      <c r="J76" s="42"/>
      <c r="P76" s="15"/>
      <c r="Q76" s="15"/>
      <c r="R76" s="14"/>
      <c r="S76" s="14"/>
      <c r="T76" s="14"/>
      <c r="U76" s="14"/>
      <c r="V76" s="15"/>
      <c r="Y76" s="14"/>
      <c r="Z76" s="14"/>
      <c r="AA76" s="67"/>
      <c r="AB76" s="2"/>
      <c r="AC76" s="2"/>
      <c r="AD76" s="2"/>
      <c r="AE76" s="2"/>
      <c r="AF76" s="2"/>
      <c r="AG76" s="2"/>
    </row>
    <row r="77" spans="1:33" ht="14.25" customHeight="1">
      <c r="A77" s="15"/>
      <c r="B77" s="15"/>
      <c r="C77" s="15"/>
      <c r="D77" s="15"/>
      <c r="E77" s="15"/>
      <c r="F77" s="15"/>
      <c r="G77" s="15"/>
      <c r="J77" s="42"/>
      <c r="K77" s="2"/>
      <c r="L77" s="57" t="s">
        <v>9</v>
      </c>
      <c r="M77" s="1" t="s">
        <v>42</v>
      </c>
      <c r="O77" s="56" t="s">
        <v>3</v>
      </c>
      <c r="P77" s="49"/>
      <c r="Q77" s="54"/>
      <c r="R77" s="15"/>
      <c r="S77" s="180"/>
      <c r="T77" s="50"/>
      <c r="U77" s="50"/>
      <c r="V77" s="49"/>
      <c r="W77" s="15"/>
      <c r="X77" s="65"/>
      <c r="Y77" s="55"/>
      <c r="Z77" s="14"/>
      <c r="AA77" s="64"/>
      <c r="AB77" s="2"/>
      <c r="AC77" s="2"/>
      <c r="AD77" s="2"/>
      <c r="AE77" s="2"/>
      <c r="AF77" s="2"/>
      <c r="AG77" s="2"/>
    </row>
    <row r="78" spans="1:33" ht="14.25" customHeight="1">
      <c r="A78" s="30" t="s">
        <v>10</v>
      </c>
      <c r="B78" s="66"/>
      <c r="C78" s="66"/>
      <c r="D78" s="66"/>
      <c r="E78" s="66"/>
      <c r="F78" s="66"/>
      <c r="G78" s="66"/>
      <c r="H78" s="3"/>
      <c r="I78" s="3"/>
      <c r="J78" s="53"/>
      <c r="K78" s="2"/>
      <c r="L78" s="57"/>
      <c r="O78" s="56"/>
      <c r="P78" s="49"/>
      <c r="Q78" s="54"/>
      <c r="R78" s="15"/>
      <c r="S78" s="50"/>
      <c r="T78" s="50"/>
      <c r="U78" s="50"/>
      <c r="V78" s="49"/>
      <c r="W78" s="15"/>
      <c r="X78" s="65"/>
      <c r="Y78" s="55"/>
      <c r="Z78" s="14"/>
      <c r="AA78" s="64"/>
      <c r="AB78" s="2"/>
      <c r="AC78" s="2"/>
      <c r="AD78" s="2"/>
      <c r="AE78" s="2"/>
      <c r="AF78" s="2"/>
      <c r="AG78" s="2"/>
    </row>
    <row r="79" spans="1:33" ht="13.5" customHeight="1">
      <c r="I79" s="7"/>
      <c r="J79" s="42"/>
      <c r="K79" s="2"/>
      <c r="M79" s="2"/>
      <c r="P79" s="60"/>
      <c r="V79" s="59"/>
      <c r="X79" s="59"/>
      <c r="Y79" s="55"/>
      <c r="Z79" s="14"/>
      <c r="AA79" s="55"/>
      <c r="AB79" s="2"/>
      <c r="AC79" s="2"/>
      <c r="AD79" s="2"/>
      <c r="AE79" s="2"/>
      <c r="AF79" s="2"/>
      <c r="AG79" s="2"/>
    </row>
    <row r="80" spans="1:33" ht="13.5" customHeight="1">
      <c r="B80" s="7" t="str">
        <f>B20</f>
        <v>THE SAME AS ABOVE</v>
      </c>
      <c r="J80" s="42"/>
      <c r="K80" s="2"/>
      <c r="L80" s="35" t="s">
        <v>4</v>
      </c>
      <c r="M80" s="2" t="s">
        <v>43</v>
      </c>
      <c r="N80" s="2"/>
      <c r="O80" s="35" t="s">
        <v>3</v>
      </c>
      <c r="P80" s="40">
        <f>R98</f>
        <v>0</v>
      </c>
      <c r="Q80" s="40">
        <f>S91</f>
        <v>0</v>
      </c>
      <c r="V80" s="55"/>
      <c r="X80" s="55"/>
      <c r="Y80" s="55"/>
      <c r="Z80" s="14"/>
      <c r="AA80" s="55"/>
      <c r="AB80" s="2"/>
      <c r="AC80" s="2"/>
      <c r="AD80" s="2"/>
      <c r="AE80" s="2"/>
      <c r="AF80" s="2"/>
      <c r="AG80" s="2"/>
    </row>
    <row r="81" spans="1:33" ht="13.5" customHeight="1">
      <c r="J81" s="42"/>
      <c r="K81" s="2"/>
      <c r="L81" s="155" t="s">
        <v>9</v>
      </c>
      <c r="M81" s="15" t="s">
        <v>23</v>
      </c>
      <c r="N81" s="106"/>
      <c r="P81" s="49"/>
      <c r="Q81" s="54"/>
      <c r="R81" s="15"/>
      <c r="S81" s="50"/>
      <c r="T81" s="50"/>
      <c r="U81" s="50"/>
      <c r="V81" s="49"/>
      <c r="AB81" s="2"/>
      <c r="AC81" s="2"/>
      <c r="AD81" s="2"/>
      <c r="AE81" s="2"/>
      <c r="AF81" s="2"/>
      <c r="AG81" s="2"/>
    </row>
    <row r="82" spans="1:33" ht="14.25" customHeight="1">
      <c r="A82" s="36" t="s">
        <v>8</v>
      </c>
      <c r="B82" s="3"/>
      <c r="C82" s="3"/>
      <c r="D82" s="3"/>
      <c r="E82" s="3"/>
      <c r="F82" s="53"/>
      <c r="G82" s="52" t="s">
        <v>7</v>
      </c>
      <c r="H82" s="36"/>
      <c r="I82" s="36"/>
      <c r="J82" s="51"/>
      <c r="P82" s="49"/>
      <c r="Q82" s="34"/>
      <c r="R82" s="15"/>
      <c r="S82" s="34"/>
      <c r="T82" s="50"/>
      <c r="U82" s="50"/>
      <c r="V82" s="49"/>
      <c r="Y82" s="14"/>
      <c r="Z82" s="48"/>
      <c r="AA82" s="14"/>
      <c r="AB82" s="2"/>
      <c r="AC82" s="2"/>
      <c r="AD82" s="2"/>
      <c r="AE82" s="2"/>
      <c r="AF82" s="2"/>
      <c r="AG82" s="2"/>
    </row>
    <row r="83" spans="1:33" s="7" customFormat="1" ht="14.25" customHeight="1">
      <c r="A83" s="46"/>
      <c r="B83" s="45">
        <f>B24</f>
        <v>0</v>
      </c>
      <c r="C83" s="46"/>
      <c r="D83" s="46"/>
      <c r="E83" s="46"/>
      <c r="F83" s="47"/>
      <c r="G83" s="46"/>
      <c r="H83" s="45">
        <f>H24</f>
        <v>0</v>
      </c>
      <c r="I83" s="45"/>
      <c r="J83" s="44"/>
      <c r="L83" s="176" t="s">
        <v>9</v>
      </c>
      <c r="M83" s="7" t="s">
        <v>40</v>
      </c>
      <c r="N83" s="177"/>
      <c r="Y83" s="23"/>
      <c r="Z83" s="43"/>
      <c r="AA83" s="23"/>
      <c r="AB83" s="6"/>
      <c r="AC83" s="6"/>
      <c r="AD83" s="6"/>
      <c r="AE83" s="6"/>
      <c r="AF83" s="6"/>
      <c r="AG83" s="6"/>
    </row>
    <row r="84" spans="1:33" ht="14.25" customHeight="1">
      <c r="A84" s="7" t="s">
        <v>6</v>
      </c>
      <c r="C84" s="2"/>
      <c r="D84" s="2"/>
      <c r="E84" s="2"/>
      <c r="F84" s="42"/>
      <c r="G84" s="174" t="s">
        <v>5</v>
      </c>
      <c r="H84" s="6"/>
      <c r="I84" s="6"/>
      <c r="J84" s="41"/>
      <c r="K84" s="38"/>
      <c r="O84" s="15"/>
      <c r="P84" s="15"/>
      <c r="V84" s="39"/>
      <c r="W84" s="39"/>
      <c r="Z84" s="2"/>
      <c r="AB84" s="2"/>
      <c r="AC84" s="2"/>
      <c r="AD84" s="2"/>
      <c r="AE84" s="2"/>
      <c r="AF84" s="2"/>
      <c r="AG84" s="2"/>
    </row>
    <row r="85" spans="1:33" ht="14.25" customHeight="1">
      <c r="A85" s="197">
        <f>A26</f>
        <v>0</v>
      </c>
      <c r="B85" s="197"/>
      <c r="C85" s="197"/>
      <c r="D85" s="197"/>
      <c r="E85" s="197"/>
      <c r="F85" s="198"/>
      <c r="G85" s="199">
        <f>G26</f>
        <v>0</v>
      </c>
      <c r="H85" s="200"/>
      <c r="I85" s="200"/>
      <c r="J85" s="201"/>
      <c r="K85" s="38"/>
      <c r="L85" s="27"/>
      <c r="M85" s="15"/>
      <c r="N85" s="15"/>
      <c r="O85" s="155"/>
      <c r="P85" s="37"/>
      <c r="Q85" s="2"/>
      <c r="R85" s="2"/>
      <c r="S85" s="2"/>
      <c r="T85" s="2"/>
      <c r="U85" s="2"/>
      <c r="V85" s="2"/>
      <c r="W85" s="2"/>
      <c r="X85" s="2"/>
      <c r="Z85" s="2"/>
      <c r="AB85" s="2"/>
      <c r="AC85" s="2"/>
      <c r="AD85" s="2"/>
      <c r="AE85" s="2"/>
      <c r="AF85" s="2"/>
      <c r="AG85" s="2"/>
    </row>
    <row r="86" spans="1:33" ht="15" customHeight="1">
      <c r="A86" s="36" t="s">
        <v>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6"/>
      <c r="T86" s="36"/>
      <c r="U86" s="3"/>
      <c r="V86" s="3"/>
      <c r="W86" s="3"/>
      <c r="X86" s="3"/>
      <c r="Y86" s="3"/>
      <c r="Z86" s="2"/>
      <c r="AB86" s="2"/>
      <c r="AC86" s="2"/>
      <c r="AD86" s="2"/>
      <c r="AE86" s="2"/>
      <c r="AF86" s="2"/>
      <c r="AG86" s="2"/>
    </row>
    <row r="87" spans="1:33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35"/>
      <c r="Z87" s="2"/>
      <c r="AB87" s="2"/>
      <c r="AC87" s="2"/>
      <c r="AD87" s="2"/>
      <c r="AE87" s="2"/>
      <c r="AF87" s="2"/>
      <c r="AG87" s="2"/>
    </row>
    <row r="88" spans="1:33" ht="15" customHeight="1">
      <c r="A88" s="191" t="s">
        <v>35</v>
      </c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4"/>
      <c r="Z88" s="14"/>
      <c r="AB88" s="2"/>
      <c r="AC88" s="2"/>
      <c r="AD88" s="2"/>
      <c r="AE88" s="2"/>
      <c r="AF88" s="2"/>
      <c r="AG88" s="2"/>
    </row>
    <row r="89" spans="1:33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14"/>
      <c r="Z89" s="14"/>
      <c r="AA89" s="35"/>
      <c r="AB89" s="2"/>
      <c r="AC89" s="2"/>
      <c r="AD89" s="2"/>
      <c r="AE89" s="2"/>
      <c r="AF89" s="2"/>
      <c r="AG89" s="2"/>
    </row>
    <row r="90" spans="1:33" ht="15" customHeight="1" thickBot="1">
      <c r="A90" s="14"/>
      <c r="Y90" s="26"/>
      <c r="Z90" s="17"/>
      <c r="AA90" s="25"/>
      <c r="AB90" s="2"/>
      <c r="AC90" s="2"/>
      <c r="AD90" s="2"/>
      <c r="AE90" s="2"/>
      <c r="AF90" s="2"/>
      <c r="AG90" s="2"/>
    </row>
    <row r="91" spans="1:33" ht="15" customHeight="1">
      <c r="A91" s="14"/>
      <c r="B91" s="214" t="str">
        <f>B32</f>
        <v>SHIPPING MARK:</v>
      </c>
      <c r="C91" s="215"/>
      <c r="D91" s="215"/>
      <c r="E91" s="216"/>
      <c r="Y91" s="26"/>
      <c r="Z91" s="17"/>
      <c r="AA91" s="25"/>
      <c r="AB91" s="2"/>
      <c r="AC91" s="2"/>
      <c r="AD91" s="2"/>
      <c r="AE91" s="2"/>
      <c r="AF91" s="2"/>
      <c r="AG91" s="2"/>
    </row>
    <row r="92" spans="1:33" ht="15" customHeight="1">
      <c r="A92" s="14"/>
      <c r="B92" s="226" t="str">
        <f t="shared" ref="B92:B94" si="19">B33</f>
        <v>AUTOLIV THAILAND</v>
      </c>
      <c r="C92" s="191"/>
      <c r="D92" s="191"/>
      <c r="E92" s="227"/>
      <c r="G92" s="1">
        <f t="shared" ref="G92:G97" si="20">G33</f>
        <v>0</v>
      </c>
      <c r="N92" s="32">
        <f>+K33</f>
        <v>0</v>
      </c>
      <c r="P92" s="13">
        <f>ROUNDDOWN(N92*0.0983,0)</f>
        <v>0</v>
      </c>
      <c r="R92" s="192"/>
      <c r="S92" s="192"/>
      <c r="T92" s="192"/>
      <c r="V92" s="193"/>
      <c r="W92" s="193"/>
      <c r="X92" s="193"/>
      <c r="Y92" s="193"/>
      <c r="Z92" s="17"/>
      <c r="AA92" s="25"/>
      <c r="AB92" s="2"/>
      <c r="AC92" s="2"/>
      <c r="AD92" s="2"/>
      <c r="AE92" s="2"/>
      <c r="AF92" s="2"/>
      <c r="AG92" s="2"/>
    </row>
    <row r="93" spans="1:33" ht="15" customHeight="1">
      <c r="A93" s="14"/>
      <c r="B93" s="226" t="str">
        <f t="shared" si="19"/>
        <v xml:space="preserve">PALLET NO: </v>
      </c>
      <c r="C93" s="191"/>
      <c r="D93" s="191"/>
      <c r="E93" s="227"/>
      <c r="G93" s="1">
        <f t="shared" si="20"/>
        <v>0</v>
      </c>
      <c r="Y93" s="1"/>
      <c r="Z93" s="17"/>
      <c r="AA93" s="25"/>
      <c r="AB93" s="2"/>
      <c r="AC93" s="2"/>
      <c r="AD93" s="2"/>
      <c r="AE93" s="2"/>
      <c r="AF93" s="2"/>
      <c r="AG93" s="2"/>
    </row>
    <row r="94" spans="1:33" ht="15" customHeight="1" thickBot="1">
      <c r="A94" s="14"/>
      <c r="B94" s="228" t="str">
        <f t="shared" si="19"/>
        <v>MADE IN VIETNAM</v>
      </c>
      <c r="C94" s="229"/>
      <c r="D94" s="229"/>
      <c r="E94" s="230"/>
      <c r="F94" s="14"/>
      <c r="G94" s="1">
        <f t="shared" si="20"/>
        <v>0</v>
      </c>
      <c r="N94" s="32">
        <f>+K35</f>
        <v>0</v>
      </c>
      <c r="P94" s="13">
        <f>ROUNDDOWN(N94*0.0983,0)</f>
        <v>0</v>
      </c>
      <c r="R94" s="192"/>
      <c r="S94" s="192"/>
      <c r="T94" s="192"/>
      <c r="V94" s="193"/>
      <c r="W94" s="193"/>
      <c r="X94" s="193"/>
      <c r="Y94" s="193"/>
      <c r="Z94" s="33"/>
      <c r="AA94" s="33"/>
      <c r="AB94" s="2"/>
      <c r="AC94" s="2"/>
      <c r="AD94" s="2"/>
      <c r="AE94" s="2"/>
      <c r="AF94" s="2"/>
      <c r="AG94" s="2"/>
    </row>
    <row r="95" spans="1:33" ht="15" customHeight="1">
      <c r="A95" s="14"/>
      <c r="B95" s="27"/>
      <c r="C95" s="14"/>
      <c r="D95" s="14"/>
      <c r="E95" s="14"/>
      <c r="F95" s="14"/>
      <c r="G95" s="1">
        <f t="shared" si="20"/>
        <v>0</v>
      </c>
      <c r="Y95" s="1"/>
      <c r="Z95" s="33"/>
      <c r="AA95" s="33"/>
      <c r="AB95" s="2"/>
      <c r="AC95" s="2"/>
      <c r="AD95" s="2"/>
      <c r="AE95" s="2"/>
      <c r="AF95" s="2"/>
      <c r="AG95" s="2"/>
    </row>
    <row r="96" spans="1:33" ht="15" customHeight="1">
      <c r="A96" s="14"/>
      <c r="B96" s="27"/>
      <c r="C96" s="14"/>
      <c r="D96" s="14"/>
      <c r="E96" s="14"/>
      <c r="G96" s="1">
        <f t="shared" si="20"/>
        <v>0</v>
      </c>
      <c r="N96" s="32">
        <f>+K37</f>
        <v>0</v>
      </c>
      <c r="P96" s="13">
        <f>ROUNDDOWN(N96*0.0983,0)</f>
        <v>0</v>
      </c>
      <c r="R96" s="192"/>
      <c r="S96" s="192"/>
      <c r="T96" s="192"/>
      <c r="V96" s="193"/>
      <c r="W96" s="193"/>
      <c r="X96" s="193"/>
      <c r="Y96" s="193"/>
      <c r="AA96" s="1"/>
      <c r="AB96" s="2"/>
      <c r="AC96" s="2"/>
      <c r="AD96" s="2"/>
      <c r="AE96" s="2"/>
      <c r="AF96" s="2"/>
      <c r="AG96" s="2"/>
    </row>
    <row r="97" spans="1:36" ht="15" customHeight="1">
      <c r="A97" s="14"/>
      <c r="B97" s="27"/>
      <c r="C97" s="14"/>
      <c r="D97" s="14"/>
      <c r="E97" s="14"/>
      <c r="G97" s="1">
        <f t="shared" si="20"/>
        <v>0</v>
      </c>
      <c r="Y97" s="1"/>
      <c r="AA97" s="1"/>
      <c r="AB97" s="2"/>
      <c r="AC97" s="2"/>
      <c r="AD97" s="2"/>
      <c r="AE97" s="2"/>
      <c r="AF97" s="2"/>
      <c r="AG97" s="2"/>
    </row>
    <row r="98" spans="1:36" ht="15" customHeight="1">
      <c r="A98" s="14"/>
      <c r="B98" s="27"/>
      <c r="C98" s="14"/>
      <c r="D98" s="14"/>
      <c r="E98" s="14"/>
      <c r="F98" s="31" t="s">
        <v>1</v>
      </c>
      <c r="G98" s="30"/>
      <c r="H98" s="30"/>
      <c r="I98" s="30"/>
      <c r="J98" s="30"/>
      <c r="K98" s="222">
        <f>SUM(N92:N97)</f>
        <v>0</v>
      </c>
      <c r="L98" s="222"/>
      <c r="M98" s="222"/>
      <c r="N98" s="222"/>
      <c r="O98" s="223">
        <f>SUM(O92:O97)</f>
        <v>0</v>
      </c>
      <c r="P98" s="223"/>
      <c r="Q98" s="223"/>
      <c r="R98" s="224">
        <f>SUM(R92:R97)</f>
        <v>0</v>
      </c>
      <c r="S98" s="224"/>
      <c r="T98" s="224"/>
      <c r="U98" s="225">
        <f>SUM(U92:U97)</f>
        <v>0</v>
      </c>
      <c r="V98" s="225"/>
      <c r="W98" s="225"/>
      <c r="X98" s="225"/>
      <c r="Y98" s="29"/>
      <c r="AA98" s="1"/>
      <c r="AB98" s="2"/>
      <c r="AC98" s="2"/>
      <c r="AD98" s="2"/>
      <c r="AE98" s="2"/>
      <c r="AF98" s="2"/>
      <c r="AG98" s="2"/>
    </row>
    <row r="99" spans="1:36" ht="15" customHeight="1">
      <c r="A99" s="14"/>
      <c r="B99" s="27"/>
      <c r="C99" s="14"/>
      <c r="D99" s="14"/>
      <c r="E99" s="14"/>
      <c r="S99" s="192"/>
      <c r="T99" s="192"/>
      <c r="U99" s="192"/>
      <c r="Y99" s="1"/>
      <c r="AA99" s="1"/>
      <c r="AC99" s="2"/>
      <c r="AD99" s="2"/>
      <c r="AE99" s="2"/>
      <c r="AF99" s="2"/>
      <c r="AG99" s="2"/>
    </row>
    <row r="100" spans="1:36" ht="15" customHeight="1">
      <c r="A100" s="14"/>
      <c r="B100" s="27"/>
      <c r="C100" s="14"/>
      <c r="D100" s="14"/>
      <c r="E100" s="14"/>
      <c r="F100" s="14"/>
      <c r="G100" s="14"/>
      <c r="H100" s="14"/>
      <c r="I100" s="14"/>
      <c r="J100" s="14"/>
      <c r="K100" s="220"/>
      <c r="L100" s="220"/>
      <c r="M100" s="220"/>
      <c r="N100" s="220"/>
      <c r="O100" s="221"/>
      <c r="P100" s="221"/>
      <c r="Q100" s="221"/>
      <c r="R100" s="192"/>
      <c r="S100" s="192"/>
      <c r="T100" s="192"/>
      <c r="U100" s="193"/>
      <c r="V100" s="193"/>
      <c r="W100" s="193"/>
      <c r="X100" s="193"/>
      <c r="Y100" s="28"/>
      <c r="Z100" s="28"/>
      <c r="AA100" s="28"/>
      <c r="AB100" s="28"/>
      <c r="AC100" s="2"/>
      <c r="AD100" s="2"/>
      <c r="AE100" s="2"/>
      <c r="AF100" s="2"/>
      <c r="AG100" s="2"/>
    </row>
    <row r="101" spans="1:36" s="7" customFormat="1" ht="15" customHeight="1">
      <c r="A101" s="23"/>
      <c r="B101" s="24"/>
      <c r="C101" s="23"/>
      <c r="D101" s="23"/>
      <c r="E101" s="23"/>
      <c r="Z101" s="22"/>
      <c r="AA101" s="21"/>
      <c r="AB101" s="6"/>
      <c r="AC101" s="6"/>
      <c r="AD101" s="6"/>
      <c r="AE101" s="6"/>
      <c r="AF101" s="6"/>
      <c r="AG101" s="6"/>
    </row>
    <row r="102" spans="1:36" ht="15" customHeight="1">
      <c r="A102" s="15" t="str">
        <f>A43</f>
        <v>MADE IN VIET NAM</v>
      </c>
      <c r="B102" s="15"/>
      <c r="C102" s="15"/>
      <c r="D102" s="15"/>
      <c r="E102" s="15"/>
      <c r="F102" s="20"/>
      <c r="G102" s="20"/>
      <c r="H102" s="20"/>
      <c r="I102" s="20"/>
      <c r="J102" s="20"/>
      <c r="K102" s="19"/>
      <c r="L102" s="19"/>
      <c r="M102" s="19"/>
      <c r="N102" s="19"/>
      <c r="O102" s="18"/>
      <c r="P102" s="17"/>
      <c r="Q102" s="14"/>
      <c r="R102" s="14"/>
      <c r="S102" s="15"/>
      <c r="T102" s="15"/>
      <c r="U102" s="15"/>
      <c r="V102" s="15"/>
      <c r="W102" s="15"/>
      <c r="X102" s="15"/>
      <c r="Y102" s="14"/>
      <c r="Z102" s="14"/>
      <c r="AB102" s="2"/>
      <c r="AC102" s="2"/>
      <c r="AD102" s="2"/>
      <c r="AE102" s="2"/>
      <c r="AF102" s="2"/>
      <c r="AG102" s="2"/>
    </row>
    <row r="103" spans="1:36" ht="15" customHeight="1">
      <c r="A103" s="15" t="str">
        <f>A44</f>
        <v>//////////////////////////////////</v>
      </c>
      <c r="B103" s="15"/>
      <c r="C103" s="15"/>
      <c r="D103" s="15"/>
      <c r="E103" s="15"/>
      <c r="F103" s="20"/>
      <c r="G103" s="20"/>
      <c r="H103" s="20"/>
      <c r="I103" s="20"/>
      <c r="J103" s="20"/>
      <c r="K103" s="19"/>
      <c r="L103" s="19"/>
      <c r="M103" s="19"/>
      <c r="N103" s="19"/>
      <c r="O103" s="18"/>
      <c r="P103" s="17"/>
      <c r="Q103" s="14"/>
      <c r="R103" s="16"/>
      <c r="S103" s="15"/>
      <c r="T103" s="15"/>
      <c r="U103" s="15"/>
      <c r="V103" s="15"/>
      <c r="W103" s="15"/>
      <c r="X103" s="15"/>
      <c r="Y103" s="14"/>
      <c r="Z103" s="14"/>
      <c r="AB103" s="2"/>
      <c r="AC103" s="2"/>
      <c r="AD103" s="2"/>
      <c r="AE103" s="2"/>
      <c r="AF103" s="2"/>
      <c r="AG103" s="2"/>
      <c r="AJ103" s="13"/>
    </row>
    <row r="104" spans="1:36" ht="15" customHeight="1">
      <c r="F104" s="11"/>
      <c r="G104" s="11"/>
      <c r="H104" s="11"/>
      <c r="I104" s="11"/>
      <c r="J104" s="11"/>
      <c r="K104" s="10"/>
      <c r="L104" s="10"/>
      <c r="M104" s="10"/>
      <c r="N104" s="10"/>
      <c r="O104" s="9"/>
      <c r="P104" s="8"/>
      <c r="Q104" s="2"/>
      <c r="R104" s="2"/>
      <c r="Z104" s="2"/>
      <c r="AB104" s="2"/>
      <c r="AC104" s="2"/>
      <c r="AD104" s="2"/>
      <c r="AE104" s="2"/>
      <c r="AF104" s="2"/>
      <c r="AG104" s="2"/>
    </row>
    <row r="105" spans="1:36" ht="15" customHeight="1">
      <c r="F105" s="11"/>
      <c r="G105" s="11"/>
      <c r="H105" s="11"/>
      <c r="I105" s="11"/>
      <c r="J105" s="11"/>
      <c r="K105" s="10"/>
      <c r="L105" s="10"/>
      <c r="M105" s="10"/>
      <c r="N105" s="10"/>
      <c r="O105" s="9"/>
      <c r="P105" s="8"/>
      <c r="Q105" s="2"/>
      <c r="R105" s="2"/>
      <c r="Z105" s="2"/>
      <c r="AB105" s="2"/>
      <c r="AC105" s="2"/>
      <c r="AD105" s="2"/>
      <c r="AE105" s="2"/>
      <c r="AF105" s="2"/>
      <c r="AG105" s="2"/>
    </row>
    <row r="106" spans="1:36" ht="15" customHeight="1">
      <c r="F106" s="11"/>
      <c r="G106" s="11"/>
      <c r="H106" s="11"/>
      <c r="I106" s="11"/>
      <c r="J106" s="11"/>
      <c r="K106" s="10"/>
      <c r="L106" s="10"/>
      <c r="M106" s="10"/>
      <c r="N106" s="10"/>
      <c r="O106" s="9"/>
      <c r="P106" s="8"/>
      <c r="Q106" s="2"/>
      <c r="R106" s="12"/>
      <c r="Z106" s="2"/>
      <c r="AB106" s="2"/>
      <c r="AC106" s="2"/>
      <c r="AD106" s="2"/>
      <c r="AE106" s="2"/>
      <c r="AF106" s="2"/>
      <c r="AG106" s="2"/>
    </row>
    <row r="107" spans="1:36" ht="15" customHeight="1">
      <c r="F107" s="11"/>
      <c r="G107" s="11"/>
      <c r="H107" s="11"/>
      <c r="I107" s="11"/>
      <c r="J107" s="11"/>
      <c r="K107" s="10"/>
      <c r="L107" s="10"/>
      <c r="M107" s="10"/>
      <c r="N107" s="10"/>
      <c r="O107" s="9"/>
      <c r="P107" s="8"/>
      <c r="Q107" s="2"/>
      <c r="R107" s="12"/>
      <c r="Z107" s="2"/>
      <c r="AB107" s="2"/>
      <c r="AC107" s="2"/>
      <c r="AD107" s="2"/>
      <c r="AE107" s="2"/>
      <c r="AF107" s="2"/>
      <c r="AG107" s="2"/>
    </row>
    <row r="108" spans="1:36" ht="15" customHeight="1">
      <c r="F108" s="11"/>
      <c r="G108" s="11"/>
      <c r="H108" s="11"/>
      <c r="I108" s="11"/>
      <c r="J108" s="11"/>
      <c r="K108" s="10"/>
      <c r="L108" s="10"/>
      <c r="M108" s="10"/>
      <c r="N108" s="10"/>
      <c r="O108" s="9"/>
      <c r="P108" s="8"/>
      <c r="Q108" s="2"/>
      <c r="R108" s="12"/>
      <c r="Z108" s="2"/>
      <c r="AB108" s="2"/>
      <c r="AC108" s="2"/>
      <c r="AD108" s="2"/>
      <c r="AE108" s="2"/>
      <c r="AF108" s="2"/>
      <c r="AG108" s="2"/>
    </row>
    <row r="109" spans="1:36" ht="15" customHeight="1">
      <c r="F109" s="11"/>
      <c r="G109" s="11"/>
      <c r="H109" s="11"/>
      <c r="I109" s="11"/>
      <c r="J109" s="11"/>
      <c r="K109" s="10"/>
      <c r="L109" s="10"/>
      <c r="M109" s="10"/>
      <c r="N109" s="10"/>
      <c r="O109" s="9"/>
      <c r="P109" s="8"/>
      <c r="Q109" s="2"/>
      <c r="R109" s="2"/>
      <c r="Z109" s="2"/>
      <c r="AB109" s="2"/>
      <c r="AC109" s="2"/>
      <c r="AD109" s="2"/>
      <c r="AE109" s="2"/>
      <c r="AF109" s="2"/>
      <c r="AG109" s="2"/>
    </row>
    <row r="110" spans="1:36" ht="15" customHeight="1">
      <c r="F110" s="11"/>
      <c r="G110" s="11"/>
      <c r="H110" s="11"/>
      <c r="I110" s="11"/>
      <c r="J110" s="11"/>
      <c r="K110" s="10"/>
      <c r="L110" s="10"/>
      <c r="M110" s="10"/>
      <c r="N110" s="10"/>
      <c r="O110" s="9"/>
      <c r="P110" s="8"/>
      <c r="Q110" s="2"/>
      <c r="R110" s="2"/>
      <c r="Z110" s="2"/>
      <c r="AB110" s="2"/>
      <c r="AC110" s="2"/>
      <c r="AD110" s="2"/>
      <c r="AE110" s="2"/>
      <c r="AF110" s="2"/>
      <c r="AG110" s="2"/>
    </row>
    <row r="111" spans="1:36" ht="15" customHeight="1">
      <c r="F111" s="11"/>
      <c r="G111" s="11"/>
      <c r="H111" s="11"/>
      <c r="I111" s="11"/>
      <c r="J111" s="11"/>
      <c r="K111" s="10"/>
      <c r="L111" s="10"/>
      <c r="M111" s="10"/>
      <c r="N111" s="10"/>
      <c r="O111" s="9"/>
      <c r="P111" s="8"/>
      <c r="Q111" s="2"/>
      <c r="R111" s="2"/>
      <c r="Z111" s="2"/>
      <c r="AB111" s="2"/>
      <c r="AC111" s="2"/>
      <c r="AD111" s="2"/>
      <c r="AE111" s="2"/>
      <c r="AF111" s="2"/>
      <c r="AG111" s="2"/>
    </row>
    <row r="112" spans="1:36" ht="15" customHeight="1">
      <c r="A112" s="7"/>
      <c r="F112" s="4"/>
      <c r="O112" s="6" t="s">
        <v>0</v>
      </c>
      <c r="P112" s="2"/>
      <c r="Q112" s="5"/>
      <c r="R112" s="5"/>
      <c r="S112" s="5"/>
      <c r="T112" s="5"/>
      <c r="U112" s="5"/>
      <c r="V112" s="5"/>
      <c r="W112" s="5"/>
      <c r="X112" s="5"/>
      <c r="Z112" s="2"/>
      <c r="AB112" s="2"/>
      <c r="AC112" s="2"/>
      <c r="AD112" s="2"/>
      <c r="AE112" s="2"/>
      <c r="AF112" s="2"/>
      <c r="AG112" s="2"/>
    </row>
    <row r="113" spans="6:33" ht="15" customHeight="1">
      <c r="F113" s="4"/>
      <c r="P113" s="2"/>
      <c r="Q113" s="3"/>
      <c r="R113" s="3"/>
      <c r="S113" s="2"/>
      <c r="T113" s="2"/>
      <c r="Y113" s="3"/>
      <c r="Z113" s="2"/>
      <c r="AB113" s="2"/>
      <c r="AC113" s="2"/>
      <c r="AD113" s="2"/>
      <c r="AE113" s="2"/>
      <c r="AF113" s="2"/>
      <c r="AG113" s="2"/>
    </row>
  </sheetData>
  <mergeCells count="66">
    <mergeCell ref="V96:Y96"/>
    <mergeCell ref="K100:N100"/>
    <mergeCell ref="O100:Q100"/>
    <mergeCell ref="R100:T100"/>
    <mergeCell ref="U100:X100"/>
    <mergeCell ref="K98:N98"/>
    <mergeCell ref="O98:Q98"/>
    <mergeCell ref="R98:T98"/>
    <mergeCell ref="U98:X98"/>
    <mergeCell ref="S99:U99"/>
    <mergeCell ref="R96:T96"/>
    <mergeCell ref="T34:X34"/>
    <mergeCell ref="B32:E32"/>
    <mergeCell ref="K39:O39"/>
    <mergeCell ref="T39:X39"/>
    <mergeCell ref="K35:O35"/>
    <mergeCell ref="P35:S35"/>
    <mergeCell ref="K34:O34"/>
    <mergeCell ref="P34:S34"/>
    <mergeCell ref="G35:J35"/>
    <mergeCell ref="T35:X35"/>
    <mergeCell ref="K36:O36"/>
    <mergeCell ref="P36:S36"/>
    <mergeCell ref="T36:X36"/>
    <mergeCell ref="G37:J37"/>
    <mergeCell ref="K37:O37"/>
    <mergeCell ref="A29:X29"/>
    <mergeCell ref="K32:O32"/>
    <mergeCell ref="P32:S32"/>
    <mergeCell ref="T32:X32"/>
    <mergeCell ref="G33:J33"/>
    <mergeCell ref="K33:O33"/>
    <mergeCell ref="P33:S33"/>
    <mergeCell ref="A1:Z1"/>
    <mergeCell ref="X3:Y3"/>
    <mergeCell ref="P22:U22"/>
    <mergeCell ref="A26:F26"/>
    <mergeCell ref="G26:J26"/>
    <mergeCell ref="B4:I6"/>
    <mergeCell ref="B3:I3"/>
    <mergeCell ref="B11:I13"/>
    <mergeCell ref="T33:X33"/>
    <mergeCell ref="T37:X37"/>
    <mergeCell ref="K38:O38"/>
    <mergeCell ref="P38:S38"/>
    <mergeCell ref="T38:X38"/>
    <mergeCell ref="P37:S37"/>
    <mergeCell ref="V94:Y94"/>
    <mergeCell ref="A62:Z62"/>
    <mergeCell ref="X64:Y64"/>
    <mergeCell ref="A85:F85"/>
    <mergeCell ref="G85:J85"/>
    <mergeCell ref="R94:T94"/>
    <mergeCell ref="B64:I64"/>
    <mergeCell ref="B65:I67"/>
    <mergeCell ref="B91:E91"/>
    <mergeCell ref="B92:E92"/>
    <mergeCell ref="B93:E93"/>
    <mergeCell ref="B94:E94"/>
    <mergeCell ref="K41:O41"/>
    <mergeCell ref="P41:S41"/>
    <mergeCell ref="T41:X41"/>
    <mergeCell ref="A88:X88"/>
    <mergeCell ref="R92:T92"/>
    <mergeCell ref="V92:Y92"/>
    <mergeCell ref="B72:I74"/>
  </mergeCells>
  <printOptions horizontalCentered="1"/>
  <pageMargins left="0.47244094488188981" right="0.47244094488188981" top="0.51181102362204722" bottom="0.51181102362204722" header="0.51181102362204722" footer="0.51181102362204722"/>
  <pageSetup paperSize="9" scale="65" fitToHeight="5" orientation="portrait" r:id="rId1"/>
  <headerFooter alignWithMargins="0"/>
  <rowBreaks count="1" manualBreakCount="1">
    <brk id="61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 &amp; PK</vt:lpstr>
      <vt:lpstr>'IV &amp; PK'!Print_Area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OTM-COFERENCE ROOM</dc:creator>
  <cp:lastModifiedBy>.</cp:lastModifiedBy>
  <cp:lastPrinted>2020-09-28T08:37:21Z</cp:lastPrinted>
  <dcterms:created xsi:type="dcterms:W3CDTF">2020-02-13T09:46:39Z</dcterms:created>
  <dcterms:modified xsi:type="dcterms:W3CDTF">2022-08-26T01:46:20Z</dcterms:modified>
</cp:coreProperties>
</file>