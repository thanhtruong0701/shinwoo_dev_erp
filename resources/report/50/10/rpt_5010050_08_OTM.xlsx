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T\Downloads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Print_Area" localSheetId="0">Sheet1!$A$1:$X$139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8" i="1" l="1"/>
  <c r="A117" i="1"/>
  <c r="E102" i="1"/>
  <c r="R101" i="1"/>
  <c r="M101" i="1"/>
  <c r="O101" i="1" s="1"/>
  <c r="E101" i="1"/>
  <c r="G94" i="1"/>
  <c r="B94" i="1"/>
  <c r="B88" i="1"/>
  <c r="B87" i="1"/>
  <c r="B86" i="1"/>
  <c r="B85" i="1"/>
  <c r="B84" i="1"/>
  <c r="P83" i="1"/>
  <c r="L83" i="1"/>
  <c r="B83" i="1"/>
  <c r="P82" i="1"/>
  <c r="O82" i="1"/>
  <c r="N82" i="1"/>
  <c r="L82" i="1"/>
  <c r="P81" i="1"/>
  <c r="O81" i="1"/>
  <c r="N81" i="1"/>
  <c r="L81" i="1"/>
  <c r="P80" i="1"/>
  <c r="O80" i="1"/>
  <c r="N80" i="1"/>
  <c r="L80" i="1"/>
  <c r="P79" i="1"/>
  <c r="O79" i="1"/>
  <c r="B79" i="1"/>
  <c r="X78" i="1"/>
  <c r="P78" i="1"/>
  <c r="O78" i="1"/>
  <c r="N78" i="1"/>
  <c r="L78" i="1"/>
  <c r="K78" i="1"/>
  <c r="B78" i="1"/>
  <c r="X77" i="1"/>
  <c r="P77" i="1"/>
  <c r="O77" i="1"/>
  <c r="N77" i="1"/>
  <c r="L77" i="1"/>
  <c r="K77" i="1"/>
  <c r="B77" i="1"/>
  <c r="X76" i="1"/>
  <c r="P76" i="1"/>
  <c r="O76" i="1"/>
  <c r="N76" i="1"/>
  <c r="L76" i="1"/>
  <c r="K76" i="1"/>
  <c r="B76" i="1"/>
  <c r="B75" i="1"/>
  <c r="B74" i="1"/>
  <c r="B73" i="1"/>
  <c r="K71" i="1"/>
  <c r="B71" i="1"/>
  <c r="K70" i="1"/>
  <c r="B70" i="1"/>
  <c r="K69" i="1"/>
  <c r="B69" i="1"/>
  <c r="K68" i="1"/>
  <c r="B68" i="1"/>
  <c r="B67" i="1"/>
  <c r="O66" i="1"/>
  <c r="B66" i="1"/>
  <c r="S35" i="1"/>
  <c r="O24" i="1"/>
  <c r="O83" i="1" s="1"/>
</calcChain>
</file>

<file path=xl/sharedStrings.xml><?xml version="1.0" encoding="utf-8"?>
<sst xmlns="http://schemas.openxmlformats.org/spreadsheetml/2006/main" count="129" uniqueCount="90">
  <si>
    <t>COMMERCIAL INVOICE</t>
  </si>
  <si>
    <t>1)Shipper/Exporter/Manufacturer</t>
    <phoneticPr fontId="0" type="noConversion"/>
  </si>
  <si>
    <t>8)No. &amp; date of invoice</t>
  </si>
  <si>
    <t>OT MOTOR VINA CO.,LTD</t>
  </si>
  <si>
    <t xml:space="preserve">Land Lot No B-3.1, Nhon Trach 6B Subdivision of IZ, </t>
  </si>
  <si>
    <t>9) Terms of delivery and payment</t>
    <phoneticPr fontId="0" type="noConversion"/>
  </si>
  <si>
    <t>Nhon Trach 6 IZ, Long Tho Commune, Nhon Trach District</t>
  </si>
  <si>
    <t>FCA at OTM</t>
  </si>
  <si>
    <t>Dong Nai Province, Vietnam</t>
  </si>
  <si>
    <t>T/T NET 15DAYS FROM RECEIPT</t>
    <phoneticPr fontId="0" type="noConversion"/>
  </si>
  <si>
    <t>TEL: +84 2513 569 066</t>
  </si>
  <si>
    <t>10) Country of Origin of Goods                   VIETNAM</t>
  </si>
  <si>
    <t>TAX ID: 3603512483</t>
  </si>
  <si>
    <t>2)For Account &amp; Risk of Messrs.</t>
  </si>
  <si>
    <t>11) Consignee:</t>
  </si>
  <si>
    <t>ZF Passive Safety US Inc.</t>
  </si>
  <si>
    <t>Seatbelt Division- OUC 454</t>
  </si>
  <si>
    <t>Boulevard Mike Allen 1370 SN</t>
  </si>
  <si>
    <t>c/o Laredo Freight Dispatch</t>
  </si>
  <si>
    <t>Parque Industrial Reynosa Sección Norte</t>
  </si>
  <si>
    <t xml:space="preserve">9600 International Blvd.  </t>
  </si>
  <si>
    <t>Reynosa, Tamaulipas CP: 88788 Mexico</t>
  </si>
  <si>
    <t>Pharr Texas 78577</t>
  </si>
  <si>
    <t>U.S.A.</t>
  </si>
  <si>
    <t>12)Remarks :</t>
  </si>
  <si>
    <t>TEL:956-632-8100, FAX:956-632-8127</t>
  </si>
  <si>
    <r>
      <rPr>
        <sz val="10"/>
        <rFont val="바탕"/>
        <family val="1"/>
        <charset val="129"/>
      </rPr>
      <t>※</t>
    </r>
  </si>
  <si>
    <t>PO No.</t>
    <phoneticPr fontId="0" type="noConversion"/>
  </si>
  <si>
    <t>:</t>
    <phoneticPr fontId="0" type="noConversion"/>
  </si>
  <si>
    <t>5500205691</t>
  </si>
  <si>
    <t>P/No.</t>
    <phoneticPr fontId="0" type="noConversion"/>
  </si>
  <si>
    <t>34100164C</t>
  </si>
  <si>
    <t>P/Name</t>
    <phoneticPr fontId="0" type="noConversion"/>
  </si>
  <si>
    <t>SPR4 SPOOL</t>
  </si>
  <si>
    <t>3)Notify party</t>
  </si>
  <si>
    <t>SKID No.</t>
    <phoneticPr fontId="0" type="noConversion"/>
  </si>
  <si>
    <t>232-235</t>
  </si>
  <si>
    <t>MIRSA REYNOSA Plt 1</t>
  </si>
  <si>
    <t>Avenida Prologis Edificio 4</t>
  </si>
  <si>
    <t>LOT No.</t>
    <phoneticPr fontId="0" type="noConversion"/>
  </si>
  <si>
    <t>Parque Industrial Prologis</t>
  </si>
  <si>
    <t>C/No.</t>
    <phoneticPr fontId="0" type="noConversion"/>
  </si>
  <si>
    <t>7393-7520</t>
  </si>
  <si>
    <t>Reynosa, Tamaulipas</t>
  </si>
  <si>
    <t>Q'TY/CTN</t>
    <phoneticPr fontId="0" type="noConversion"/>
  </si>
  <si>
    <t>C.P. 88787</t>
  </si>
  <si>
    <t>※</t>
    <phoneticPr fontId="0" type="noConversion"/>
  </si>
  <si>
    <t>CTN Q'TY</t>
    <phoneticPr fontId="0" type="noConversion"/>
  </si>
  <si>
    <t>TEL:899-958-1443 Ext.102</t>
  </si>
  <si>
    <t>4)Port of loading</t>
  </si>
  <si>
    <t>5)Final destination</t>
  </si>
  <si>
    <t>※</t>
  </si>
  <si>
    <t>CONT/SEAL</t>
  </si>
  <si>
    <t>:</t>
  </si>
  <si>
    <t>VIETNAM</t>
  </si>
  <si>
    <t>Mexico</t>
  </si>
  <si>
    <t>ETA MANZANILLO</t>
  </si>
  <si>
    <t>6)Carrier</t>
  </si>
  <si>
    <t>7)Sailing on or about</t>
  </si>
  <si>
    <t>SUPPLIER CODE</t>
  </si>
  <si>
    <t>284433</t>
  </si>
  <si>
    <t>SHIPPING MARK</t>
  </si>
  <si>
    <t>OT MOTOR TO ZF REYNOSA</t>
  </si>
  <si>
    <t>13)Marks and numbers of PKGS 14)Description of goods                                   15)Quantity/Unit 16)Unit Price                                                    17)Amount</t>
  </si>
  <si>
    <t>18)Commodity HTS Number                                          " Automotive Seat Belt Component" (HS: 8708.29.0000)</t>
  </si>
  <si>
    <t>1. SPR4 SPOOL</t>
  </si>
  <si>
    <t>(34181316A)</t>
  </si>
  <si>
    <t xml:space="preserve">  T O T A L</t>
    <phoneticPr fontId="0" type="noConversion"/>
  </si>
  <si>
    <t>MADE IN VIETNAM</t>
  </si>
  <si>
    <t>//////////////////////////////////</t>
  </si>
  <si>
    <t>19)Signed By</t>
  </si>
  <si>
    <t xml:space="preserve">* BANK INFORMATION </t>
  </si>
  <si>
    <t>- Bank Name : Shinhan Bank Vietnam</t>
  </si>
  <si>
    <t>- Address : 2nd Flr, Nhon Trach 3 Industrial Park Office Building, Ton Duc Thang Stress, Hiep Phuoc Town, Nhon Trach District, Dong Nai Province</t>
  </si>
  <si>
    <t>- Bank Account Number/SWIFT: 0764-0054-932-0001 // IBKOVNVX</t>
  </si>
  <si>
    <t>PACKING LIST</t>
  </si>
  <si>
    <t>1)Shipper/Exporter</t>
  </si>
  <si>
    <t>9) Consignee:</t>
  </si>
  <si>
    <t>10)Remarks :</t>
  </si>
  <si>
    <t xml:space="preserve">TOTAL CTN Q'TY </t>
  </si>
  <si>
    <t xml:space="preserve">TOTAL SKID Q'TY </t>
  </si>
  <si>
    <t xml:space="preserve">SKID SIZE </t>
  </si>
  <si>
    <t>※ SKID Q'TY:</t>
  </si>
  <si>
    <t>※ WGT/SKID :</t>
  </si>
  <si>
    <t>※ GROSS WGT:</t>
  </si>
  <si>
    <t>34100164C   SKID</t>
  </si>
  <si>
    <t>(1,140×1,170×970)</t>
  </si>
  <si>
    <t>11)Marks and numbers of PKGS 12)Description of goods                        13)Quantity                              14)Net Weight               15)Gross Weight 16)Measurement</t>
  </si>
  <si>
    <t>17)Commodity HTS Number                                "Automotive Seat Belt Component" (HS: 8708.29.0000)</t>
  </si>
  <si>
    <t>18)Signed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</si>
</sst>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&quot;I-000&quot;##&quot;,&quot;"/>
    <numFmt numFmtId="165" formatCode="mmm\.\ dd\.\ yyyy"/>
    <numFmt numFmtId="166" formatCode="&quot;(&quot;#\ &quot;SKIDS)&quot;"/>
    <numFmt numFmtId="167" formatCode="&quot;(&quot;#\ &quot;SKID)&quot;"/>
    <numFmt numFmtId="168" formatCode="&quot;0&quot;00#"/>
    <numFmt numFmtId="169" formatCode="[$-409]d\-mmm\-yy;@"/>
    <numFmt numFmtId="170" formatCode="#,##0\ &quot;PCS&quot;"/>
    <numFmt numFmtId="171" formatCode="#,##0\ &quot;BOXES&quot;"/>
    <numFmt numFmtId="172" formatCode="mm&quot;월&quot;\ dd&quot;일&quot;"/>
    <numFmt numFmtId="173" formatCode="#\ &quot; BOXES&quot;"/>
    <numFmt numFmtId="174" formatCode="&quot;@$ &quot;0.0000"/>
    <numFmt numFmtId="175" formatCode="&quot;US$&quot;\ #,##0.00"/>
    <numFmt numFmtId="176" formatCode="&quot;￦ &quot;#,##0"/>
    <numFmt numFmtId="177" formatCode="&quot;￦ &quot;#,##0.00"/>
    <numFmt numFmtId="178" formatCode="#,##0\ &quot;SKIDS&quot;"/>
    <numFmt numFmtId="179" formatCode="0.000\ &quot;CBM&quot;"/>
    <numFmt numFmtId="180" formatCode="#\ &quot;SKIDS&quot;"/>
    <numFmt numFmtId="181" formatCode="###\ &quot;kgs&quot;"/>
    <numFmt numFmtId="182" formatCode="#,###\ &quot;kgs&quot;"/>
    <numFmt numFmtId="183" formatCode="#,##0\ &quot;kgs&quot;"/>
    <numFmt numFmtId="184" formatCode="0.00\ &quot;CBM&quot;"/>
    <numFmt numFmtId="185" formatCode="0.000"/>
  </numFmts>
  <fonts count="21">
    <font>
      <sz val="10"/>
      <name val="MS Sans Serif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sz val="1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바탕"/>
      <family val="1"/>
      <charset val="129"/>
    </font>
    <font>
      <sz val="10"/>
      <color indexed="8"/>
      <name val="Times New Roman"/>
      <family val="1"/>
    </font>
    <font>
      <u/>
      <sz val="10"/>
      <color indexed="12"/>
      <name val="MS Sans Serif"/>
      <family val="2"/>
    </font>
    <font>
      <u/>
      <sz val="10"/>
      <name val="Times New Roman"/>
      <family val="1"/>
    </font>
    <font>
      <b/>
      <sz val="9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ahoma"/>
      <family val="2"/>
    </font>
    <font>
      <sz val="10.5"/>
      <name val="Tahoma"/>
      <family val="2"/>
    </font>
    <font>
      <sz val="10"/>
      <color indexed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horizontal="left" vertical="center"/>
    </xf>
    <xf numFmtId="165" fontId="2" fillId="0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66" fontId="2" fillId="0" borderId="3" xfId="0" applyNumberFormat="1" applyFont="1" applyFill="1" applyBorder="1" applyAlignment="1">
      <alignment horizontal="left" vertical="center"/>
    </xf>
    <xf numFmtId="167" fontId="2" fillId="0" borderId="3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68" fontId="2" fillId="0" borderId="0" xfId="0" quotePrefix="1" applyNumberFormat="1" applyFont="1" applyFill="1" applyAlignment="1">
      <alignment horizontal="left" vertical="center" wrapText="1"/>
    </xf>
    <xf numFmtId="168" fontId="2" fillId="0" borderId="0" xfId="0" quotePrefix="1" applyNumberFormat="1" applyFont="1" applyFill="1" applyBorder="1" applyAlignment="1">
      <alignment horizontal="left" vertical="center" wrapText="1"/>
    </xf>
    <xf numFmtId="0" fontId="2" fillId="0" borderId="0" xfId="0" applyFont="1" applyFill="1"/>
    <xf numFmtId="0" fontId="11" fillId="0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9" fontId="2" fillId="0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Fill="1" applyAlignment="1">
      <alignment vertical="center"/>
    </xf>
    <xf numFmtId="170" fontId="13" fillId="0" borderId="0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2" fillId="2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171" fontId="13" fillId="0" borderId="0" xfId="0" applyNumberFormat="1" applyFont="1" applyFill="1" applyBorder="1" applyAlignment="1">
      <alignment horizontal="left" vertical="center"/>
    </xf>
    <xf numFmtId="0" fontId="14" fillId="2" borderId="0" xfId="1" applyFill="1" applyAlignment="1" applyProtection="1">
      <alignment vertical="center"/>
    </xf>
    <xf numFmtId="0" fontId="10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16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 wrapText="1"/>
    </xf>
    <xf numFmtId="172" fontId="2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166" fontId="2" fillId="0" borderId="0" xfId="0" applyNumberFormat="1" applyFont="1" applyFill="1" applyBorder="1" applyAlignment="1">
      <alignment horizontal="left" vertical="center"/>
    </xf>
    <xf numFmtId="166" fontId="2" fillId="2" borderId="0" xfId="0" applyNumberFormat="1" applyFont="1" applyFill="1" applyBorder="1" applyAlignment="1">
      <alignment horizontal="left" vertical="center" wrapText="1"/>
    </xf>
    <xf numFmtId="166" fontId="2" fillId="2" borderId="0" xfId="0" applyNumberFormat="1" applyFont="1" applyFill="1" applyBorder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7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  <xf numFmtId="170" fontId="2" fillId="0" borderId="0" xfId="0" applyNumberFormat="1" applyFont="1" applyFill="1" applyBorder="1" applyAlignment="1">
      <alignment horizontal="left" vertical="center"/>
    </xf>
    <xf numFmtId="170" fontId="13" fillId="0" borderId="0" xfId="0" applyNumberFormat="1" applyFont="1" applyFill="1" applyAlignment="1">
      <alignment horizontal="left" vertical="center"/>
    </xf>
    <xf numFmtId="166" fontId="2" fillId="0" borderId="0" xfId="0" applyNumberFormat="1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173" fontId="2" fillId="0" borderId="0" xfId="0" applyNumberFormat="1" applyFont="1" applyFill="1" applyAlignment="1">
      <alignment horizontal="left" vertical="center" wrapText="1"/>
    </xf>
    <xf numFmtId="49" fontId="1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vertical="center"/>
    </xf>
    <xf numFmtId="49" fontId="13" fillId="0" borderId="0" xfId="0" applyNumberFormat="1" applyFont="1" applyFill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 wrapText="1"/>
    </xf>
    <xf numFmtId="171" fontId="13" fillId="2" borderId="0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0" borderId="0" xfId="0" quotePrefix="1" applyFont="1" applyFill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quotePrefix="1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center" vertical="center"/>
    </xf>
    <xf numFmtId="49" fontId="2" fillId="0" borderId="5" xfId="0" quotePrefix="1" applyNumberFormat="1" applyFont="1" applyFill="1" applyBorder="1" applyAlignment="1">
      <alignment horizontal="center" vertical="center"/>
    </xf>
    <xf numFmtId="172" fontId="2" fillId="0" borderId="0" xfId="0" quotePrefix="1" applyNumberFormat="1" applyFont="1" applyFill="1" applyAlignment="1">
      <alignment vertical="center"/>
    </xf>
    <xf numFmtId="0" fontId="2" fillId="0" borderId="0" xfId="0" quotePrefix="1" applyFont="1" applyFill="1" applyAlignment="1">
      <alignment vertical="center" wrapText="1"/>
    </xf>
    <xf numFmtId="172" fontId="2" fillId="0" borderId="0" xfId="0" quotePrefix="1" applyNumberFormat="1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Fill="1"/>
    <xf numFmtId="170" fontId="2" fillId="0" borderId="0" xfId="0" applyNumberFormat="1" applyFont="1" applyFill="1" applyAlignment="1">
      <alignment vertical="center"/>
    </xf>
    <xf numFmtId="174" fontId="2" fillId="0" borderId="0" xfId="0" applyNumberFormat="1" applyFont="1" applyFill="1" applyAlignment="1">
      <alignment vertical="center"/>
    </xf>
    <xf numFmtId="175" fontId="2" fillId="0" borderId="0" xfId="0" applyNumberFormat="1" applyFont="1" applyFill="1" applyBorder="1" applyAlignment="1">
      <alignment horizontal="right" vertical="center"/>
    </xf>
    <xf numFmtId="175" fontId="2" fillId="0" borderId="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3" xfId="0" applyNumberFormat="1" applyFont="1" applyFill="1" applyBorder="1" applyAlignment="1">
      <alignment horizontal="left" vertical="center"/>
    </xf>
    <xf numFmtId="170" fontId="2" fillId="0" borderId="3" xfId="0" applyNumberFormat="1" applyFont="1" applyFill="1" applyBorder="1" applyAlignment="1">
      <alignment vertical="center"/>
    </xf>
    <xf numFmtId="170" fontId="2" fillId="0" borderId="3" xfId="0" applyNumberFormat="1" applyFont="1" applyFill="1" applyBorder="1" applyAlignment="1">
      <alignment vertical="center"/>
    </xf>
    <xf numFmtId="4" fontId="2" fillId="0" borderId="3" xfId="0" applyNumberFormat="1" applyFont="1" applyFill="1" applyBorder="1" applyAlignment="1">
      <alignment vertical="center"/>
    </xf>
    <xf numFmtId="175" fontId="2" fillId="0" borderId="3" xfId="0" applyNumberFormat="1" applyFont="1" applyFill="1" applyBorder="1" applyAlignment="1">
      <alignment vertical="center"/>
    </xf>
    <xf numFmtId="170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0" fontId="2" fillId="2" borderId="0" xfId="0" applyNumberFormat="1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vertical="center"/>
    </xf>
    <xf numFmtId="175" fontId="2" fillId="2" borderId="0" xfId="0" applyNumberFormat="1" applyFont="1" applyFill="1" applyBorder="1" applyAlignment="1">
      <alignment horizontal="right" vertical="center"/>
    </xf>
    <xf numFmtId="176" fontId="2" fillId="2" borderId="0" xfId="0" applyNumberFormat="1" applyFont="1" applyFill="1" applyBorder="1" applyAlignment="1">
      <alignment vertical="center"/>
    </xf>
    <xf numFmtId="0" fontId="13" fillId="2" borderId="0" xfId="0" quotePrefix="1" applyFont="1" applyFill="1" applyBorder="1" applyAlignment="1">
      <alignment vertical="center"/>
    </xf>
    <xf numFmtId="0" fontId="2" fillId="2" borderId="0" xfId="0" quotePrefix="1" applyFont="1" applyFill="1" applyAlignment="1">
      <alignment vertical="center"/>
    </xf>
    <xf numFmtId="0" fontId="13" fillId="2" borderId="0" xfId="0" applyFont="1" applyFill="1" applyAlignment="1">
      <alignment vertical="center"/>
    </xf>
    <xf numFmtId="178" fontId="17" fillId="2" borderId="0" xfId="0" applyNumberFormat="1" applyFont="1" applyFill="1" applyBorder="1" applyAlignment="1">
      <alignment horizontal="left" vertical="center"/>
    </xf>
    <xf numFmtId="0" fontId="2" fillId="2" borderId="0" xfId="0" quotePrefix="1" applyFont="1" applyFill="1" applyBorder="1" applyAlignment="1">
      <alignment vertical="center"/>
    </xf>
    <xf numFmtId="0" fontId="0" fillId="0" borderId="0" xfId="0" applyBorder="1"/>
    <xf numFmtId="0" fontId="18" fillId="2" borderId="0" xfId="0" quotePrefix="1" applyFont="1" applyFill="1" applyAlignment="1">
      <alignment vertical="center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6" fillId="2" borderId="0" xfId="0" quotePrefix="1" applyFont="1" applyFill="1" applyAlignment="1">
      <alignment vertical="center"/>
    </xf>
    <xf numFmtId="0" fontId="19" fillId="0" borderId="0" xfId="0" applyFont="1"/>
    <xf numFmtId="0" fontId="19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left" vertical="center"/>
    </xf>
    <xf numFmtId="179" fontId="13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180" fontId="13" fillId="2" borderId="3" xfId="0" applyNumberFormat="1" applyFont="1" applyFill="1" applyBorder="1" applyAlignment="1">
      <alignment horizontal="left" vertical="center"/>
    </xf>
    <xf numFmtId="181" fontId="2" fillId="2" borderId="3" xfId="0" applyNumberFormat="1" applyFont="1" applyFill="1" applyBorder="1" applyAlignment="1">
      <alignment horizontal="center" vertical="center"/>
    </xf>
    <xf numFmtId="182" fontId="2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179" fontId="13" fillId="2" borderId="0" xfId="0" applyNumberFormat="1" applyFont="1" applyFill="1" applyAlignment="1">
      <alignment horizontal="center" vertical="center"/>
    </xf>
    <xf numFmtId="180" fontId="13" fillId="2" borderId="0" xfId="0" applyNumberFormat="1" applyFont="1" applyFill="1" applyAlignment="1">
      <alignment horizontal="left" vertical="center"/>
    </xf>
    <xf numFmtId="181" fontId="2" fillId="2" borderId="0" xfId="0" applyNumberFormat="1" applyFont="1" applyFill="1" applyAlignment="1">
      <alignment horizontal="center" vertical="center"/>
    </xf>
    <xf numFmtId="182" fontId="2" fillId="2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8" xfId="0" applyFont="1" applyFill="1" applyBorder="1" applyAlignment="1">
      <alignment vertical="center"/>
    </xf>
    <xf numFmtId="179" fontId="13" fillId="0" borderId="0" xfId="0" quotePrefix="1" applyNumberFormat="1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168" fontId="13" fillId="2" borderId="0" xfId="0" applyNumberFormat="1" applyFont="1" applyFill="1" applyBorder="1" applyAlignment="1">
      <alignment horizontal="left" vertical="center"/>
    </xf>
    <xf numFmtId="168" fontId="13" fillId="0" borderId="0" xfId="0" applyNumberFormat="1" applyFont="1" applyFill="1" applyAlignment="1">
      <alignment horizontal="left" vertical="center"/>
    </xf>
    <xf numFmtId="17" fontId="2" fillId="2" borderId="0" xfId="0" applyNumberFormat="1" applyFont="1" applyFill="1" applyBorder="1" applyAlignment="1">
      <alignment vertical="center"/>
    </xf>
    <xf numFmtId="170" fontId="13" fillId="2" borderId="0" xfId="0" applyNumberFormat="1" applyFont="1" applyFill="1" applyBorder="1" applyAlignment="1">
      <alignment horizontal="left" vertical="center"/>
    </xf>
    <xf numFmtId="170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170" fontId="2" fillId="2" borderId="0" xfId="0" applyNumberFormat="1" applyFont="1" applyFill="1" applyAlignment="1">
      <alignment horizontal="left" vertical="center"/>
    </xf>
    <xf numFmtId="0" fontId="12" fillId="2" borderId="0" xfId="0" applyFont="1" applyFill="1" applyBorder="1" applyAlignment="1">
      <alignment horizontal="center" vertical="center"/>
    </xf>
    <xf numFmtId="173" fontId="13" fillId="2" borderId="0" xfId="0" applyNumberFormat="1" applyFont="1" applyFill="1" applyBorder="1" applyAlignment="1">
      <alignment horizontal="left" vertical="center"/>
    </xf>
    <xf numFmtId="173" fontId="2" fillId="2" borderId="0" xfId="0" applyNumberFormat="1" applyFont="1" applyFill="1" applyAlignment="1">
      <alignment horizontal="left" vertical="center"/>
    </xf>
    <xf numFmtId="49" fontId="13" fillId="0" borderId="0" xfId="0" applyNumberFormat="1" applyFont="1" applyFill="1" applyBorder="1" applyAlignment="1">
      <alignment horizontal="left" vertical="center"/>
    </xf>
    <xf numFmtId="49" fontId="13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179" fontId="2" fillId="2" borderId="0" xfId="0" applyNumberFormat="1" applyFont="1" applyFill="1" applyBorder="1" applyAlignment="1">
      <alignment horizontal="left" vertical="center"/>
    </xf>
    <xf numFmtId="178" fontId="13" fillId="2" borderId="0" xfId="0" applyNumberFormat="1" applyFont="1" applyFill="1" applyBorder="1" applyAlignment="1">
      <alignment horizontal="center" vertical="center"/>
    </xf>
    <xf numFmtId="168" fontId="13" fillId="2" borderId="0" xfId="0" applyNumberFormat="1" applyFont="1" applyFill="1" applyBorder="1" applyAlignment="1">
      <alignment horizontal="center" vertical="center"/>
    </xf>
    <xf numFmtId="182" fontId="13" fillId="2" borderId="0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179" fontId="13" fillId="2" borderId="0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Continuous" vertical="center"/>
    </xf>
    <xf numFmtId="0" fontId="16" fillId="2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183" fontId="13" fillId="0" borderId="0" xfId="0" applyNumberFormat="1" applyFont="1" applyFill="1" applyBorder="1" applyAlignment="1">
      <alignment horizontal="right" vertical="center"/>
    </xf>
    <xf numFmtId="183" fontId="2" fillId="0" borderId="0" xfId="0" applyNumberFormat="1" applyFont="1" applyFill="1" applyBorder="1" applyAlignment="1">
      <alignment horizontal="right" vertical="center"/>
    </xf>
    <xf numFmtId="179" fontId="2" fillId="0" borderId="0" xfId="0" applyNumberFormat="1" applyFont="1" applyFill="1" applyBorder="1" applyAlignment="1">
      <alignment horizontal="right" vertical="center"/>
    </xf>
    <xf numFmtId="184" fontId="13" fillId="0" borderId="0" xfId="0" applyNumberFormat="1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right" vertical="center"/>
    </xf>
    <xf numFmtId="184" fontId="1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170" fontId="2" fillId="2" borderId="3" xfId="0" applyNumberFormat="1" applyFont="1" applyFill="1" applyBorder="1" applyAlignment="1">
      <alignment horizontal="center" vertical="center"/>
    </xf>
    <xf numFmtId="183" fontId="2" fillId="2" borderId="3" xfId="0" applyNumberFormat="1" applyFont="1" applyFill="1" applyBorder="1" applyAlignment="1">
      <alignment horizontal="right" vertical="center"/>
    </xf>
    <xf numFmtId="183" fontId="2" fillId="2" borderId="3" xfId="0" applyNumberFormat="1" applyFont="1" applyFill="1" applyBorder="1" applyAlignment="1">
      <alignment vertical="center"/>
    </xf>
    <xf numFmtId="179" fontId="2" fillId="0" borderId="3" xfId="0" applyNumberFormat="1" applyFont="1" applyFill="1" applyBorder="1" applyAlignment="1">
      <alignment horizontal="right" vertical="center"/>
    </xf>
    <xf numFmtId="179" fontId="2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right" vertical="center"/>
    </xf>
    <xf numFmtId="183" fontId="13" fillId="2" borderId="0" xfId="0" applyNumberFormat="1" applyFont="1" applyFill="1" applyBorder="1" applyAlignment="1">
      <alignment horizontal="right" vertical="center"/>
    </xf>
    <xf numFmtId="184" fontId="2" fillId="2" borderId="0" xfId="0" applyNumberFormat="1" applyFont="1" applyFill="1" applyBorder="1" applyAlignment="1">
      <alignment horizontal="right" vertical="center"/>
    </xf>
    <xf numFmtId="185" fontId="2" fillId="2" borderId="0" xfId="0" applyNumberFormat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956-632-8100,%20FAX:956-632-8127" TargetMode="External"/><Relationship Id="rId1" Type="http://schemas.openxmlformats.org/officeDocument/2006/relationships/hyperlink" Target="tel:899-958-1443%20Ext.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19"/>
  <sheetViews>
    <sheetView showGridLines="0" showZeros="0" tabSelected="1" zoomScaleNormal="100" zoomScaleSheetLayoutView="100" workbookViewId="0">
      <selection activeCell="B12" sqref="B12"/>
    </sheetView>
  </sheetViews>
  <sheetFormatPr defaultRowHeight="17.25" customHeight="1"/>
  <cols>
    <col min="1" max="1" width="1.42578125" style="2" customWidth="1"/>
    <col min="2" max="2" width="7.5703125" style="2" customWidth="1"/>
    <col min="3" max="3" width="1.28515625" style="2" customWidth="1"/>
    <col min="4" max="4" width="8.28515625" style="2" customWidth="1"/>
    <col min="5" max="5" width="7.85546875" style="2" customWidth="1"/>
    <col min="6" max="6" width="0.7109375" style="2" customWidth="1"/>
    <col min="7" max="8" width="6.5703125" style="2" customWidth="1"/>
    <col min="9" max="9" width="9.140625" style="2" customWidth="1"/>
    <col min="10" max="10" width="1.28515625" style="2" customWidth="1"/>
    <col min="11" max="11" width="2.140625" style="2" customWidth="1"/>
    <col min="12" max="12" width="2" style="2" customWidth="1"/>
    <col min="13" max="13" width="24.28515625" style="2" customWidth="1"/>
    <col min="14" max="14" width="1.140625" style="2" customWidth="1"/>
    <col min="15" max="15" width="15.140625" style="2" customWidth="1"/>
    <col min="16" max="16" width="0.5703125" style="2" customWidth="1"/>
    <col min="17" max="17" width="14.85546875" style="2" customWidth="1"/>
    <col min="18" max="18" width="1" style="2" customWidth="1"/>
    <col min="19" max="19" width="13.140625" style="2" customWidth="1"/>
    <col min="20" max="20" width="1.7109375" style="2" customWidth="1"/>
    <col min="21" max="21" width="11.7109375" style="2" customWidth="1"/>
    <col min="22" max="22" width="1.5703125" style="2" customWidth="1"/>
    <col min="23" max="23" width="13.85546875" style="2" customWidth="1"/>
    <col min="24" max="24" width="1.7109375" style="2" customWidth="1"/>
    <col min="25" max="25" width="14.5703125" style="2" customWidth="1"/>
    <col min="26" max="26" width="1.42578125" style="2" customWidth="1"/>
    <col min="27" max="27" width="13.42578125" style="2" customWidth="1"/>
    <col min="28" max="28" width="9.140625" style="2"/>
    <col min="29" max="29" width="9.5703125" style="2" bestFit="1" customWidth="1"/>
    <col min="30" max="16384" width="9.140625" style="2"/>
  </cols>
  <sheetData>
    <row r="1" spans="1:26" ht="34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14.2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6" t="s">
        <v>2</v>
      </c>
      <c r="K2" s="6"/>
      <c r="L2" s="6"/>
      <c r="M2" s="6"/>
      <c r="N2" s="6"/>
      <c r="O2" s="6"/>
      <c r="P2" s="6"/>
      <c r="Q2" s="6"/>
      <c r="R2" s="3"/>
      <c r="S2" s="3"/>
      <c r="W2" s="4"/>
      <c r="X2" s="4"/>
    </row>
    <row r="3" spans="1:26" ht="14.25" customHeight="1">
      <c r="B3" s="7" t="s">
        <v>3</v>
      </c>
      <c r="C3" s="8"/>
      <c r="D3" s="9"/>
      <c r="E3" s="9"/>
      <c r="H3" s="4"/>
      <c r="I3" s="5"/>
      <c r="J3" s="10"/>
      <c r="K3" s="11"/>
      <c r="L3" s="11"/>
      <c r="M3" s="11"/>
      <c r="N3" s="10"/>
      <c r="O3" s="12"/>
      <c r="P3" s="10"/>
      <c r="Q3" s="10"/>
      <c r="S3" s="13"/>
      <c r="T3" s="13"/>
      <c r="U3" s="13"/>
      <c r="V3" s="13"/>
      <c r="W3" s="14"/>
      <c r="X3" s="13"/>
    </row>
    <row r="4" spans="1:26" ht="14.25" customHeight="1">
      <c r="B4" s="2" t="s">
        <v>4</v>
      </c>
      <c r="C4" s="9"/>
      <c r="D4" s="9"/>
      <c r="E4" s="9"/>
      <c r="H4" s="4"/>
      <c r="I4" s="5"/>
      <c r="J4" s="15" t="s">
        <v>5</v>
      </c>
      <c r="K4" s="15"/>
      <c r="L4" s="15"/>
      <c r="M4" s="15"/>
      <c r="N4" s="15"/>
      <c r="O4" s="15"/>
      <c r="P4" s="15"/>
      <c r="Q4" s="15"/>
      <c r="R4" s="16"/>
      <c r="S4" s="3"/>
    </row>
    <row r="5" spans="1:26" ht="14.25" customHeight="1">
      <c r="B5" s="2" t="s">
        <v>6</v>
      </c>
      <c r="C5" s="9"/>
      <c r="D5" s="9"/>
      <c r="E5" s="9"/>
      <c r="H5" s="4"/>
      <c r="I5" s="5"/>
      <c r="J5" s="6"/>
      <c r="K5" s="17" t="s">
        <v>7</v>
      </c>
      <c r="L5" s="6"/>
      <c r="M5" s="6"/>
      <c r="N5" s="6"/>
      <c r="O5" s="6"/>
      <c r="P5" s="6"/>
      <c r="Q5" s="6"/>
      <c r="R5" s="3"/>
      <c r="S5" s="3"/>
    </row>
    <row r="6" spans="1:26" ht="14.25" customHeight="1">
      <c r="B6" s="2" t="s">
        <v>8</v>
      </c>
      <c r="C6" s="18"/>
      <c r="D6" s="19"/>
      <c r="E6" s="19"/>
      <c r="H6" s="4"/>
      <c r="I6" s="5"/>
      <c r="J6" s="17"/>
      <c r="K6" s="2" t="s">
        <v>9</v>
      </c>
      <c r="P6" s="17"/>
      <c r="Q6" s="17"/>
      <c r="S6" s="4"/>
    </row>
    <row r="7" spans="1:26" ht="14.25" customHeight="1">
      <c r="B7" s="2" t="s">
        <v>10</v>
      </c>
      <c r="C7" s="18"/>
      <c r="D7" s="19"/>
      <c r="E7" s="19"/>
      <c r="H7" s="4"/>
      <c r="I7" s="5"/>
      <c r="J7" s="20" t="s">
        <v>11</v>
      </c>
      <c r="K7" s="15"/>
      <c r="L7" s="15"/>
      <c r="M7" s="15"/>
      <c r="N7" s="15"/>
      <c r="O7" s="15"/>
      <c r="P7" s="15"/>
      <c r="Q7" s="15"/>
      <c r="R7" s="16"/>
      <c r="S7" s="16"/>
      <c r="T7" s="21"/>
      <c r="U7" s="21"/>
      <c r="V7" s="21"/>
      <c r="W7" s="21"/>
      <c r="X7" s="21"/>
    </row>
    <row r="8" spans="1:26" ht="14.25" customHeight="1">
      <c r="A8" s="13"/>
      <c r="B8" s="22" t="s">
        <v>12</v>
      </c>
      <c r="C8" s="13"/>
      <c r="D8" s="13"/>
      <c r="E8" s="13"/>
      <c r="F8" s="13"/>
      <c r="G8" s="13"/>
      <c r="H8" s="13"/>
      <c r="I8" s="23"/>
      <c r="J8" s="24"/>
      <c r="K8" s="10"/>
      <c r="L8" s="10"/>
      <c r="M8" s="10"/>
      <c r="N8" s="10"/>
      <c r="O8" s="10"/>
      <c r="P8" s="10"/>
      <c r="Q8" s="10"/>
      <c r="R8" s="13"/>
      <c r="S8" s="13"/>
      <c r="T8" s="13"/>
      <c r="U8" s="13"/>
      <c r="V8" s="13"/>
      <c r="W8" s="13"/>
      <c r="X8" s="13"/>
    </row>
    <row r="9" spans="1:26" ht="14.25" customHeight="1">
      <c r="A9" s="16" t="s">
        <v>13</v>
      </c>
      <c r="B9" s="21"/>
      <c r="C9" s="21"/>
      <c r="D9" s="21"/>
      <c r="E9" s="21"/>
      <c r="F9" s="21"/>
      <c r="G9" s="21"/>
      <c r="H9" s="21"/>
      <c r="I9" s="25"/>
      <c r="J9" s="20" t="s">
        <v>14</v>
      </c>
      <c r="K9" s="26"/>
      <c r="L9" s="26"/>
      <c r="M9" s="26"/>
      <c r="N9" s="26"/>
      <c r="O9" s="27"/>
      <c r="P9" s="27"/>
      <c r="Q9" s="27"/>
      <c r="R9" s="26"/>
      <c r="S9" s="27"/>
      <c r="T9" s="27"/>
      <c r="U9" s="28"/>
      <c r="V9" s="27"/>
      <c r="W9" s="28"/>
      <c r="X9" s="26"/>
    </row>
    <row r="10" spans="1:26" ht="14.25" customHeight="1">
      <c r="B10" s="29" t="s">
        <v>15</v>
      </c>
      <c r="C10" s="30"/>
      <c r="D10" s="30"/>
      <c r="E10" s="30"/>
      <c r="F10" s="30"/>
      <c r="G10" s="30"/>
      <c r="H10" s="30"/>
      <c r="I10" s="5"/>
      <c r="J10" s="17"/>
      <c r="K10" s="31" t="s">
        <v>15</v>
      </c>
      <c r="M10" s="17"/>
      <c r="N10" s="32"/>
      <c r="O10" s="33"/>
      <c r="P10" s="33"/>
      <c r="Q10" s="34"/>
      <c r="R10" s="35"/>
      <c r="S10" s="33"/>
      <c r="T10" s="33"/>
      <c r="U10" s="34"/>
      <c r="V10" s="33"/>
      <c r="W10" s="33"/>
      <c r="X10" s="33"/>
    </row>
    <row r="11" spans="1:26" ht="14.25" customHeight="1">
      <c r="B11" s="36" t="s">
        <v>16</v>
      </c>
      <c r="C11" s="30"/>
      <c r="D11" s="30"/>
      <c r="E11" s="30"/>
      <c r="F11" s="30"/>
      <c r="G11" s="30"/>
      <c r="H11" s="30"/>
      <c r="I11" s="5"/>
      <c r="J11" s="4"/>
      <c r="K11" s="37" t="s">
        <v>17</v>
      </c>
      <c r="L11" s="17"/>
      <c r="N11" s="32"/>
      <c r="O11" s="17"/>
      <c r="P11" s="17"/>
      <c r="Q11" s="17"/>
      <c r="R11" s="17"/>
      <c r="S11" s="17"/>
    </row>
    <row r="12" spans="1:26" ht="14.25" customHeight="1">
      <c r="B12" s="30" t="s">
        <v>18</v>
      </c>
      <c r="C12" s="30"/>
      <c r="D12" s="30"/>
      <c r="E12" s="30"/>
      <c r="F12" s="30"/>
      <c r="G12" s="30"/>
      <c r="H12" s="30"/>
      <c r="I12" s="5"/>
      <c r="J12" s="4"/>
      <c r="K12" s="37" t="s">
        <v>19</v>
      </c>
      <c r="N12" s="38"/>
      <c r="O12" s="39"/>
    </row>
    <row r="13" spans="1:26" ht="16.5" customHeight="1">
      <c r="B13" s="17" t="s">
        <v>20</v>
      </c>
      <c r="C13" s="30"/>
      <c r="D13" s="30"/>
      <c r="E13" s="30"/>
      <c r="F13" s="30"/>
      <c r="G13" s="30"/>
      <c r="H13" s="30"/>
      <c r="I13" s="5"/>
      <c r="J13" s="4"/>
      <c r="K13" s="37" t="s">
        <v>21</v>
      </c>
      <c r="N13" s="38"/>
      <c r="O13" s="40"/>
      <c r="Z13" s="41"/>
    </row>
    <row r="14" spans="1:26" ht="14.25" customHeight="1">
      <c r="B14" s="17" t="s">
        <v>22</v>
      </c>
      <c r="C14" s="30"/>
      <c r="D14" s="30"/>
      <c r="E14" s="30"/>
      <c r="F14" s="30"/>
      <c r="G14" s="30"/>
      <c r="H14" s="30"/>
      <c r="I14" s="5"/>
      <c r="Y14" s="34"/>
      <c r="Z14" s="34"/>
    </row>
    <row r="15" spans="1:26" ht="15" customHeight="1">
      <c r="B15" s="17" t="s">
        <v>23</v>
      </c>
      <c r="C15" s="30"/>
      <c r="D15" s="30"/>
      <c r="E15" s="30"/>
      <c r="F15" s="30"/>
      <c r="G15" s="30"/>
      <c r="H15" s="30"/>
      <c r="I15" s="5"/>
      <c r="J15" s="20" t="s">
        <v>24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8"/>
      <c r="X15" s="26"/>
      <c r="Y15" s="42"/>
      <c r="Z15" s="43"/>
    </row>
    <row r="16" spans="1:26" ht="14.25" customHeight="1">
      <c r="B16" s="17" t="s">
        <v>25</v>
      </c>
      <c r="C16" s="30"/>
      <c r="D16" s="30"/>
      <c r="E16" s="30"/>
      <c r="F16" s="30"/>
      <c r="G16" s="30"/>
      <c r="H16" s="30"/>
      <c r="I16" s="5"/>
      <c r="J16" s="17"/>
      <c r="K16" s="32" t="s">
        <v>26</v>
      </c>
      <c r="L16" s="17" t="s">
        <v>27</v>
      </c>
      <c r="M16" s="17"/>
      <c r="N16" s="32" t="s">
        <v>28</v>
      </c>
      <c r="O16" s="44" t="s">
        <v>29</v>
      </c>
      <c r="Q16" s="44"/>
      <c r="R16" s="45"/>
      <c r="S16" s="44"/>
      <c r="U16" s="44"/>
      <c r="W16" s="44"/>
      <c r="X16" s="45"/>
      <c r="Y16" s="46"/>
      <c r="Z16" s="46"/>
    </row>
    <row r="17" spans="1:27" ht="14.25" customHeight="1">
      <c r="I17" s="47"/>
      <c r="K17" s="38" t="s">
        <v>26</v>
      </c>
      <c r="L17" s="2" t="s">
        <v>30</v>
      </c>
      <c r="N17" s="38" t="s">
        <v>28</v>
      </c>
      <c r="O17" s="48" t="s">
        <v>31</v>
      </c>
      <c r="Q17" s="48"/>
      <c r="R17" s="49"/>
      <c r="S17" s="50"/>
      <c r="T17" s="51"/>
      <c r="U17" s="49"/>
      <c r="W17" s="48"/>
      <c r="X17" s="45"/>
      <c r="Y17" s="52"/>
      <c r="Z17" s="52"/>
    </row>
    <row r="18" spans="1:27" ht="14.25" customHeight="1">
      <c r="B18" s="53"/>
      <c r="C18" s="54"/>
      <c r="D18" s="54"/>
      <c r="E18" s="54"/>
      <c r="F18" s="54"/>
      <c r="G18" s="54"/>
      <c r="H18" s="54"/>
      <c r="I18" s="47"/>
      <c r="K18" s="38" t="s">
        <v>26</v>
      </c>
      <c r="L18" s="2" t="s">
        <v>32</v>
      </c>
      <c r="N18" s="38" t="s">
        <v>28</v>
      </c>
      <c r="O18" s="49" t="s">
        <v>33</v>
      </c>
      <c r="Q18" s="48"/>
      <c r="S18" s="49"/>
      <c r="T18" s="51"/>
      <c r="U18" s="48"/>
      <c r="W18" s="48"/>
      <c r="X18" s="45"/>
      <c r="Y18" s="17"/>
      <c r="Z18" s="17"/>
      <c r="AA18" s="17"/>
    </row>
    <row r="19" spans="1:27" ht="14.25" customHeight="1">
      <c r="A19" s="16" t="s">
        <v>34</v>
      </c>
      <c r="B19" s="21"/>
      <c r="C19" s="21"/>
      <c r="D19" s="21"/>
      <c r="E19" s="21"/>
      <c r="F19" s="21"/>
      <c r="G19" s="21"/>
      <c r="H19" s="21"/>
      <c r="I19" s="55"/>
      <c r="K19" s="38" t="s">
        <v>26</v>
      </c>
      <c r="L19" s="2" t="s">
        <v>35</v>
      </c>
      <c r="N19" s="38" t="s">
        <v>28</v>
      </c>
      <c r="O19" s="56" t="s">
        <v>36</v>
      </c>
      <c r="P19" s="17"/>
      <c r="Q19" s="57"/>
      <c r="S19" s="49"/>
      <c r="U19" s="48"/>
      <c r="W19" s="56"/>
      <c r="X19" s="58"/>
      <c r="Y19" s="44"/>
      <c r="Z19" s="44"/>
      <c r="AA19" s="44"/>
    </row>
    <row r="20" spans="1:27" ht="14.25" customHeight="1">
      <c r="B20" s="59" t="s">
        <v>37</v>
      </c>
      <c r="C20" s="59"/>
      <c r="D20" s="59"/>
      <c r="E20" s="59"/>
      <c r="F20" s="59"/>
      <c r="G20" s="59"/>
      <c r="H20" s="59"/>
      <c r="I20" s="60"/>
      <c r="J20" s="61"/>
      <c r="O20" s="62">
        <v>4</v>
      </c>
      <c r="P20" s="17"/>
      <c r="Q20" s="63"/>
      <c r="S20" s="62"/>
      <c r="U20" s="64"/>
      <c r="W20" s="64"/>
      <c r="X20" s="65"/>
      <c r="Y20" s="66"/>
      <c r="Z20" s="66"/>
      <c r="AA20" s="66"/>
    </row>
    <row r="21" spans="1:27" ht="14.25" customHeight="1">
      <c r="B21" s="67" t="s">
        <v>38</v>
      </c>
      <c r="C21" s="67"/>
      <c r="D21" s="67"/>
      <c r="E21" s="67"/>
      <c r="F21" s="67"/>
      <c r="G21" s="67"/>
      <c r="H21" s="67"/>
      <c r="I21" s="68"/>
      <c r="K21" s="38" t="s">
        <v>26</v>
      </c>
      <c r="L21" s="2" t="s">
        <v>39</v>
      </c>
      <c r="N21" s="38" t="s">
        <v>28</v>
      </c>
      <c r="O21" s="50">
        <v>66</v>
      </c>
      <c r="P21" s="17"/>
      <c r="Q21" s="69"/>
      <c r="S21" s="50"/>
      <c r="U21" s="70"/>
      <c r="W21" s="70"/>
      <c r="X21" s="33"/>
      <c r="Y21" s="66"/>
      <c r="Z21" s="66"/>
      <c r="AA21" s="66"/>
    </row>
    <row r="22" spans="1:27" ht="15" customHeight="1">
      <c r="B22" s="71" t="s">
        <v>40</v>
      </c>
      <c r="C22" s="71"/>
      <c r="D22" s="71"/>
      <c r="E22" s="71"/>
      <c r="F22" s="71"/>
      <c r="G22" s="71"/>
      <c r="H22" s="71"/>
      <c r="I22" s="72"/>
      <c r="K22" s="38" t="s">
        <v>26</v>
      </c>
      <c r="L22" s="2" t="s">
        <v>41</v>
      </c>
      <c r="N22" s="38" t="s">
        <v>28</v>
      </c>
      <c r="O22" s="50" t="s">
        <v>42</v>
      </c>
      <c r="P22" s="17"/>
      <c r="Q22" s="50"/>
      <c r="S22" s="50"/>
      <c r="U22" s="70"/>
      <c r="W22" s="73"/>
      <c r="X22" s="42"/>
      <c r="Y22" s="74"/>
      <c r="Z22" s="74"/>
      <c r="AA22" s="74"/>
    </row>
    <row r="23" spans="1:27" ht="14.25" customHeight="1">
      <c r="B23" s="71" t="s">
        <v>43</v>
      </c>
      <c r="C23" s="71"/>
      <c r="D23" s="71"/>
      <c r="E23" s="71"/>
      <c r="F23" s="71"/>
      <c r="G23" s="71"/>
      <c r="H23" s="71"/>
      <c r="I23" s="72"/>
      <c r="K23" s="38" t="s">
        <v>26</v>
      </c>
      <c r="L23" s="2" t="s">
        <v>44</v>
      </c>
      <c r="N23" s="38" t="s">
        <v>28</v>
      </c>
      <c r="O23" s="75">
        <v>126</v>
      </c>
      <c r="P23" s="17"/>
      <c r="Q23" s="75"/>
      <c r="S23" s="75"/>
      <c r="U23" s="75"/>
      <c r="W23" s="75"/>
      <c r="X23" s="76"/>
      <c r="Y23" s="77"/>
      <c r="Z23" s="77"/>
      <c r="AA23" s="77"/>
    </row>
    <row r="24" spans="1:27" ht="14.25" customHeight="1">
      <c r="A24" s="4"/>
      <c r="B24" s="78" t="s">
        <v>45</v>
      </c>
      <c r="C24" s="78"/>
      <c r="D24" s="78"/>
      <c r="E24" s="78"/>
      <c r="F24" s="78"/>
      <c r="G24" s="78"/>
      <c r="H24" s="78"/>
      <c r="I24" s="72"/>
      <c r="K24" s="79" t="s">
        <v>46</v>
      </c>
      <c r="L24" s="2" t="s">
        <v>47</v>
      </c>
      <c r="N24" s="38" t="s">
        <v>28</v>
      </c>
      <c r="O24" s="80">
        <f>O20*32</f>
        <v>128</v>
      </c>
      <c r="P24" s="17"/>
      <c r="Q24" s="80"/>
      <c r="S24" s="80"/>
      <c r="U24" s="80"/>
      <c r="W24" s="80"/>
      <c r="X24" s="76"/>
      <c r="Y24" s="33"/>
      <c r="Z24" s="33"/>
      <c r="AA24" s="33"/>
    </row>
    <row r="25" spans="1:27" ht="14.25" customHeight="1">
      <c r="A25" s="4"/>
      <c r="B25" s="71" t="s">
        <v>48</v>
      </c>
      <c r="C25" s="71"/>
      <c r="D25" s="71"/>
      <c r="E25" s="71"/>
      <c r="F25" s="71"/>
      <c r="G25" s="71"/>
      <c r="H25" s="71"/>
      <c r="I25" s="72"/>
      <c r="K25" s="81"/>
      <c r="L25" s="82"/>
      <c r="M25" s="82"/>
      <c r="N25" s="83"/>
      <c r="O25" s="74"/>
      <c r="P25" s="84"/>
      <c r="Q25" s="74"/>
      <c r="R25" s="82"/>
      <c r="S25" s="74"/>
      <c r="T25" s="82"/>
      <c r="U25" s="74"/>
      <c r="V25" s="82"/>
      <c r="W25" s="74"/>
      <c r="X25" s="85"/>
      <c r="Y25" s="33"/>
      <c r="Z25" s="33"/>
      <c r="AA25" s="33"/>
    </row>
    <row r="26" spans="1:27" ht="12.75" customHeight="1">
      <c r="A26" s="13"/>
      <c r="B26" s="86"/>
      <c r="C26" s="86"/>
      <c r="D26" s="86"/>
      <c r="E26" s="86"/>
      <c r="F26" s="86"/>
      <c r="G26" s="86"/>
      <c r="H26" s="86"/>
      <c r="I26" s="87"/>
      <c r="J26" s="17"/>
      <c r="K26" s="84"/>
      <c r="L26" s="84"/>
      <c r="M26" s="84"/>
      <c r="N26" s="84"/>
      <c r="O26" s="40"/>
      <c r="P26" s="88"/>
      <c r="Q26" s="89"/>
      <c r="R26" s="90"/>
      <c r="S26" s="74"/>
      <c r="T26" s="82"/>
      <c r="U26" s="40"/>
      <c r="V26" s="84"/>
      <c r="W26" s="84"/>
      <c r="X26" s="91"/>
      <c r="Y26" s="92"/>
      <c r="Z26" s="52"/>
      <c r="AA26" s="52"/>
    </row>
    <row r="27" spans="1:27" ht="14.25" customHeight="1">
      <c r="A27" s="61" t="s">
        <v>49</v>
      </c>
      <c r="C27" s="4"/>
      <c r="D27" s="4"/>
      <c r="E27" s="47"/>
      <c r="F27" s="93" t="s">
        <v>50</v>
      </c>
      <c r="G27" s="3"/>
      <c r="H27" s="3"/>
      <c r="I27" s="94"/>
      <c r="J27" s="17"/>
      <c r="K27" s="32" t="s">
        <v>51</v>
      </c>
      <c r="L27" s="17" t="s">
        <v>52</v>
      </c>
      <c r="M27" s="17"/>
      <c r="N27" s="32" t="s">
        <v>53</v>
      </c>
      <c r="O27" s="66"/>
      <c r="P27" s="95"/>
      <c r="Q27" s="44"/>
      <c r="R27" s="44"/>
      <c r="S27" s="44"/>
      <c r="T27" s="45"/>
      <c r="U27" s="44"/>
      <c r="V27" s="45"/>
      <c r="W27" s="44"/>
      <c r="X27" s="44"/>
    </row>
    <row r="28" spans="1:27" ht="14.25" customHeight="1">
      <c r="A28" s="13"/>
      <c r="B28" s="96" t="s">
        <v>54</v>
      </c>
      <c r="C28" s="96"/>
      <c r="D28" s="96"/>
      <c r="E28" s="97"/>
      <c r="F28" s="13"/>
      <c r="G28" s="96" t="s">
        <v>55</v>
      </c>
      <c r="H28" s="96"/>
      <c r="I28" s="97"/>
      <c r="J28" s="17"/>
      <c r="K28" s="32" t="s">
        <v>51</v>
      </c>
      <c r="L28" s="2" t="s">
        <v>56</v>
      </c>
      <c r="M28" s="17"/>
      <c r="N28" s="32" t="s">
        <v>53</v>
      </c>
      <c r="O28" s="98"/>
      <c r="P28" s="99"/>
      <c r="Q28" s="99"/>
      <c r="R28" s="66"/>
      <c r="S28" s="17"/>
      <c r="T28" s="17"/>
      <c r="U28" s="66"/>
      <c r="V28" s="42"/>
      <c r="W28" s="66"/>
      <c r="X28" s="66"/>
      <c r="Y28" s="17"/>
      <c r="Z28" s="17"/>
    </row>
    <row r="29" spans="1:27" ht="14.25" customHeight="1">
      <c r="A29" s="61" t="s">
        <v>57</v>
      </c>
      <c r="C29" s="4"/>
      <c r="D29" s="4"/>
      <c r="E29" s="47"/>
      <c r="F29" s="100" t="s">
        <v>58</v>
      </c>
      <c r="G29" s="3"/>
      <c r="H29" s="3"/>
      <c r="I29" s="94"/>
      <c r="J29" s="17"/>
      <c r="K29" s="32" t="s">
        <v>51</v>
      </c>
      <c r="L29" s="2" t="s">
        <v>59</v>
      </c>
      <c r="M29" s="17"/>
      <c r="N29" s="32" t="s">
        <v>53</v>
      </c>
      <c r="O29" s="66" t="s">
        <v>60</v>
      </c>
      <c r="P29" s="42"/>
      <c r="Q29" s="66"/>
      <c r="R29" s="66"/>
      <c r="S29" s="66"/>
      <c r="T29" s="17"/>
      <c r="U29" s="66"/>
      <c r="V29" s="42"/>
      <c r="W29" s="66"/>
      <c r="X29" s="66"/>
      <c r="Y29" s="17"/>
      <c r="Z29" s="17"/>
    </row>
    <row r="30" spans="1:27" ht="12.75">
      <c r="A30" s="101"/>
      <c r="B30" s="102"/>
      <c r="C30" s="102"/>
      <c r="D30" s="102"/>
      <c r="E30" s="103"/>
      <c r="F30" s="104"/>
      <c r="G30" s="105"/>
      <c r="H30" s="106"/>
      <c r="I30" s="107"/>
      <c r="J30" s="17"/>
      <c r="K30" s="32" t="s">
        <v>51</v>
      </c>
      <c r="L30" s="2" t="s">
        <v>61</v>
      </c>
      <c r="M30" s="17"/>
      <c r="N30" s="32" t="s">
        <v>53</v>
      </c>
      <c r="O30" s="108" t="s">
        <v>62</v>
      </c>
      <c r="P30" s="109"/>
      <c r="Q30" s="41"/>
      <c r="R30" s="110"/>
      <c r="S30" s="111"/>
      <c r="T30" s="111"/>
      <c r="U30" s="111"/>
      <c r="V30" s="109"/>
      <c r="W30" s="41"/>
      <c r="X30" s="17"/>
    </row>
    <row r="31" spans="1:27" ht="15" customHeight="1">
      <c r="A31" s="16" t="s">
        <v>63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6"/>
      <c r="S31" s="16"/>
      <c r="T31" s="21"/>
      <c r="U31" s="21"/>
      <c r="V31" s="21"/>
      <c r="W31" s="21"/>
      <c r="X31" s="21"/>
    </row>
    <row r="32" spans="1:27" ht="15" customHeight="1"/>
    <row r="33" spans="1:25" ht="15" customHeight="1">
      <c r="A33" s="112" t="s">
        <v>64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</row>
    <row r="34" spans="1:25" ht="15" customHeight="1">
      <c r="A34" s="38"/>
      <c r="B34" s="113"/>
      <c r="C34" s="113"/>
      <c r="D34" s="113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2"/>
      <c r="P34" s="32"/>
      <c r="Q34" s="32"/>
      <c r="R34" s="32"/>
      <c r="S34" s="32"/>
      <c r="T34" s="32"/>
      <c r="U34" s="32"/>
      <c r="V34" s="32"/>
      <c r="W34" s="32"/>
    </row>
    <row r="35" spans="1:25" s="17" customFormat="1" ht="15" customHeight="1">
      <c r="E35" s="114" t="s">
        <v>65</v>
      </c>
      <c r="F35" s="114"/>
      <c r="G35" s="115"/>
      <c r="H35" s="115"/>
      <c r="I35" s="115"/>
      <c r="J35" s="114"/>
      <c r="K35" s="114"/>
      <c r="L35" s="114"/>
      <c r="M35" s="116">
        <v>64512</v>
      </c>
      <c r="N35" s="114"/>
      <c r="O35" s="117">
        <v>0.54790000000000005</v>
      </c>
      <c r="P35" s="114"/>
      <c r="Q35" s="114"/>
      <c r="R35" s="114"/>
      <c r="S35" s="118">
        <f>ROUND(M35*O35,2)</f>
        <v>35346.120000000003</v>
      </c>
      <c r="T35" s="118"/>
      <c r="U35" s="118"/>
      <c r="V35" s="118"/>
      <c r="W35" s="118"/>
      <c r="Y35" s="2"/>
    </row>
    <row r="36" spans="1:25" s="17" customFormat="1" ht="15" customHeight="1">
      <c r="E36" s="51" t="s">
        <v>66</v>
      </c>
      <c r="F36" s="114"/>
      <c r="G36" s="115"/>
      <c r="H36" s="115"/>
      <c r="I36" s="115"/>
      <c r="J36" s="114"/>
      <c r="K36" s="114"/>
      <c r="L36" s="114"/>
      <c r="M36" s="116"/>
      <c r="N36" s="114"/>
      <c r="O36" s="117"/>
      <c r="P36" s="114"/>
      <c r="Q36" s="114"/>
      <c r="R36" s="114"/>
      <c r="S36" s="119"/>
      <c r="T36" s="118"/>
      <c r="U36" s="118"/>
      <c r="V36" s="118"/>
      <c r="W36" s="118"/>
      <c r="Y36" s="2"/>
    </row>
    <row r="37" spans="1:25" s="17" customFormat="1" ht="15" customHeight="1">
      <c r="E37" s="51"/>
      <c r="F37" s="114"/>
      <c r="G37" s="115"/>
      <c r="H37" s="115"/>
      <c r="I37" s="115"/>
      <c r="J37" s="114"/>
      <c r="K37" s="114"/>
      <c r="L37" s="114"/>
      <c r="M37" s="116"/>
      <c r="N37" s="114"/>
      <c r="O37" s="117"/>
      <c r="P37" s="114"/>
      <c r="Q37" s="114"/>
      <c r="R37" s="114"/>
      <c r="S37" s="119"/>
      <c r="T37" s="118"/>
      <c r="U37" s="118"/>
      <c r="V37" s="118"/>
      <c r="W37" s="118"/>
    </row>
    <row r="38" spans="1:25" ht="15" customHeight="1">
      <c r="B38" s="120"/>
      <c r="D38" s="121"/>
      <c r="E38" s="122" t="s">
        <v>67</v>
      </c>
      <c r="F38" s="26"/>
      <c r="G38" s="26"/>
      <c r="H38" s="26"/>
      <c r="I38" s="26"/>
      <c r="J38" s="123"/>
      <c r="K38" s="123"/>
      <c r="L38" s="123"/>
      <c r="M38" s="123"/>
      <c r="N38" s="123"/>
      <c r="O38" s="124"/>
      <c r="P38" s="125"/>
      <c r="Q38" s="126"/>
      <c r="R38" s="126"/>
      <c r="S38" s="126"/>
      <c r="T38" s="126"/>
      <c r="U38" s="126"/>
      <c r="V38" s="126"/>
      <c r="W38" s="126"/>
      <c r="X38" s="21"/>
    </row>
    <row r="39" spans="1:25" ht="15" customHeight="1">
      <c r="A39" s="120" t="s">
        <v>68</v>
      </c>
      <c r="B39" s="120"/>
      <c r="D39" s="121"/>
      <c r="E39" s="50"/>
      <c r="F39" s="121"/>
      <c r="G39" s="121"/>
      <c r="H39" s="121"/>
      <c r="I39" s="121"/>
      <c r="J39" s="127"/>
      <c r="K39" s="127"/>
      <c r="L39" s="127"/>
      <c r="M39" s="127"/>
      <c r="N39" s="127"/>
      <c r="O39" s="121"/>
      <c r="P39" s="128"/>
      <c r="Q39" s="128"/>
      <c r="R39" s="118"/>
      <c r="S39" s="129"/>
      <c r="T39" s="129"/>
      <c r="U39" s="130"/>
      <c r="V39" s="129"/>
      <c r="W39" s="129"/>
      <c r="X39" s="4"/>
    </row>
    <row r="40" spans="1:25" ht="15" customHeight="1">
      <c r="A40" s="120" t="s">
        <v>69</v>
      </c>
      <c r="B40" s="120"/>
      <c r="D40" s="121"/>
      <c r="E40" s="50"/>
      <c r="F40" s="121"/>
      <c r="G40" s="121"/>
      <c r="H40" s="121"/>
      <c r="I40" s="121"/>
      <c r="J40" s="127"/>
      <c r="K40" s="127"/>
      <c r="L40" s="127"/>
      <c r="M40" s="127"/>
      <c r="N40" s="127"/>
      <c r="O40" s="121"/>
      <c r="P40" s="128"/>
      <c r="Q40" s="128"/>
      <c r="R40" s="118"/>
      <c r="S40" s="129"/>
      <c r="T40" s="129"/>
      <c r="U40" s="130"/>
      <c r="V40" s="129"/>
      <c r="W40" s="129"/>
    </row>
    <row r="41" spans="1:25" ht="15" customHeight="1">
      <c r="A41" s="120"/>
      <c r="B41" s="120"/>
      <c r="D41" s="4"/>
      <c r="E41" s="70"/>
      <c r="F41" s="4"/>
      <c r="G41" s="4"/>
      <c r="H41" s="4"/>
      <c r="I41" s="4"/>
      <c r="J41" s="131"/>
      <c r="K41" s="131"/>
      <c r="L41" s="131"/>
      <c r="M41" s="131"/>
      <c r="N41" s="131"/>
      <c r="O41" s="4"/>
      <c r="P41" s="132"/>
      <c r="Q41" s="132"/>
      <c r="R41" s="133"/>
      <c r="S41" s="134"/>
      <c r="T41" s="134"/>
      <c r="U41" s="134"/>
      <c r="V41" s="134"/>
      <c r="W41" s="134"/>
    </row>
    <row r="42" spans="1:25" ht="15" customHeight="1">
      <c r="A42" s="120"/>
      <c r="B42" s="120"/>
      <c r="D42" s="4"/>
      <c r="E42" s="70"/>
      <c r="F42" s="4"/>
      <c r="G42" s="4"/>
      <c r="H42" s="4"/>
      <c r="I42" s="4"/>
      <c r="J42" s="131"/>
      <c r="K42" s="131"/>
      <c r="L42" s="131"/>
      <c r="M42" s="131"/>
      <c r="N42" s="131"/>
      <c r="O42" s="4"/>
      <c r="P42" s="132"/>
      <c r="Q42" s="132"/>
      <c r="R42" s="133"/>
      <c r="S42" s="134"/>
      <c r="T42" s="134"/>
      <c r="U42" s="134"/>
      <c r="V42" s="134"/>
      <c r="W42" s="134"/>
    </row>
    <row r="43" spans="1:25" ht="15" customHeight="1">
      <c r="A43" s="120"/>
      <c r="B43" s="120"/>
      <c r="D43" s="4"/>
      <c r="E43" s="70"/>
      <c r="F43" s="4"/>
      <c r="G43" s="4"/>
      <c r="H43" s="4"/>
      <c r="I43" s="4"/>
      <c r="J43" s="131"/>
      <c r="K43" s="131"/>
      <c r="L43" s="131"/>
      <c r="M43" s="131"/>
      <c r="N43" s="131"/>
      <c r="O43" s="4"/>
      <c r="P43" s="132"/>
      <c r="Q43" s="132"/>
      <c r="R43" s="133"/>
      <c r="S43" s="134"/>
      <c r="T43" s="134"/>
      <c r="U43" s="134"/>
      <c r="V43" s="134"/>
      <c r="W43" s="134"/>
    </row>
    <row r="44" spans="1:25" ht="15" customHeight="1">
      <c r="A44" s="120"/>
      <c r="B44" s="120"/>
      <c r="D44" s="4"/>
      <c r="E44" s="70"/>
      <c r="F44" s="4"/>
      <c r="G44" s="4"/>
      <c r="H44" s="4"/>
      <c r="I44" s="4"/>
      <c r="J44" s="131"/>
      <c r="K44" s="131"/>
      <c r="L44" s="131"/>
      <c r="M44" s="131"/>
      <c r="N44" s="131"/>
      <c r="O44" s="4"/>
      <c r="P44" s="132"/>
      <c r="Q44" s="132"/>
      <c r="R44" s="133"/>
      <c r="S44" s="134"/>
      <c r="T44" s="134"/>
      <c r="U44" s="134"/>
      <c r="V44" s="134"/>
      <c r="W44" s="134"/>
    </row>
    <row r="45" spans="1:25" ht="15" customHeight="1">
      <c r="A45" s="120"/>
      <c r="B45" s="120"/>
      <c r="D45" s="4"/>
      <c r="E45" s="70"/>
      <c r="F45" s="4"/>
      <c r="G45" s="4"/>
      <c r="H45" s="4"/>
      <c r="I45" s="4"/>
      <c r="J45" s="131"/>
      <c r="K45" s="131"/>
      <c r="L45" s="131"/>
      <c r="M45" s="131"/>
      <c r="N45" s="131"/>
      <c r="O45" s="4"/>
      <c r="P45" s="132"/>
      <c r="Q45" s="132"/>
      <c r="R45" s="133"/>
      <c r="S45" s="134"/>
      <c r="T45" s="134"/>
      <c r="U45" s="134"/>
      <c r="V45" s="134"/>
      <c r="W45" s="134"/>
    </row>
    <row r="46" spans="1:25" ht="15" customHeight="1">
      <c r="A46" s="120"/>
      <c r="B46" s="120"/>
      <c r="D46" s="4"/>
      <c r="E46" s="70"/>
      <c r="F46" s="4"/>
      <c r="G46" s="4"/>
      <c r="H46" s="4"/>
      <c r="I46" s="4"/>
      <c r="J46" s="131"/>
      <c r="K46" s="131"/>
      <c r="L46" s="131"/>
      <c r="M46" s="131"/>
      <c r="N46" s="131"/>
      <c r="O46" s="4"/>
      <c r="P46" s="132"/>
      <c r="Q46" s="132"/>
      <c r="R46" s="133"/>
      <c r="S46" s="134"/>
      <c r="T46" s="134"/>
      <c r="U46" s="134"/>
      <c r="V46" s="134"/>
      <c r="W46" s="134"/>
    </row>
    <row r="47" spans="1:25" ht="15" customHeight="1">
      <c r="A47" s="120"/>
      <c r="B47" s="120"/>
      <c r="D47" s="4"/>
      <c r="E47" s="70"/>
      <c r="F47" s="4"/>
      <c r="G47" s="4"/>
      <c r="H47" s="4"/>
      <c r="I47" s="4"/>
      <c r="J47" s="131"/>
      <c r="K47" s="131"/>
      <c r="L47" s="131"/>
      <c r="M47" s="131"/>
      <c r="N47" s="131"/>
      <c r="O47" s="4"/>
      <c r="P47" s="132"/>
      <c r="Q47" s="132"/>
      <c r="R47" s="133"/>
      <c r="S47" s="134"/>
      <c r="T47" s="134"/>
      <c r="U47" s="134"/>
      <c r="V47" s="134"/>
      <c r="W47" s="134"/>
    </row>
    <row r="48" spans="1:25" ht="15" customHeight="1">
      <c r="A48" s="120"/>
      <c r="B48" s="120"/>
      <c r="D48" s="4"/>
      <c r="E48" s="70"/>
      <c r="F48" s="4"/>
      <c r="G48" s="4"/>
      <c r="H48" s="4"/>
      <c r="I48" s="4"/>
      <c r="J48" s="131"/>
      <c r="K48" s="131"/>
      <c r="L48" s="131"/>
      <c r="M48" s="131"/>
      <c r="N48" s="131"/>
      <c r="O48" s="4"/>
      <c r="P48" s="132"/>
      <c r="Q48" s="132"/>
      <c r="R48" s="133"/>
      <c r="S48" s="134"/>
      <c r="T48" s="134"/>
      <c r="U48" s="134"/>
      <c r="V48" s="134"/>
      <c r="W48" s="134"/>
    </row>
    <row r="49" spans="1:26" ht="15" customHeight="1">
      <c r="A49" s="120"/>
      <c r="B49" s="120"/>
      <c r="D49" s="4"/>
      <c r="E49" s="70"/>
      <c r="F49" s="4"/>
      <c r="G49" s="4"/>
      <c r="H49" s="4"/>
      <c r="I49" s="4"/>
      <c r="J49" s="131"/>
      <c r="K49" s="131"/>
      <c r="L49" s="131"/>
      <c r="M49" s="131"/>
      <c r="N49" s="131"/>
      <c r="O49" s="4"/>
      <c r="P49" s="132"/>
      <c r="Q49" s="132"/>
      <c r="R49" s="133"/>
      <c r="S49" s="134"/>
      <c r="T49" s="134"/>
      <c r="U49" s="134"/>
      <c r="V49" s="134"/>
      <c r="W49" s="134"/>
    </row>
    <row r="50" spans="1:26" ht="15" customHeight="1">
      <c r="A50" s="120"/>
      <c r="B50" s="120"/>
      <c r="D50" s="4"/>
      <c r="E50" s="70"/>
      <c r="F50" s="4"/>
      <c r="G50" s="4"/>
      <c r="H50" s="4"/>
      <c r="I50" s="4"/>
      <c r="J50" s="131"/>
      <c r="K50" s="131"/>
      <c r="L50" s="131"/>
      <c r="M50" s="131"/>
      <c r="N50" s="131"/>
      <c r="O50" s="4"/>
      <c r="P50" s="132"/>
      <c r="Q50" s="132"/>
      <c r="R50" s="133"/>
      <c r="S50" s="134"/>
      <c r="T50" s="134"/>
      <c r="U50" s="134"/>
      <c r="V50" s="134"/>
      <c r="W50" s="134"/>
    </row>
    <row r="51" spans="1:26" ht="15" customHeight="1">
      <c r="A51" s="120"/>
      <c r="B51" s="120"/>
      <c r="D51" s="4"/>
      <c r="E51" s="70"/>
      <c r="F51" s="4"/>
      <c r="G51" s="4"/>
      <c r="H51" s="4"/>
      <c r="I51" s="4"/>
      <c r="J51" s="131"/>
      <c r="K51" s="131"/>
      <c r="L51" s="131"/>
      <c r="M51" s="131"/>
      <c r="N51" s="131"/>
      <c r="O51" s="4"/>
      <c r="P51" s="132"/>
      <c r="Q51" s="132"/>
      <c r="R51" s="133"/>
      <c r="S51" s="134"/>
      <c r="T51" s="134"/>
      <c r="U51" s="134"/>
      <c r="V51" s="134"/>
      <c r="W51" s="134"/>
    </row>
    <row r="52" spans="1:26" ht="15" customHeight="1">
      <c r="A52" s="120"/>
      <c r="B52" s="135"/>
      <c r="D52" s="4"/>
      <c r="E52" s="70"/>
      <c r="F52" s="4"/>
      <c r="G52" s="4"/>
      <c r="H52" s="4"/>
      <c r="I52" s="4"/>
      <c r="J52" s="131"/>
      <c r="K52" s="131"/>
      <c r="L52" s="131"/>
      <c r="M52" s="131"/>
      <c r="N52" s="131"/>
      <c r="O52" s="4"/>
      <c r="P52" s="132"/>
      <c r="Q52" s="132"/>
      <c r="R52" s="133"/>
      <c r="S52" s="134"/>
      <c r="T52" s="134"/>
      <c r="U52" s="134"/>
      <c r="V52" s="134"/>
      <c r="W52" s="134"/>
    </row>
    <row r="53" spans="1:26" ht="15" customHeight="1">
      <c r="A53" s="120"/>
      <c r="B53" s="136"/>
      <c r="F53" s="4"/>
      <c r="G53" s="4"/>
      <c r="H53" s="4"/>
      <c r="I53" s="4"/>
      <c r="J53" s="4"/>
      <c r="K53" s="4"/>
      <c r="N53" s="131"/>
      <c r="O53" s="4"/>
      <c r="P53" s="132"/>
      <c r="Q53" s="132"/>
      <c r="R53" s="133"/>
      <c r="S53" s="134"/>
      <c r="T53" s="134"/>
      <c r="U53" s="134"/>
      <c r="V53" s="134"/>
      <c r="W53" s="134"/>
    </row>
    <row r="54" spans="1:26" ht="15" customHeight="1">
      <c r="A54" s="61"/>
      <c r="F54" s="137"/>
      <c r="N54" s="3" t="s">
        <v>70</v>
      </c>
      <c r="O54" s="3"/>
      <c r="Q54" s="13"/>
      <c r="R54" s="13"/>
      <c r="S54" s="13"/>
      <c r="T54" s="13"/>
      <c r="U54" s="13"/>
      <c r="V54" s="13"/>
      <c r="W54" s="4"/>
      <c r="Y54" s="138"/>
      <c r="Z54" s="138"/>
    </row>
    <row r="55" spans="1:26" ht="15" customHeight="1">
      <c r="B55" s="139"/>
      <c r="C55" s="4"/>
      <c r="D55" s="4"/>
      <c r="N55" s="4"/>
      <c r="O55" s="4"/>
      <c r="P55" s="21"/>
      <c r="Q55" s="4"/>
      <c r="R55" s="4"/>
      <c r="W55" s="21"/>
      <c r="X55" s="21"/>
    </row>
    <row r="56" spans="1:26" ht="15" customHeight="1">
      <c r="B56" s="139"/>
      <c r="C56" s="4"/>
      <c r="D56" s="4"/>
      <c r="N56" s="4"/>
      <c r="O56" s="4"/>
      <c r="P56" s="4"/>
      <c r="Q56" s="4"/>
      <c r="R56" s="4"/>
      <c r="W56" s="4"/>
      <c r="X56" s="4"/>
    </row>
    <row r="57" spans="1:26" ht="15" customHeight="1">
      <c r="A57" s="61"/>
      <c r="B57" s="120" t="s">
        <v>71</v>
      </c>
      <c r="C57" s="4"/>
      <c r="D57"/>
      <c r="E57" s="136"/>
      <c r="F57" s="137"/>
      <c r="G57"/>
      <c r="H57"/>
      <c r="I57"/>
      <c r="J57"/>
      <c r="K57"/>
      <c r="L57"/>
      <c r="M57"/>
      <c r="N57" s="4"/>
      <c r="O57" s="4"/>
      <c r="P57" s="4"/>
      <c r="Q57" s="4"/>
      <c r="R57" s="4"/>
      <c r="S57" s="140"/>
      <c r="T57" s="140"/>
      <c r="U57" s="140"/>
      <c r="V57" s="140"/>
      <c r="W57" s="4"/>
      <c r="X57" s="4"/>
    </row>
    <row r="58" spans="1:26" ht="15" customHeight="1">
      <c r="A58"/>
      <c r="B58" s="136"/>
      <c r="C58"/>
      <c r="D58" s="141" t="s">
        <v>72</v>
      </c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3"/>
      <c r="P58"/>
      <c r="Q58"/>
      <c r="R58"/>
      <c r="S58"/>
      <c r="T58"/>
      <c r="U58"/>
      <c r="V58"/>
      <c r="W58"/>
      <c r="X58" s="4"/>
    </row>
    <row r="59" spans="1:26" ht="15" customHeight="1">
      <c r="A59" s="3"/>
      <c r="B59" s="136"/>
      <c r="C59"/>
      <c r="D59" s="144" t="s">
        <v>73</v>
      </c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5"/>
      <c r="Q59"/>
      <c r="X59" s="4"/>
    </row>
    <row r="60" spans="1:26" ht="15" customHeight="1">
      <c r="A60" s="3"/>
      <c r="B60" s="136"/>
      <c r="C60"/>
      <c r="D60" s="144" t="s">
        <v>74</v>
      </c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6"/>
      <c r="Q60"/>
      <c r="X60" s="4"/>
    </row>
    <row r="61" spans="1:26" ht="15" customHeight="1">
      <c r="A61" s="3"/>
      <c r="B61" s="136"/>
      <c r="C61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6"/>
      <c r="Q61"/>
      <c r="X61" s="4"/>
    </row>
    <row r="62" spans="1:26" ht="15" customHeight="1">
      <c r="A62" s="3"/>
      <c r="B62" s="136"/>
      <c r="C62"/>
      <c r="E62"/>
      <c r="O62" s="139"/>
      <c r="Q62"/>
      <c r="X62" s="4"/>
    </row>
    <row r="63" spans="1:26" ht="15" customHeight="1">
      <c r="A63" s="147" t="s">
        <v>75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</row>
    <row r="64" spans="1:26" ht="34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7" ht="16.5" customHeight="1">
      <c r="A65" s="3" t="s">
        <v>76</v>
      </c>
      <c r="B65" s="4"/>
      <c r="C65" s="4"/>
      <c r="D65" s="4"/>
      <c r="E65" s="4"/>
      <c r="F65" s="4"/>
      <c r="G65" s="4"/>
      <c r="H65" s="4"/>
      <c r="I65" s="47"/>
      <c r="J65" s="3" t="s">
        <v>2</v>
      </c>
      <c r="K65" s="3"/>
      <c r="L65" s="3"/>
      <c r="M65" s="148"/>
      <c r="N65" s="148"/>
      <c r="O65" s="148"/>
      <c r="P65" s="148"/>
      <c r="Q65" s="148"/>
      <c r="R65" s="3"/>
      <c r="S65" s="3"/>
      <c r="W65" s="4"/>
      <c r="X65" s="4"/>
    </row>
    <row r="66" spans="1:27" ht="16.5" customHeight="1">
      <c r="B66" s="3" t="str">
        <f>B3</f>
        <v>OT MOTOR VINA CO.,LTD</v>
      </c>
      <c r="I66" s="47"/>
      <c r="J66" s="149"/>
      <c r="K66" s="150"/>
      <c r="L66" s="151"/>
      <c r="M66" s="151"/>
      <c r="N66" s="13"/>
      <c r="O66" s="12">
        <f>+O3</f>
        <v>0</v>
      </c>
      <c r="P66" s="13"/>
      <c r="Q66" s="13"/>
      <c r="R66" s="13"/>
      <c r="S66" s="13"/>
      <c r="T66" s="13"/>
      <c r="U66" s="13"/>
      <c r="V66" s="13"/>
      <c r="W66" s="152"/>
      <c r="X66" s="13"/>
    </row>
    <row r="67" spans="1:27" ht="14.25" customHeight="1">
      <c r="B67" s="4" t="str">
        <f>B4</f>
        <v xml:space="preserve">Land Lot No B-3.1, Nhon Trach 6B Subdivision of IZ, </v>
      </c>
      <c r="I67" s="47"/>
      <c r="J67" s="153" t="s">
        <v>77</v>
      </c>
      <c r="K67" s="21"/>
      <c r="L67" s="21"/>
      <c r="M67" s="154"/>
      <c r="N67" s="21"/>
      <c r="O67" s="155"/>
      <c r="P67" s="155"/>
      <c r="Q67" s="154"/>
      <c r="R67" s="156"/>
      <c r="S67" s="157"/>
      <c r="T67" s="21"/>
      <c r="U67" s="158"/>
      <c r="V67" s="21"/>
      <c r="W67" s="159"/>
      <c r="X67" s="21"/>
    </row>
    <row r="68" spans="1:27" ht="14.25" customHeight="1">
      <c r="B68" s="4" t="str">
        <f>B5</f>
        <v>Nhon Trach 6 IZ, Long Tho Commune, Nhon Trach District</v>
      </c>
      <c r="I68" s="47"/>
      <c r="J68" s="4"/>
      <c r="K68" s="61" t="str">
        <f>+K10</f>
        <v>ZF Passive Safety US Inc.</v>
      </c>
      <c r="M68" s="160"/>
      <c r="O68" s="161"/>
      <c r="P68" s="161"/>
      <c r="Q68" s="160"/>
      <c r="S68" s="162"/>
      <c r="T68" s="161"/>
      <c r="U68" s="163"/>
      <c r="V68" s="4"/>
      <c r="W68" s="164"/>
      <c r="X68" s="4"/>
    </row>
    <row r="69" spans="1:27" ht="14.25" customHeight="1">
      <c r="B69" s="4" t="str">
        <f>B6</f>
        <v>Dong Nai Province, Vietnam</v>
      </c>
      <c r="I69" s="47"/>
      <c r="J69" s="4"/>
      <c r="K69" s="2" t="str">
        <f>+K11</f>
        <v>Boulevard Mike Allen 1370 SN</v>
      </c>
      <c r="M69" s="160"/>
      <c r="O69" s="161"/>
      <c r="P69" s="161"/>
      <c r="Q69" s="160"/>
      <c r="S69" s="162"/>
      <c r="U69" s="163"/>
      <c r="V69" s="4"/>
      <c r="W69" s="164"/>
      <c r="X69" s="4"/>
    </row>
    <row r="70" spans="1:27" ht="14.25" customHeight="1">
      <c r="B70" s="4" t="str">
        <f>+B7</f>
        <v>TEL: +84 2513 569 066</v>
      </c>
      <c r="I70" s="47"/>
      <c r="J70" s="4"/>
      <c r="K70" s="2" t="str">
        <f>+K12</f>
        <v>Parque Industrial Reynosa Sección Norte</v>
      </c>
      <c r="M70" s="160"/>
      <c r="O70" s="161"/>
      <c r="P70" s="161"/>
      <c r="Q70" s="160"/>
      <c r="S70" s="162"/>
      <c r="U70" s="163"/>
      <c r="V70" s="4"/>
      <c r="W70" s="164"/>
      <c r="X70" s="4"/>
    </row>
    <row r="71" spans="1:27" ht="14.25" customHeight="1">
      <c r="B71" s="2" t="str">
        <f>+B8</f>
        <v>TAX ID: 3603512483</v>
      </c>
      <c r="I71" s="47"/>
      <c r="J71" s="17"/>
      <c r="K71" s="17" t="str">
        <f>+K13</f>
        <v>Reynosa, Tamaulipas CP: 88788 Mexico</v>
      </c>
      <c r="L71" s="17"/>
      <c r="M71" s="160"/>
      <c r="O71" s="161"/>
      <c r="P71" s="161"/>
      <c r="Q71" s="160"/>
      <c r="R71" s="161"/>
      <c r="S71" s="162"/>
      <c r="T71" s="161"/>
      <c r="U71" s="163"/>
      <c r="V71" s="4"/>
      <c r="W71" s="164"/>
      <c r="X71" s="121"/>
    </row>
    <row r="72" spans="1:27" ht="15" customHeight="1">
      <c r="A72" s="16" t="s">
        <v>13</v>
      </c>
      <c r="B72" s="21"/>
      <c r="C72" s="21"/>
      <c r="D72" s="21"/>
      <c r="E72" s="21"/>
      <c r="F72" s="21"/>
      <c r="G72" s="21"/>
      <c r="H72" s="21"/>
      <c r="I72" s="55"/>
      <c r="J72" s="17"/>
      <c r="M72" s="17"/>
      <c r="N72" s="165"/>
      <c r="O72" s="161"/>
      <c r="P72" s="17"/>
      <c r="Q72" s="17"/>
      <c r="R72" s="17"/>
      <c r="S72" s="162"/>
      <c r="T72" s="17"/>
      <c r="U72" s="163"/>
      <c r="V72" s="17"/>
      <c r="W72" s="164"/>
      <c r="X72" s="17"/>
    </row>
    <row r="73" spans="1:27" ht="12" customHeight="1">
      <c r="B73" s="166" t="str">
        <f t="shared" ref="B73:B79" si="0">+B10</f>
        <v>ZF Passive Safety US Inc.</v>
      </c>
      <c r="C73" s="17"/>
      <c r="D73" s="17"/>
      <c r="E73" s="17"/>
      <c r="F73" s="17"/>
      <c r="G73" s="17"/>
      <c r="H73" s="17"/>
      <c r="I73" s="5"/>
      <c r="J73" s="167"/>
      <c r="K73" s="37"/>
      <c r="L73" s="17"/>
      <c r="M73" s="17"/>
      <c r="N73" s="17"/>
      <c r="O73" s="66"/>
      <c r="P73" s="17"/>
      <c r="Q73" s="17"/>
      <c r="R73" s="17"/>
      <c r="S73" s="17"/>
      <c r="T73" s="17"/>
      <c r="U73" s="17"/>
      <c r="V73" s="17"/>
      <c r="W73" s="168"/>
      <c r="X73" s="121"/>
    </row>
    <row r="74" spans="1:27" ht="14.25" customHeight="1">
      <c r="B74" s="121" t="str">
        <f t="shared" si="0"/>
        <v>Seatbelt Division- OUC 454</v>
      </c>
      <c r="C74" s="17"/>
      <c r="D74" s="17"/>
      <c r="E74" s="17"/>
      <c r="F74" s="17"/>
      <c r="G74" s="17"/>
      <c r="H74" s="17"/>
      <c r="I74" s="5"/>
      <c r="J74" s="167"/>
      <c r="K74" s="165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</row>
    <row r="75" spans="1:27" ht="15" customHeight="1">
      <c r="B75" s="121" t="str">
        <f t="shared" si="0"/>
        <v>c/o Laredo Freight Dispatch</v>
      </c>
      <c r="C75" s="17"/>
      <c r="D75" s="17"/>
      <c r="E75" s="17"/>
      <c r="F75" s="17"/>
      <c r="G75" s="17"/>
      <c r="H75" s="17"/>
      <c r="I75" s="5"/>
      <c r="J75" s="153" t="s">
        <v>78</v>
      </c>
      <c r="K75" s="16"/>
      <c r="L75" s="16"/>
      <c r="M75" s="16"/>
      <c r="N75" s="16"/>
      <c r="O75" s="16"/>
      <c r="P75" s="16"/>
      <c r="Q75" s="16"/>
      <c r="R75" s="16"/>
      <c r="S75" s="16"/>
      <c r="T75" s="21"/>
      <c r="U75" s="21"/>
      <c r="V75" s="21"/>
      <c r="W75" s="21"/>
      <c r="X75" s="21"/>
      <c r="Y75" s="169"/>
      <c r="Z75" s="17"/>
      <c r="AA75" s="17"/>
    </row>
    <row r="76" spans="1:27" ht="13.5" customHeight="1">
      <c r="B76" s="121" t="str">
        <f t="shared" si="0"/>
        <v xml:space="preserve">9600 International Blvd.  </v>
      </c>
      <c r="C76" s="17"/>
      <c r="D76" s="17"/>
      <c r="E76" s="17"/>
      <c r="F76" s="17"/>
      <c r="G76" s="17"/>
      <c r="H76" s="17"/>
      <c r="I76" s="5"/>
      <c r="J76" s="93"/>
      <c r="K76" s="113" t="str">
        <f t="shared" ref="K76:L78" si="1">K17</f>
        <v>※</v>
      </c>
      <c r="L76" s="4" t="str">
        <f t="shared" si="1"/>
        <v>P/No.</v>
      </c>
      <c r="M76" s="4"/>
      <c r="N76" s="113" t="str">
        <f t="shared" ref="N76:P83" si="2">N17</f>
        <v>:</v>
      </c>
      <c r="O76" s="120" t="str">
        <f t="shared" si="2"/>
        <v>34100164C</v>
      </c>
      <c r="P76" s="120">
        <f t="shared" si="2"/>
        <v>0</v>
      </c>
      <c r="Q76" s="120"/>
      <c r="R76" s="120"/>
      <c r="S76" s="120"/>
      <c r="T76" s="4"/>
      <c r="U76" s="120"/>
      <c r="V76" s="120"/>
      <c r="W76" s="120"/>
      <c r="X76" s="120">
        <f>X17</f>
        <v>0</v>
      </c>
      <c r="Y76" s="76"/>
      <c r="Z76" s="17"/>
      <c r="AA76" s="17"/>
    </row>
    <row r="77" spans="1:27" ht="13.5" customHeight="1">
      <c r="B77" s="121" t="str">
        <f t="shared" si="0"/>
        <v>Pharr Texas 78577</v>
      </c>
      <c r="C77" s="17"/>
      <c r="D77" s="17"/>
      <c r="E77" s="17"/>
      <c r="F77" s="17"/>
      <c r="G77" s="17"/>
      <c r="H77" s="17"/>
      <c r="I77" s="5"/>
      <c r="J77" s="93"/>
      <c r="K77" s="113" t="str">
        <f t="shared" si="1"/>
        <v>※</v>
      </c>
      <c r="L77" s="4" t="str">
        <f t="shared" si="1"/>
        <v>P/Name</v>
      </c>
      <c r="M77" s="4"/>
      <c r="N77" s="113" t="str">
        <f t="shared" si="2"/>
        <v>:</v>
      </c>
      <c r="O77" s="120" t="str">
        <f t="shared" si="2"/>
        <v>SPR4 SPOOL</v>
      </c>
      <c r="P77" s="120">
        <f t="shared" si="2"/>
        <v>0</v>
      </c>
      <c r="Q77" s="120"/>
      <c r="R77" s="120"/>
      <c r="S77" s="120"/>
      <c r="T77" s="4"/>
      <c r="U77" s="120"/>
      <c r="V77" s="120"/>
      <c r="W77" s="120"/>
      <c r="X77" s="120">
        <f>X18</f>
        <v>0</v>
      </c>
      <c r="Y77" s="52"/>
      <c r="Z77" s="17"/>
      <c r="AA77" s="17"/>
    </row>
    <row r="78" spans="1:27" ht="13.5" customHeight="1">
      <c r="B78" s="121" t="str">
        <f t="shared" si="0"/>
        <v>U.S.A.</v>
      </c>
      <c r="C78" s="17"/>
      <c r="D78" s="17"/>
      <c r="E78" s="17"/>
      <c r="F78" s="17"/>
      <c r="G78" s="17"/>
      <c r="H78" s="17"/>
      <c r="I78" s="5"/>
      <c r="J78" s="170"/>
      <c r="K78" s="113" t="str">
        <f t="shared" si="1"/>
        <v>※</v>
      </c>
      <c r="L78" s="4" t="str">
        <f t="shared" si="1"/>
        <v>SKID No.</v>
      </c>
      <c r="M78" s="4"/>
      <c r="N78" s="113" t="str">
        <f t="shared" si="2"/>
        <v>:</v>
      </c>
      <c r="O78" s="171" t="str">
        <f t="shared" si="2"/>
        <v>232-235</v>
      </c>
      <c r="P78" s="171">
        <f t="shared" si="2"/>
        <v>0</v>
      </c>
      <c r="Q78" s="171"/>
      <c r="R78" s="171"/>
      <c r="S78" s="171"/>
      <c r="T78" s="4"/>
      <c r="U78" s="171"/>
      <c r="V78" s="171"/>
      <c r="W78" s="171"/>
      <c r="X78" s="171">
        <f>X19</f>
        <v>0</v>
      </c>
      <c r="Y78" s="17"/>
      <c r="Z78" s="17"/>
      <c r="AA78" s="17"/>
    </row>
    <row r="79" spans="1:27" ht="13.5" customHeight="1">
      <c r="B79" s="121" t="str">
        <f t="shared" si="0"/>
        <v>TEL:956-632-8100, FAX:956-632-8127</v>
      </c>
      <c r="C79" s="17"/>
      <c r="D79" s="17"/>
      <c r="E79" s="17"/>
      <c r="F79" s="17"/>
      <c r="G79" s="17"/>
      <c r="H79" s="17"/>
      <c r="I79" s="5"/>
      <c r="J79" s="170"/>
      <c r="K79" s="113"/>
      <c r="L79" s="4"/>
      <c r="M79" s="4"/>
      <c r="N79" s="4"/>
      <c r="O79" s="64">
        <f t="shared" si="2"/>
        <v>4</v>
      </c>
      <c r="P79" s="64">
        <f t="shared" si="2"/>
        <v>0</v>
      </c>
      <c r="Q79" s="64"/>
      <c r="R79" s="64"/>
      <c r="S79" s="64"/>
      <c r="T79" s="4"/>
      <c r="U79" s="64"/>
      <c r="V79" s="64"/>
      <c r="W79" s="64"/>
      <c r="X79" s="64"/>
      <c r="Y79" s="17"/>
      <c r="Z79" s="17"/>
      <c r="AA79" s="17"/>
    </row>
    <row r="80" spans="1:27" ht="13.5" customHeight="1">
      <c r="B80" s="4"/>
      <c r="I80" s="47"/>
      <c r="J80" s="93"/>
      <c r="K80" s="113" t="s">
        <v>26</v>
      </c>
      <c r="L80" s="4" t="str">
        <f>L21</f>
        <v>LOT No.</v>
      </c>
      <c r="M80" s="4"/>
      <c r="N80" s="113" t="str">
        <f>N21</f>
        <v>:</v>
      </c>
      <c r="O80" s="172">
        <f t="shared" si="2"/>
        <v>66</v>
      </c>
      <c r="P80" s="172">
        <f t="shared" si="2"/>
        <v>0</v>
      </c>
      <c r="Q80" s="172"/>
      <c r="R80" s="52"/>
      <c r="S80" s="172"/>
      <c r="T80" s="4"/>
      <c r="U80" s="172"/>
      <c r="V80" s="52"/>
      <c r="W80" s="172"/>
      <c r="X80" s="46"/>
      <c r="Y80" s="173"/>
      <c r="Z80" s="17"/>
      <c r="AA80" s="173"/>
    </row>
    <row r="81" spans="1:27" ht="13.5" customHeight="1">
      <c r="B81" s="4"/>
      <c r="I81" s="47"/>
      <c r="J81" s="170"/>
      <c r="K81" s="113" t="s">
        <v>26</v>
      </c>
      <c r="L81" s="4" t="str">
        <f>L22</f>
        <v>C/No.</v>
      </c>
      <c r="M81" s="4"/>
      <c r="N81" s="113" t="str">
        <f>N22</f>
        <v>:</v>
      </c>
      <c r="O81" s="171" t="str">
        <f t="shared" si="2"/>
        <v>7393-7520</v>
      </c>
      <c r="P81" s="171">
        <f t="shared" si="2"/>
        <v>0</v>
      </c>
      <c r="Q81" s="171"/>
      <c r="R81" s="4"/>
      <c r="S81" s="4"/>
      <c r="T81" s="4"/>
      <c r="U81" s="4"/>
      <c r="V81" s="4"/>
      <c r="W81" s="174"/>
      <c r="X81" s="4"/>
      <c r="Y81" s="173"/>
      <c r="Z81" s="17"/>
      <c r="AA81" s="173"/>
    </row>
    <row r="82" spans="1:27" ht="14.25" customHeight="1">
      <c r="A82" s="16" t="s">
        <v>34</v>
      </c>
      <c r="B82" s="21"/>
      <c r="C82" s="21"/>
      <c r="D82" s="21"/>
      <c r="E82" s="21"/>
      <c r="F82" s="21"/>
      <c r="G82" s="21"/>
      <c r="H82" s="21"/>
      <c r="I82" s="55"/>
      <c r="J82" s="170"/>
      <c r="K82" s="113" t="s">
        <v>26</v>
      </c>
      <c r="L82" s="4" t="str">
        <f>L23</f>
        <v>Q'TY/CTN</v>
      </c>
      <c r="M82" s="4"/>
      <c r="N82" s="113" t="str">
        <f>N23</f>
        <v>:</v>
      </c>
      <c r="O82" s="175">
        <f t="shared" si="2"/>
        <v>126</v>
      </c>
      <c r="P82" s="175">
        <f t="shared" si="2"/>
        <v>0</v>
      </c>
      <c r="Q82" s="175"/>
      <c r="R82" s="4"/>
      <c r="S82" s="176"/>
      <c r="T82" s="177"/>
      <c r="U82" s="176"/>
      <c r="V82" s="177"/>
      <c r="W82" s="178"/>
    </row>
    <row r="83" spans="1:27" ht="16.5" customHeight="1">
      <c r="B83" s="166" t="str">
        <f t="shared" ref="B83:B88" si="3">+B20</f>
        <v>MIRSA REYNOSA Plt 1</v>
      </c>
      <c r="C83" s="17"/>
      <c r="D83" s="17"/>
      <c r="E83" s="17"/>
      <c r="F83" s="17"/>
      <c r="G83" s="17"/>
      <c r="H83" s="17"/>
      <c r="I83" s="5"/>
      <c r="J83" s="170"/>
      <c r="K83" s="179" t="s">
        <v>46</v>
      </c>
      <c r="L83" s="4" t="str">
        <f>L24</f>
        <v>CTN Q'TY</v>
      </c>
      <c r="M83" s="4"/>
      <c r="N83" s="113" t="s">
        <v>28</v>
      </c>
      <c r="O83" s="52">
        <f t="shared" si="2"/>
        <v>128</v>
      </c>
      <c r="P83" s="52">
        <f t="shared" si="2"/>
        <v>0</v>
      </c>
      <c r="Q83" s="52"/>
      <c r="R83" s="120"/>
      <c r="S83" s="180"/>
      <c r="T83" s="120"/>
      <c r="U83" s="180"/>
      <c r="V83" s="120"/>
      <c r="W83" s="181"/>
    </row>
    <row r="84" spans="1:27" ht="16.5" customHeight="1">
      <c r="B84" s="17" t="str">
        <f t="shared" si="3"/>
        <v>Avenida Prologis Edificio 4</v>
      </c>
      <c r="C84" s="17"/>
      <c r="D84" s="17"/>
      <c r="E84" s="17"/>
      <c r="F84" s="17"/>
      <c r="G84" s="17"/>
      <c r="H84" s="17"/>
      <c r="I84" s="5"/>
      <c r="J84" s="170"/>
      <c r="K84" s="179"/>
      <c r="L84" s="4"/>
      <c r="M84" s="4"/>
      <c r="N84" s="113"/>
      <c r="O84" s="182"/>
      <c r="P84" s="182"/>
      <c r="Q84" s="182"/>
      <c r="R84" s="183"/>
      <c r="S84" s="184"/>
      <c r="T84" s="183"/>
      <c r="U84" s="184"/>
      <c r="V84" s="183"/>
      <c r="W84" s="40"/>
    </row>
    <row r="85" spans="1:27" ht="16.5" customHeight="1">
      <c r="B85" s="17" t="str">
        <f t="shared" si="3"/>
        <v>Parque Industrial Prologis</v>
      </c>
      <c r="C85" s="17"/>
      <c r="D85" s="17"/>
      <c r="E85" s="17"/>
      <c r="F85" s="17"/>
      <c r="G85" s="17"/>
      <c r="H85" s="17"/>
      <c r="I85" s="5"/>
      <c r="J85" s="170"/>
      <c r="K85" s="179"/>
      <c r="L85" s="4"/>
      <c r="M85" s="4"/>
      <c r="N85" s="113"/>
      <c r="O85" s="182"/>
      <c r="P85" s="182"/>
      <c r="Q85" s="182"/>
      <c r="R85" s="183"/>
      <c r="S85" s="184"/>
      <c r="T85" s="183"/>
      <c r="U85" s="184"/>
      <c r="V85" s="183"/>
      <c r="W85" s="40"/>
    </row>
    <row r="86" spans="1:27" ht="16.5" customHeight="1">
      <c r="B86" s="17" t="str">
        <f t="shared" si="3"/>
        <v>Reynosa, Tamaulipas</v>
      </c>
      <c r="C86" s="17"/>
      <c r="D86" s="17"/>
      <c r="E86" s="17"/>
      <c r="F86" s="17"/>
      <c r="G86" s="17"/>
      <c r="H86" s="17"/>
      <c r="I86" s="5"/>
      <c r="J86" s="170"/>
      <c r="K86" s="179"/>
      <c r="L86" s="4"/>
      <c r="M86" s="4"/>
      <c r="N86" s="113"/>
      <c r="O86" s="182"/>
      <c r="P86" s="182"/>
      <c r="Q86" s="182"/>
      <c r="R86" s="183"/>
      <c r="S86" s="184"/>
      <c r="T86" s="183"/>
      <c r="U86" s="184"/>
      <c r="V86" s="183"/>
      <c r="W86" s="40"/>
    </row>
    <row r="87" spans="1:27" ht="16.5" customHeight="1">
      <c r="B87" s="17" t="str">
        <f t="shared" si="3"/>
        <v>C.P. 88787</v>
      </c>
      <c r="C87" s="17"/>
      <c r="D87" s="17"/>
      <c r="E87" s="17"/>
      <c r="F87" s="17"/>
      <c r="G87" s="17"/>
      <c r="H87" s="17"/>
      <c r="I87" s="5"/>
      <c r="J87" s="170"/>
      <c r="K87" s="179"/>
      <c r="L87" s="4"/>
      <c r="M87" s="4"/>
      <c r="N87" s="113"/>
      <c r="O87" s="182"/>
      <c r="P87" s="182"/>
      <c r="Q87" s="182"/>
      <c r="R87" s="183"/>
      <c r="S87" s="184"/>
      <c r="T87" s="183"/>
      <c r="U87" s="184"/>
      <c r="V87" s="183"/>
      <c r="W87" s="40"/>
    </row>
    <row r="88" spans="1:27" ht="16.5" customHeight="1">
      <c r="B88" s="17" t="str">
        <f t="shared" si="3"/>
        <v>TEL:899-958-1443 Ext.102</v>
      </c>
      <c r="C88" s="17"/>
      <c r="D88" s="17"/>
      <c r="E88" s="17"/>
      <c r="F88" s="17"/>
      <c r="G88" s="17"/>
      <c r="H88" s="17"/>
      <c r="I88" s="5"/>
      <c r="J88" s="170"/>
      <c r="K88" s="179"/>
      <c r="L88" s="4"/>
      <c r="M88" s="4"/>
      <c r="N88" s="113"/>
      <c r="O88" s="182"/>
      <c r="P88" s="182"/>
      <c r="Q88" s="182"/>
      <c r="R88" s="183"/>
      <c r="S88" s="184"/>
      <c r="T88" s="183"/>
      <c r="U88" s="184"/>
      <c r="V88" s="183"/>
      <c r="W88" s="40"/>
    </row>
    <row r="89" spans="1:27" ht="16.5" customHeight="1">
      <c r="B89" s="71"/>
      <c r="C89" s="71"/>
      <c r="D89" s="71"/>
      <c r="E89" s="71"/>
      <c r="F89" s="71"/>
      <c r="G89" s="71"/>
      <c r="H89" s="71"/>
      <c r="I89" s="72"/>
      <c r="J89" s="170"/>
      <c r="K89" s="4" t="s">
        <v>51</v>
      </c>
      <c r="L89" s="4" t="s">
        <v>79</v>
      </c>
      <c r="M89" s="4"/>
      <c r="N89" s="4" t="s">
        <v>53</v>
      </c>
      <c r="O89" s="52"/>
      <c r="P89" s="172"/>
      <c r="Q89" s="172"/>
      <c r="R89" s="172"/>
      <c r="S89" s="172"/>
      <c r="T89" s="172"/>
      <c r="U89" s="172"/>
      <c r="V89" s="172"/>
    </row>
    <row r="90" spans="1:27" ht="16.5" customHeight="1">
      <c r="B90" s="71"/>
      <c r="C90" s="71"/>
      <c r="D90" s="71"/>
      <c r="E90" s="71"/>
      <c r="F90" s="71"/>
      <c r="G90" s="71"/>
      <c r="H90" s="111"/>
      <c r="I90" s="72"/>
      <c r="J90" s="170"/>
      <c r="K90" s="113" t="s">
        <v>51</v>
      </c>
      <c r="L90" s="4" t="s">
        <v>80</v>
      </c>
      <c r="M90" s="4"/>
      <c r="N90" s="4" t="s">
        <v>53</v>
      </c>
      <c r="O90" s="185"/>
      <c r="P90" s="172"/>
      <c r="Q90" s="172"/>
      <c r="R90" s="172"/>
      <c r="S90" s="172"/>
      <c r="T90" s="172"/>
      <c r="U90" s="172"/>
      <c r="V90" s="172"/>
      <c r="W90" s="172"/>
      <c r="Y90" s="186"/>
    </row>
    <row r="91" spans="1:27" ht="16.5" customHeight="1">
      <c r="B91" s="71"/>
      <c r="C91" s="71"/>
      <c r="D91" s="71"/>
      <c r="E91" s="71"/>
      <c r="F91" s="71"/>
      <c r="G91" s="71"/>
      <c r="H91" s="71"/>
      <c r="I91" s="72"/>
      <c r="J91" s="170"/>
      <c r="K91" s="113" t="s">
        <v>51</v>
      </c>
      <c r="L91" s="4" t="s">
        <v>81</v>
      </c>
      <c r="M91" s="4"/>
      <c r="N91" s="113" t="s">
        <v>53</v>
      </c>
      <c r="O91" s="64"/>
      <c r="P91" s="172"/>
      <c r="Q91" s="172"/>
      <c r="R91" s="172"/>
      <c r="S91" s="172" t="s">
        <v>82</v>
      </c>
      <c r="T91" s="172"/>
      <c r="U91" s="172" t="s">
        <v>83</v>
      </c>
      <c r="V91" s="172"/>
      <c r="W91" s="172" t="s">
        <v>84</v>
      </c>
      <c r="Y91" s="186"/>
    </row>
    <row r="92" spans="1:27" ht="16.5" customHeight="1">
      <c r="B92" s="41"/>
      <c r="C92" s="41"/>
      <c r="D92" s="41"/>
      <c r="E92" s="41"/>
      <c r="F92" s="41"/>
      <c r="G92" s="41"/>
      <c r="H92" s="41"/>
      <c r="I92" s="187"/>
      <c r="J92" s="170"/>
      <c r="K92" s="113"/>
      <c r="L92" s="4"/>
      <c r="M92" s="4" t="s">
        <v>85</v>
      </c>
      <c r="N92" s="113"/>
      <c r="O92" s="188">
        <v>1.2929999999999999</v>
      </c>
      <c r="P92" s="172"/>
      <c r="Q92" s="172" t="s">
        <v>86</v>
      </c>
      <c r="R92" s="172"/>
      <c r="S92" s="189"/>
      <c r="T92" s="190"/>
      <c r="U92" s="191">
        <v>482</v>
      </c>
      <c r="V92" s="190"/>
      <c r="W92" s="191"/>
      <c r="Y92" s="186"/>
    </row>
    <row r="93" spans="1:27" ht="17.25" customHeight="1">
      <c r="A93" s="16" t="s">
        <v>49</v>
      </c>
      <c r="B93" s="21"/>
      <c r="C93" s="21"/>
      <c r="D93" s="21"/>
      <c r="E93" s="55"/>
      <c r="F93" s="153" t="s">
        <v>50</v>
      </c>
      <c r="G93" s="16"/>
      <c r="H93" s="16"/>
      <c r="I93" s="192"/>
      <c r="O93" s="193"/>
      <c r="Q93" s="172"/>
      <c r="S93" s="189"/>
      <c r="U93" s="191"/>
      <c r="W93" s="191"/>
      <c r="X93" s="172"/>
    </row>
    <row r="94" spans="1:27" ht="17.25" customHeight="1">
      <c r="A94" s="13"/>
      <c r="B94" s="194" t="str">
        <f>B28</f>
        <v>VIETNAM</v>
      </c>
      <c r="C94" s="13"/>
      <c r="D94" s="13"/>
      <c r="E94" s="195"/>
      <c r="F94" s="13"/>
      <c r="G94" s="96" t="str">
        <f>+G28</f>
        <v>Mexico</v>
      </c>
      <c r="H94" s="96"/>
      <c r="I94" s="97"/>
      <c r="O94" s="193"/>
      <c r="Q94" s="172"/>
      <c r="S94" s="189"/>
      <c r="U94" s="191"/>
      <c r="W94" s="191"/>
      <c r="X94" s="172"/>
    </row>
    <row r="95" spans="1:27" ht="17.25" customHeight="1">
      <c r="A95" s="61" t="s">
        <v>57</v>
      </c>
      <c r="C95" s="4"/>
      <c r="D95" s="4"/>
      <c r="E95" s="47"/>
      <c r="F95" s="100" t="s">
        <v>58</v>
      </c>
      <c r="G95" s="3"/>
      <c r="H95" s="3"/>
      <c r="I95" s="196"/>
      <c r="O95" s="188"/>
      <c r="Q95" s="172"/>
      <c r="S95" s="189"/>
      <c r="U95" s="191"/>
      <c r="W95" s="191"/>
      <c r="X95" s="172"/>
    </row>
    <row r="96" spans="1:27" ht="17.25" customHeight="1">
      <c r="A96" s="197"/>
      <c r="B96" s="197"/>
      <c r="C96" s="197"/>
      <c r="D96" s="197"/>
      <c r="E96" s="198"/>
      <c r="F96" s="199"/>
      <c r="G96" s="200"/>
      <c r="H96" s="200"/>
      <c r="I96" s="201"/>
      <c r="O96" s="188"/>
      <c r="Q96" s="172"/>
      <c r="S96" s="189"/>
      <c r="U96" s="191"/>
      <c r="W96" s="191"/>
      <c r="X96" s="171"/>
    </row>
    <row r="97" spans="1:31" ht="17.25" customHeight="1">
      <c r="A97" s="202" t="s">
        <v>87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16"/>
      <c r="S97" s="16"/>
      <c r="T97" s="21"/>
      <c r="U97" s="21"/>
      <c r="V97" s="21"/>
      <c r="W97" s="21"/>
      <c r="X97" s="4"/>
    </row>
    <row r="98" spans="1:31" ht="17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175"/>
    </row>
    <row r="99" spans="1:31" ht="14.25" customHeight="1">
      <c r="A99" s="203" t="s">
        <v>88</v>
      </c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</row>
    <row r="100" spans="1:31" ht="14.25" customHeight="1">
      <c r="A100" s="165"/>
      <c r="B100" s="165"/>
      <c r="C100" s="165"/>
      <c r="D100" s="165"/>
      <c r="E100" s="66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</row>
    <row r="101" spans="1:31" ht="14.25" customHeight="1">
      <c r="A101" s="121"/>
      <c r="B101" s="121"/>
      <c r="C101" s="121"/>
      <c r="D101" s="121"/>
      <c r="E101" s="66" t="str">
        <f>E35</f>
        <v>1. SPR4 SPOOL</v>
      </c>
      <c r="G101" s="121"/>
      <c r="H101" s="121"/>
      <c r="I101" s="121"/>
      <c r="J101" s="121"/>
      <c r="K101" s="75"/>
      <c r="L101" s="75"/>
      <c r="M101" s="75">
        <f>M35</f>
        <v>64512</v>
      </c>
      <c r="N101" s="75"/>
      <c r="O101" s="204">
        <f>M101*0.098</f>
        <v>6322.1760000000004</v>
      </c>
      <c r="P101" s="121"/>
      <c r="Q101" s="205"/>
      <c r="R101" s="205">
        <f>V69*V76</f>
        <v>0</v>
      </c>
      <c r="S101" s="206"/>
      <c r="T101" s="121"/>
      <c r="U101" s="121"/>
      <c r="V101" s="121"/>
      <c r="W101" s="121"/>
    </row>
    <row r="102" spans="1:31" ht="12.75">
      <c r="A102" s="121"/>
      <c r="B102" s="121"/>
      <c r="C102" s="121"/>
      <c r="D102" s="121"/>
      <c r="E102" s="66" t="str">
        <f>E36</f>
        <v>(34181316A)</v>
      </c>
      <c r="F102" s="121"/>
      <c r="G102" s="121"/>
      <c r="H102" s="121"/>
      <c r="I102" s="121"/>
      <c r="J102" s="121"/>
      <c r="K102" s="75"/>
      <c r="L102" s="207"/>
      <c r="M102" s="75"/>
      <c r="N102" s="66"/>
      <c r="O102" s="204"/>
      <c r="P102" s="121"/>
      <c r="Q102" s="205"/>
      <c r="R102" s="205"/>
      <c r="S102" s="206"/>
      <c r="T102" s="121"/>
      <c r="U102" s="121"/>
      <c r="V102" s="121"/>
      <c r="W102" s="121"/>
    </row>
    <row r="103" spans="1:31" ht="15" customHeight="1">
      <c r="A103" s="121"/>
      <c r="B103" s="121"/>
      <c r="C103" s="121"/>
      <c r="D103" s="121"/>
      <c r="E103" s="66"/>
      <c r="F103" s="121"/>
      <c r="G103" s="121"/>
      <c r="H103" s="121"/>
      <c r="I103" s="121"/>
      <c r="J103" s="121"/>
      <c r="K103" s="75"/>
      <c r="L103" s="207"/>
      <c r="M103" s="66"/>
      <c r="N103" s="66"/>
      <c r="O103" s="208"/>
      <c r="P103" s="121"/>
      <c r="Q103" s="209"/>
      <c r="R103" s="210"/>
      <c r="S103" s="210"/>
      <c r="T103" s="210"/>
      <c r="U103" s="211"/>
      <c r="V103" s="211"/>
      <c r="W103" s="211"/>
      <c r="X103" s="10"/>
    </row>
    <row r="104" spans="1:31" ht="15" customHeight="1">
      <c r="A104" s="121"/>
      <c r="B104" s="120"/>
      <c r="C104" s="4"/>
      <c r="D104" s="4"/>
      <c r="E104" s="212" t="s">
        <v>67</v>
      </c>
      <c r="F104" s="21"/>
      <c r="G104" s="21"/>
      <c r="H104" s="21"/>
      <c r="I104" s="21"/>
      <c r="J104" s="213"/>
      <c r="K104" s="213"/>
      <c r="L104" s="213"/>
      <c r="M104" s="213"/>
      <c r="N104" s="214"/>
      <c r="O104" s="214"/>
      <c r="P104" s="214"/>
      <c r="Q104" s="215"/>
      <c r="R104" s="215"/>
      <c r="S104" s="216"/>
      <c r="T104" s="217"/>
      <c r="U104" s="217"/>
      <c r="V104" s="217"/>
      <c r="W104" s="217"/>
      <c r="X104" s="121"/>
    </row>
    <row r="105" spans="1:31" ht="15" customHeight="1">
      <c r="A105" s="121"/>
      <c r="E105" s="218"/>
      <c r="F105" s="218"/>
      <c r="G105" s="218"/>
      <c r="H105" s="218"/>
      <c r="I105" s="218"/>
      <c r="J105" s="219"/>
      <c r="K105" s="219"/>
      <c r="L105" s="219"/>
      <c r="M105" s="219"/>
      <c r="N105" s="220"/>
      <c r="O105" s="221"/>
      <c r="P105" s="4"/>
      <c r="Q105" s="4"/>
      <c r="T105" s="4"/>
      <c r="U105" s="4"/>
      <c r="V105" s="4"/>
      <c r="W105" s="4"/>
      <c r="X105" s="121"/>
    </row>
    <row r="106" spans="1:31" ht="15.75" customHeight="1">
      <c r="A106" s="121"/>
      <c r="E106" s="218"/>
      <c r="F106" s="218"/>
      <c r="G106" s="218"/>
      <c r="H106" s="218"/>
      <c r="I106" s="218"/>
      <c r="J106" s="219"/>
      <c r="K106" s="219"/>
      <c r="L106" s="219"/>
      <c r="M106" s="219"/>
      <c r="N106" s="220"/>
      <c r="O106" s="221"/>
      <c r="P106" s="4"/>
      <c r="Q106" s="4"/>
      <c r="T106" s="4"/>
      <c r="U106" s="4"/>
      <c r="V106" s="4"/>
      <c r="W106" s="4"/>
      <c r="X106" s="121"/>
    </row>
    <row r="107" spans="1:31" ht="15" customHeight="1">
      <c r="A107" s="121"/>
      <c r="E107" s="218"/>
      <c r="F107" s="218"/>
      <c r="G107" s="218"/>
      <c r="H107" s="218"/>
      <c r="I107" s="218"/>
      <c r="J107" s="219"/>
      <c r="K107" s="219"/>
      <c r="L107" s="219"/>
      <c r="M107" s="219"/>
      <c r="N107" s="220"/>
      <c r="O107" s="221"/>
      <c r="P107" s="4"/>
      <c r="Q107" s="4"/>
      <c r="T107" s="4"/>
      <c r="U107" s="4"/>
      <c r="V107" s="4"/>
      <c r="W107" s="4"/>
      <c r="X107" s="121"/>
    </row>
    <row r="108" spans="1:31" ht="15" customHeight="1">
      <c r="A108" s="121"/>
      <c r="E108" s="218"/>
      <c r="F108" s="218"/>
      <c r="G108" s="218"/>
      <c r="H108" s="218"/>
      <c r="I108" s="218"/>
      <c r="J108" s="219"/>
      <c r="K108" s="219"/>
      <c r="L108" s="219"/>
      <c r="M108" s="219"/>
      <c r="N108" s="220"/>
      <c r="O108" s="221"/>
      <c r="P108" s="4"/>
      <c r="Q108" s="4"/>
      <c r="T108" s="4"/>
      <c r="U108" s="4"/>
      <c r="V108" s="4"/>
      <c r="W108" s="4"/>
      <c r="X108" s="121"/>
    </row>
    <row r="109" spans="1:31" ht="15" customHeight="1">
      <c r="A109" s="121"/>
      <c r="E109" s="218"/>
      <c r="F109" s="218"/>
      <c r="G109" s="218"/>
      <c r="H109" s="218"/>
      <c r="I109" s="218"/>
      <c r="J109" s="219"/>
      <c r="K109" s="219"/>
      <c r="L109" s="219"/>
      <c r="M109" s="219"/>
      <c r="N109" s="220"/>
      <c r="O109" s="221"/>
      <c r="P109" s="4"/>
      <c r="Q109" s="4"/>
      <c r="T109" s="4"/>
      <c r="U109" s="4"/>
      <c r="V109" s="4"/>
      <c r="W109" s="4"/>
      <c r="X109" s="121"/>
    </row>
    <row r="110" spans="1:31" ht="15" customHeight="1">
      <c r="A110" s="121"/>
      <c r="E110" s="218"/>
      <c r="F110" s="218"/>
      <c r="G110" s="218"/>
      <c r="H110" s="218"/>
      <c r="I110" s="218"/>
      <c r="J110" s="219"/>
      <c r="K110" s="219"/>
      <c r="L110" s="219"/>
      <c r="M110" s="219"/>
      <c r="N110" s="220"/>
      <c r="O110" s="221"/>
      <c r="P110" s="4"/>
      <c r="Q110" s="4"/>
      <c r="T110" s="4"/>
      <c r="U110" s="4"/>
      <c r="V110" s="4"/>
      <c r="W110" s="4"/>
      <c r="X110" s="4"/>
      <c r="AE110" s="222"/>
    </row>
    <row r="111" spans="1:31" ht="15" customHeight="1">
      <c r="A111" s="121"/>
      <c r="E111" s="218"/>
      <c r="F111" s="218"/>
      <c r="G111" s="218"/>
      <c r="H111" s="218"/>
      <c r="I111" s="218"/>
      <c r="J111" s="219"/>
      <c r="K111" s="219"/>
      <c r="L111" s="219"/>
      <c r="M111" s="219"/>
      <c r="N111" s="220"/>
      <c r="O111" s="221"/>
      <c r="P111" s="4"/>
      <c r="Q111" s="4"/>
      <c r="T111" s="4"/>
      <c r="U111" s="4"/>
      <c r="V111" s="4"/>
      <c r="W111" s="4"/>
      <c r="X111" s="4"/>
    </row>
    <row r="112" spans="1:31" ht="15" customHeight="1">
      <c r="A112" s="121"/>
      <c r="E112" s="218"/>
      <c r="F112" s="218"/>
      <c r="G112" s="218"/>
      <c r="H112" s="218"/>
      <c r="I112" s="218"/>
      <c r="J112" s="219"/>
      <c r="K112" s="219"/>
      <c r="L112" s="219"/>
      <c r="M112" s="219"/>
      <c r="N112" s="220"/>
      <c r="O112" s="221"/>
      <c r="P112" s="4"/>
      <c r="Q112" s="4"/>
      <c r="T112" s="4"/>
      <c r="U112" s="4"/>
      <c r="V112" s="4"/>
      <c r="W112" s="4"/>
      <c r="X112" s="4"/>
    </row>
    <row r="113" spans="1:24" ht="15" customHeight="1">
      <c r="A113" s="121"/>
      <c r="E113" s="218"/>
      <c r="F113" s="218"/>
      <c r="G113" s="218"/>
      <c r="H113" s="218"/>
      <c r="I113" s="218"/>
      <c r="J113" s="219"/>
      <c r="K113" s="219"/>
      <c r="L113" s="219"/>
      <c r="M113" s="219"/>
      <c r="N113" s="220"/>
      <c r="O113" s="221"/>
      <c r="P113" s="4"/>
      <c r="Q113" s="4"/>
      <c r="T113" s="4"/>
      <c r="U113" s="4"/>
      <c r="V113" s="4"/>
      <c r="W113" s="4"/>
      <c r="X113" s="4"/>
    </row>
    <row r="114" spans="1:24" ht="15" customHeight="1">
      <c r="A114" s="121"/>
      <c r="E114" s="218"/>
      <c r="F114" s="218"/>
      <c r="G114" s="218"/>
      <c r="H114" s="218"/>
      <c r="I114" s="218"/>
      <c r="J114" s="219"/>
      <c r="K114" s="219"/>
      <c r="L114" s="219"/>
      <c r="M114" s="219"/>
      <c r="N114" s="220"/>
      <c r="O114" s="221"/>
      <c r="P114" s="4"/>
      <c r="Q114" s="4"/>
      <c r="T114" s="4"/>
      <c r="U114" s="4"/>
      <c r="V114" s="4"/>
      <c r="W114" s="4"/>
      <c r="X114" s="4"/>
    </row>
    <row r="115" spans="1:24" ht="15" customHeight="1">
      <c r="A115" s="121"/>
      <c r="E115" s="218"/>
      <c r="F115" s="218"/>
      <c r="G115" s="218"/>
      <c r="H115" s="218"/>
      <c r="I115" s="218"/>
      <c r="J115" s="219"/>
      <c r="K115" s="219"/>
      <c r="L115" s="219"/>
      <c r="M115" s="219"/>
      <c r="N115" s="220"/>
      <c r="O115" s="221"/>
      <c r="P115" s="4"/>
      <c r="Q115" s="4"/>
      <c r="T115" s="4"/>
      <c r="U115" s="4"/>
      <c r="V115" s="4"/>
      <c r="W115" s="4"/>
      <c r="X115" s="4"/>
    </row>
    <row r="116" spans="1:24" ht="15" customHeight="1">
      <c r="A116" s="4"/>
      <c r="E116" s="218"/>
      <c r="F116" s="218"/>
      <c r="G116" s="218"/>
      <c r="H116" s="218"/>
      <c r="I116" s="218"/>
      <c r="J116" s="219"/>
      <c r="K116" s="219"/>
      <c r="L116" s="219"/>
      <c r="M116" s="219"/>
      <c r="N116" s="220"/>
      <c r="O116" s="221"/>
      <c r="P116" s="4"/>
      <c r="Q116" s="4"/>
      <c r="T116" s="4"/>
      <c r="U116" s="4"/>
      <c r="V116" s="4"/>
      <c r="W116" s="4"/>
      <c r="X116" s="4"/>
    </row>
    <row r="117" spans="1:24" ht="15" customHeight="1">
      <c r="A117" s="2" t="str">
        <f>A39</f>
        <v>MADE IN VIETNAM</v>
      </c>
      <c r="E117" s="218"/>
      <c r="F117" s="218"/>
      <c r="G117" s="218"/>
      <c r="H117" s="218"/>
      <c r="I117" s="218"/>
      <c r="J117" s="219"/>
      <c r="K117" s="219"/>
      <c r="L117" s="219"/>
      <c r="M117" s="219"/>
      <c r="N117" s="220"/>
      <c r="O117" s="221"/>
      <c r="P117" s="4"/>
      <c r="Q117" s="4"/>
      <c r="T117" s="4"/>
      <c r="U117" s="4"/>
      <c r="V117" s="4"/>
      <c r="W117" s="4"/>
      <c r="X117" s="4"/>
    </row>
    <row r="118" spans="1:24" ht="15" customHeight="1">
      <c r="A118" s="2" t="str">
        <f>A40</f>
        <v>//////////////////////////////////</v>
      </c>
      <c r="E118" s="218"/>
      <c r="F118" s="218"/>
      <c r="G118" s="218"/>
      <c r="H118" s="218"/>
      <c r="I118" s="218"/>
      <c r="J118" s="219"/>
      <c r="K118" s="219"/>
      <c r="L118" s="219"/>
      <c r="M118" s="219"/>
      <c r="N118" s="220"/>
      <c r="O118" s="221"/>
      <c r="P118" s="4"/>
      <c r="Q118" s="4"/>
      <c r="T118" s="4"/>
      <c r="U118" s="4"/>
      <c r="V118" s="4"/>
      <c r="W118" s="4"/>
      <c r="X118" s="4"/>
    </row>
    <row r="119" spans="1:24" ht="15" customHeight="1">
      <c r="E119" s="218"/>
      <c r="F119" s="218"/>
      <c r="G119" s="218"/>
      <c r="H119" s="218"/>
      <c r="I119" s="218"/>
      <c r="J119" s="219"/>
      <c r="K119" s="219"/>
      <c r="L119" s="219"/>
      <c r="M119" s="219"/>
      <c r="N119" s="220"/>
      <c r="O119" s="221"/>
      <c r="P119" s="4"/>
      <c r="Q119" s="4"/>
      <c r="T119" s="4"/>
      <c r="U119" s="4"/>
      <c r="V119" s="4"/>
      <c r="W119" s="4"/>
      <c r="X119" s="4"/>
    </row>
    <row r="120" spans="1:24" ht="15" customHeight="1">
      <c r="E120" s="137"/>
      <c r="N120" s="3" t="s">
        <v>89</v>
      </c>
      <c r="O120" s="4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1:24" ht="15" customHeight="1">
      <c r="B121" s="4"/>
      <c r="C121" s="4"/>
      <c r="D121" s="4"/>
      <c r="P121" s="4"/>
      <c r="X121" s="4"/>
    </row>
    <row r="122" spans="1:24" ht="15" customHeight="1">
      <c r="B122" s="4"/>
      <c r="C122" s="4"/>
      <c r="D122" s="4"/>
      <c r="P122" s="4"/>
      <c r="X122" s="4"/>
    </row>
    <row r="123" spans="1:24" ht="15" customHeight="1">
      <c r="X123" s="4"/>
    </row>
    <row r="124" spans="1:24" ht="15" customHeight="1">
      <c r="X124" s="4"/>
    </row>
    <row r="125" spans="1:24" ht="15" customHeight="1">
      <c r="X125" s="4"/>
    </row>
    <row r="126" spans="1:24" ht="15" customHeight="1">
      <c r="X126" s="4"/>
    </row>
    <row r="127" spans="1:24" ht="15" customHeight="1">
      <c r="X127" s="4"/>
    </row>
    <row r="128" spans="1:24" ht="15" customHeight="1">
      <c r="X128" s="4"/>
    </row>
    <row r="129" spans="1:26" ht="15" customHeight="1"/>
    <row r="130" spans="1:26" ht="15" customHeight="1"/>
    <row r="131" spans="1:26" ht="15" customHeight="1"/>
    <row r="132" spans="1:26" ht="15" customHeight="1">
      <c r="A132" s="61"/>
    </row>
    <row r="133" spans="1:26" ht="15" customHeight="1">
      <c r="A133" s="3"/>
    </row>
    <row r="134" spans="1:26" ht="15" customHeight="1">
      <c r="A134" s="3"/>
    </row>
    <row r="135" spans="1:26" ht="15" customHeight="1"/>
    <row r="136" spans="1:26" ht="15" customHeight="1"/>
    <row r="137" spans="1:26" ht="15" customHeight="1"/>
    <row r="138" spans="1:26" ht="15" customHeight="1"/>
    <row r="139" spans="1:26" ht="15" customHeight="1">
      <c r="Y139" s="138"/>
      <c r="Z139" s="138"/>
    </row>
    <row r="140" spans="1:26" ht="15" customHeight="1"/>
    <row r="141" spans="1:26" ht="15" customHeight="1"/>
    <row r="142" spans="1:26" ht="15" customHeight="1"/>
    <row r="143" spans="1:26" ht="15" customHeight="1"/>
    <row r="144" spans="1:26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mergeCells count="29">
    <mergeCell ref="G94:I94"/>
    <mergeCell ref="A96:E96"/>
    <mergeCell ref="G96:H96"/>
    <mergeCell ref="A99:W99"/>
    <mergeCell ref="U103:W103"/>
    <mergeCell ref="J104:M104"/>
    <mergeCell ref="N104:P104"/>
    <mergeCell ref="T104:W104"/>
    <mergeCell ref="A30:E30"/>
    <mergeCell ref="G30:I30"/>
    <mergeCell ref="A33:W33"/>
    <mergeCell ref="J38:N38"/>
    <mergeCell ref="A63:X64"/>
    <mergeCell ref="B89:H89"/>
    <mergeCell ref="I89:I91"/>
    <mergeCell ref="B90:G90"/>
    <mergeCell ref="B91:H91"/>
    <mergeCell ref="B24:I24"/>
    <mergeCell ref="B25:I25"/>
    <mergeCell ref="B26:I26"/>
    <mergeCell ref="B28:E28"/>
    <mergeCell ref="G28:I28"/>
    <mergeCell ref="O28:Q28"/>
    <mergeCell ref="A1:X1"/>
    <mergeCell ref="K3:M3"/>
    <mergeCell ref="B20:I20"/>
    <mergeCell ref="B21:I21"/>
    <mergeCell ref="B22:I22"/>
    <mergeCell ref="B23:I23"/>
  </mergeCells>
  <hyperlinks>
    <hyperlink ref="B25" r:id="rId1"/>
    <hyperlink ref="B16" r:id="rId2"/>
  </hyperlinks>
  <pageMargins left="0.59055118110236204" right="0.59055118110236204" top="0.98425196850393704" bottom="0.511811023622047" header="0.511811023622047" footer="0.511811023622047"/>
  <pageSetup paperSize="9" scale="53" orientation="portrait" horizontalDpi="4294967293" verticalDpi="4294967293" r:id="rId3"/>
  <headerFooter alignWithMargins="0"/>
  <rowBreaks count="1" manualBreakCount="1">
    <brk id="63" max="3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2023-08-01T02:33:00Z</dcterms:created>
  <dcterms:modified xsi:type="dcterms:W3CDTF">2023-08-01T02:33:55Z</dcterms:modified>
</cp:coreProperties>
</file>