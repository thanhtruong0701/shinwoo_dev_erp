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hu\Downloads\otm\"/>
    </mc:Choice>
  </mc:AlternateContent>
  <xr:revisionPtr revIDLastSave="0" documentId="13_ncr:1_{2C2AFAB1-7E85-4FC6-9D88-334ECAFFCBD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V &amp; PK" sheetId="1" r:id="rId1"/>
  </sheets>
  <definedNames>
    <definedName name="_xlnm.Print_Area" localSheetId="0">'IV &amp; PK'!$A$1:$Z$123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4" i="1" l="1"/>
  <c r="C82" i="1"/>
  <c r="C81" i="1"/>
  <c r="C80" i="1"/>
  <c r="C79" i="1"/>
  <c r="P78" i="1"/>
  <c r="T78" i="1" s="1"/>
  <c r="T84" i="1" s="1"/>
  <c r="M78" i="1"/>
  <c r="M84" i="1" s="1"/>
  <c r="I78" i="1"/>
  <c r="C78" i="1"/>
  <c r="M73" i="1"/>
  <c r="L73" i="1"/>
  <c r="G73" i="1"/>
  <c r="B73" i="1"/>
  <c r="AF71" i="1"/>
  <c r="G71" i="1"/>
  <c r="B71" i="1"/>
  <c r="C69" i="1"/>
  <c r="C68" i="1"/>
  <c r="C64" i="1"/>
  <c r="C63" i="1"/>
  <c r="P62" i="1"/>
  <c r="O62" i="1"/>
  <c r="N62" i="1"/>
  <c r="M62" i="1"/>
  <c r="C62" i="1"/>
  <c r="P61" i="1"/>
  <c r="O61" i="1"/>
  <c r="N61" i="1"/>
  <c r="M61" i="1"/>
  <c r="C61" i="1"/>
  <c r="P60" i="1"/>
  <c r="O60" i="1"/>
  <c r="N60" i="1"/>
  <c r="M60" i="1"/>
  <c r="C60" i="1"/>
  <c r="P59" i="1"/>
  <c r="O59" i="1"/>
  <c r="N59" i="1"/>
  <c r="M59" i="1"/>
  <c r="C59" i="1"/>
  <c r="P58" i="1"/>
  <c r="O58" i="1"/>
  <c r="N58" i="1"/>
  <c r="M58" i="1"/>
  <c r="P57" i="1"/>
  <c r="O57" i="1"/>
  <c r="N57" i="1"/>
  <c r="M57" i="1"/>
  <c r="P56" i="1"/>
  <c r="O56" i="1"/>
  <c r="N56" i="1"/>
  <c r="M56" i="1"/>
  <c r="C56" i="1"/>
  <c r="P55" i="1"/>
  <c r="O55" i="1"/>
  <c r="N55" i="1"/>
  <c r="M55" i="1"/>
  <c r="C55" i="1"/>
  <c r="C54" i="1"/>
  <c r="C53" i="1"/>
  <c r="T52" i="1"/>
  <c r="K52" i="1"/>
  <c r="C52" i="1"/>
  <c r="N33" i="1"/>
  <c r="I33" i="1"/>
  <c r="I79" i="1" s="1"/>
  <c r="T28" i="1"/>
  <c r="T33" i="1" s="1"/>
  <c r="L28" i="1"/>
  <c r="L78" i="1" s="1"/>
  <c r="AF26" i="1"/>
  <c r="X13" i="1"/>
  <c r="R78" i="1" l="1"/>
  <c r="R84" i="1" s="1"/>
  <c r="V78" i="1"/>
  <c r="V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Nguyen</author>
  </authors>
  <commentList>
    <comment ref="L28" authorId="0" shapeId="0" xr:uid="{AAE9D6ED-FB96-4B30-BD6F-CB32A7A4376A}">
      <text>
        <r>
          <rPr>
            <b/>
            <sz val="9"/>
            <color indexed="81"/>
            <rFont val="Tahoma"/>
            <charset val="1"/>
          </rPr>
          <t>Jonathan Nguyen:</t>
        </r>
        <r>
          <rPr>
            <sz val="9"/>
            <color indexed="81"/>
            <rFont val="Tahoma"/>
            <charset val="1"/>
          </rPr>
          <t xml:space="preserve">
RAN of POP</t>
        </r>
      </text>
    </comment>
    <comment ref="C29" authorId="0" shapeId="0" xr:uid="{41889BD1-2C28-4B64-BE9F-3D83BC31E1FC}">
      <text>
        <r>
          <rPr>
            <b/>
            <sz val="9"/>
            <color indexed="81"/>
            <rFont val="Tahoma"/>
            <charset val="1"/>
          </rPr>
          <t>Jonathan Nguyen:</t>
        </r>
        <r>
          <rPr>
            <sz val="9"/>
            <color indexed="81"/>
            <rFont val="Tahoma"/>
            <charset val="1"/>
          </rPr>
          <t xml:space="preserve">
RAN on POP</t>
        </r>
      </text>
    </comment>
    <comment ref="C30" authorId="0" shapeId="0" xr:uid="{AA367E0B-5ABF-45BA-90A9-1B51C6A03867}">
      <text>
        <r>
          <rPr>
            <b/>
            <sz val="9"/>
            <color indexed="81"/>
            <rFont val="Tahoma"/>
            <charset val="1"/>
          </rPr>
          <t>Jonathan Nguyen:</t>
        </r>
        <r>
          <rPr>
            <sz val="9"/>
            <color indexed="81"/>
            <rFont val="Tahoma"/>
            <charset val="1"/>
          </rPr>
          <t xml:space="preserve">
LOT No: Min~Max
</t>
        </r>
      </text>
    </comment>
    <comment ref="C42" authorId="0" shapeId="0" xr:uid="{591A1BDD-C8BB-46D9-84E6-C9E846DCB2AE}">
      <text>
        <r>
          <rPr>
            <b/>
            <sz val="9"/>
            <color indexed="81"/>
            <rFont val="Tahoma"/>
            <charset val="1"/>
          </rPr>
          <t>Jonathan Nguyen:</t>
        </r>
        <r>
          <rPr>
            <sz val="9"/>
            <color indexed="81"/>
            <rFont val="Tahoma"/>
            <charset val="1"/>
          </rPr>
          <t xml:space="preserve">
Default</t>
        </r>
      </text>
    </comment>
  </commentList>
</comments>
</file>

<file path=xl/sharedStrings.xml><?xml version="1.0" encoding="utf-8"?>
<sst xmlns="http://schemas.openxmlformats.org/spreadsheetml/2006/main" count="105" uniqueCount="75">
  <si>
    <t>8)No. &amp; date of invoice</t>
  </si>
  <si>
    <t>2)For Account &amp; Risk of Messrs.</t>
  </si>
  <si>
    <t>LOT No.</t>
  </si>
  <si>
    <t>3)Notify party</t>
  </si>
  <si>
    <t>4)Port of loading</t>
  </si>
  <si>
    <t>5)Final destination</t>
  </si>
  <si>
    <t>6)Carrier</t>
  </si>
  <si>
    <t>7)Sailing on or about</t>
  </si>
  <si>
    <t>※</t>
  </si>
  <si>
    <t>//////////////////////////////////</t>
  </si>
  <si>
    <t xml:space="preserve">* BANK INFORMATION </t>
  </si>
  <si>
    <t>PACKING LIST</t>
  </si>
  <si>
    <t>9)Remarks :</t>
  </si>
  <si>
    <t>:</t>
  </si>
  <si>
    <t>COMMERCIAL INVOICE</t>
  </si>
  <si>
    <t>1)Shipper/Exporter/Manufacturer</t>
  </si>
  <si>
    <t>9) Terms of delivery and payment</t>
  </si>
  <si>
    <t>PO No.</t>
  </si>
  <si>
    <t>P/No.</t>
  </si>
  <si>
    <t>C/No.</t>
  </si>
  <si>
    <t>Q'TY/CTN</t>
  </si>
  <si>
    <t>18)Signed By</t>
  </si>
  <si>
    <t>17)Signed By</t>
  </si>
  <si>
    <t>Dong Nai Province, Vietnam</t>
  </si>
  <si>
    <t>MADE IN VIET NAM</t>
  </si>
  <si>
    <t>SKID No</t>
  </si>
  <si>
    <t>11)Remarks :</t>
  </si>
  <si>
    <t>FCA at OTM</t>
  </si>
  <si>
    <t>OT MOTOR VINA CO., LTD</t>
  </si>
  <si>
    <t>OT-220036</t>
  </si>
  <si>
    <t xml:space="preserve">Land Lot No B-3.1, Nhon Trach 6B Subdivision of IZ, </t>
  </si>
  <si>
    <t xml:space="preserve">Nhon Trach 6 IZ, Long Tho Commune, Nhon Trach Dist, </t>
  </si>
  <si>
    <t>T/T NET 60 DAYS</t>
  </si>
  <si>
    <t>Tel: 02513 569 066</t>
  </si>
  <si>
    <t>10) Country of Origin of Goods                   VIETNAM</t>
  </si>
  <si>
    <t>Joyson Safety Systems Japan K.K.</t>
  </si>
  <si>
    <t xml:space="preserve">385 Nagano  Aisho-cho Echigun </t>
  </si>
  <si>
    <t>SUPPLIER No.</t>
  </si>
  <si>
    <t>3102</t>
  </si>
  <si>
    <t>Shiga 529-1303</t>
  </si>
  <si>
    <t>OMV122</t>
  </si>
  <si>
    <t>=&gt; lấy từ POP</t>
  </si>
  <si>
    <t>Japan</t>
  </si>
  <si>
    <t>1160101-AC</t>
  </si>
  <si>
    <t>ATTN:  Hiroko Morino</t>
  </si>
  <si>
    <t>48-50</t>
  </si>
  <si>
    <t>Tel: +81-749-42-7869</t>
  </si>
  <si>
    <t>(3 PALLETS)</t>
  </si>
  <si>
    <t>1377-1600</t>
  </si>
  <si>
    <t>THE SAME AS ABOVE</t>
  </si>
  <si>
    <t>(96 CARTONS)</t>
  </si>
  <si>
    <t>108 PCS</t>
  </si>
  <si>
    <t>VIETNAM</t>
  </si>
  <si>
    <t>JAPAN</t>
  </si>
  <si>
    <t>NYK SILVIA 563N</t>
  </si>
  <si>
    <t>12)Shipping mark                          13)Description of goods    14)PO #     15)Quantity/Unit   16)Unit Price                    17)Amount</t>
  </si>
  <si>
    <t>18)Commodity HTS Number                                         " Automotive Component" (HS: 87082920)</t>
  </si>
  <si>
    <t>SHIPPING MARK &amp; NOS</t>
  </si>
  <si>
    <t>JOYSON</t>
  </si>
  <si>
    <t>CJ SPOOL 0101</t>
  </si>
  <si>
    <t>PO# OMV122</t>
  </si>
  <si>
    <t>(1160101-AC)</t>
  </si>
  <si>
    <t>C/NO.48-50</t>
  </si>
  <si>
    <t>MADE IN VIETNAM TO JAPAN</t>
  </si>
  <si>
    <t xml:space="preserve">  T O T A L:</t>
  </si>
  <si>
    <t>- Bank Name : Woori Bank Vietnam - Dong Nai Branch</t>
  </si>
  <si>
    <t xml:space="preserve">- Address : Ton Duc Thang Street, Nhon Trach 3 IDZ, Hiep Phuoc Commune, </t>
  </si>
  <si>
    <t>Nhon Trach District, Dong Nai Province, Vietnam</t>
  </si>
  <si>
    <t xml:space="preserve"> </t>
  </si>
  <si>
    <t>- Bank Account Number/SWIFT: 100-701-0095-26 // HVBKVNVXXXX</t>
  </si>
  <si>
    <t>1)Shipper/Exporter</t>
  </si>
  <si>
    <t xml:space="preserve">PALLET SIZE </t>
  </si>
  <si>
    <t>(110 x 84 x 91 cm)</t>
  </si>
  <si>
    <t>10)Shipping Mark                    11)Description of goods       12)PO#      13)Quantity    14)PALLET QTY  15)Net Weight 16)Gross Weight  17)Measurement</t>
  </si>
  <si>
    <t xml:space="preserve">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</si>
</sst>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(&quot;#\ &quot;SKIDS)&quot;"/>
    <numFmt numFmtId="165" formatCode="#,##0\ &quot;PCS&quot;"/>
    <numFmt numFmtId="166" formatCode="&quot;@$ &quot;0.0000"/>
    <numFmt numFmtId="167" formatCode="&quot;US$&quot;\ #,##0.00"/>
    <numFmt numFmtId="168" formatCode="0.000\ &quot;CBM&quot;"/>
    <numFmt numFmtId="169" formatCode="&quot;I-000&quot;##&quot;,&quot;"/>
    <numFmt numFmtId="170" formatCode="&quot;0&quot;00#"/>
    <numFmt numFmtId="171" formatCode="\(#\ &quot;BOXES)&quot;"/>
    <numFmt numFmtId="172" formatCode="&quot;US$&quot;#,##0.0000"/>
    <numFmt numFmtId="173" formatCode="&quot;US$&quot;#,##0.00"/>
    <numFmt numFmtId="174" formatCode="&quot;US$&quot;#,###.00"/>
    <numFmt numFmtId="175" formatCode="&quot;@$ &quot;0.000"/>
    <numFmt numFmtId="176" formatCode="&quot;￦ &quot;#,##0"/>
    <numFmt numFmtId="177" formatCode="&quot;￦ &quot;#,##0.00"/>
    <numFmt numFmtId="178" formatCode="#,##0\ &quot;SKID&quot;"/>
    <numFmt numFmtId="179" formatCode="#,##0\ &quot;kgs&quot;"/>
    <numFmt numFmtId="180" formatCode="##,###\ &quot;PALLETS&quot;"/>
    <numFmt numFmtId="181" formatCode="##,###\ &quot;KGS&quot;"/>
    <numFmt numFmtId="182" formatCode="&quot;US$&quot;#,##0.00_);[Red]\(&quot;US$&quot;#,##0.00\)"/>
    <numFmt numFmtId="183" formatCode="##,###.00\ &quot;KGS&quot;"/>
    <numFmt numFmtId="184" formatCode="#,##0\ &quot;CTNS&quot;"/>
    <numFmt numFmtId="185" formatCode="0.00\ &quot;CBM&quot;"/>
  </numFmts>
  <fonts count="19">
    <font>
      <sz val="10"/>
      <name val="MS Sans Serif"/>
      <family val="2"/>
    </font>
    <font>
      <sz val="10"/>
      <color indexed="8"/>
      <name val="Tahoma"/>
      <family val="2"/>
    </font>
    <font>
      <sz val="10"/>
      <name val="Tahoma"/>
      <family val="2"/>
    </font>
    <font>
      <sz val="10"/>
      <name val="MS Sans Serif"/>
      <family val="2"/>
    </font>
    <font>
      <b/>
      <sz val="20"/>
      <name val="Tahoma"/>
      <family val="2"/>
    </font>
    <font>
      <b/>
      <sz val="10"/>
      <name val="Tahoma"/>
      <family val="2"/>
    </font>
    <font>
      <sz val="10.5"/>
      <name val="바탕"/>
      <family val="1"/>
      <charset val="129"/>
    </font>
    <font>
      <sz val="9"/>
      <name val="Tahoma"/>
      <family val="2"/>
    </font>
    <font>
      <b/>
      <sz val="9"/>
      <name val="Tahoma"/>
      <family val="2"/>
    </font>
    <font>
      <b/>
      <sz val="10"/>
      <color indexed="8"/>
      <name val="Tahoma"/>
      <family val="2"/>
    </font>
    <font>
      <sz val="11"/>
      <color theme="1"/>
      <name val="Calibri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.5"/>
      <color indexed="8"/>
      <name val="Tahoma"/>
      <family val="2"/>
    </font>
    <font>
      <sz val="10.5"/>
      <name val="Tahoma"/>
      <family val="2"/>
    </font>
    <font>
      <b/>
      <sz val="9"/>
      <color indexed="8"/>
      <name val="Tahoma"/>
      <family val="2"/>
    </font>
    <font>
      <sz val="10"/>
      <color indexed="18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3" fillId="0" borderId="0" applyFont="0" applyFill="0" applyBorder="0" applyAlignment="0" applyProtection="0"/>
  </cellStyleXfs>
  <cellXfs count="186">
    <xf numFmtId="0" fontId="0" fillId="0" borderId="0" xfId="0"/>
    <xf numFmtId="0" fontId="1" fillId="2" borderId="0" xfId="0" quotePrefix="1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9" fontId="5" fillId="0" borderId="1" xfId="0" applyNumberFormat="1" applyFont="1" applyBorder="1" applyAlignment="1">
      <alignment horizontal="left" vertical="center"/>
    </xf>
    <xf numFmtId="16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5" fillId="3" borderId="0" xfId="0" quotePrefix="1" applyFont="1" applyFill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70" fontId="2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16" fontId="2" fillId="0" borderId="0" xfId="0" quotePrefix="1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171" fontId="2" fillId="0" borderId="0" xfId="0" applyNumberFormat="1" applyFont="1" applyAlignment="1">
      <alignment horizontal="left" vertical="center"/>
    </xf>
    <xf numFmtId="0" fontId="2" fillId="0" borderId="8" xfId="0" applyFont="1" applyBorder="1" applyAlignment="1">
      <alignment vertical="center"/>
    </xf>
    <xf numFmtId="165" fontId="1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165" fontId="1" fillId="2" borderId="0" xfId="0" applyNumberFormat="1" applyFont="1" applyFill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quotePrefix="1" applyFont="1" applyFill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1" fillId="0" borderId="0" xfId="1" applyFont="1">
      <alignment vertical="center"/>
    </xf>
    <xf numFmtId="0" fontId="11" fillId="0" borderId="0" xfId="2" applyFont="1">
      <alignment vertical="center"/>
    </xf>
    <xf numFmtId="0" fontId="11" fillId="3" borderId="0" xfId="2" applyFont="1" applyFill="1">
      <alignment vertical="center"/>
    </xf>
    <xf numFmtId="165" fontId="11" fillId="0" borderId="0" xfId="3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3" fontId="2" fillId="0" borderId="0" xfId="0" applyNumberFormat="1" applyFont="1" applyAlignment="1">
      <alignment horizontal="left" vertical="center"/>
    </xf>
    <xf numFmtId="173" fontId="11" fillId="2" borderId="0" xfId="4" applyNumberFormat="1" applyFont="1" applyFill="1">
      <alignment vertical="center"/>
    </xf>
    <xf numFmtId="0" fontId="11" fillId="0" borderId="0" xfId="5" applyFont="1">
      <alignment vertical="center"/>
    </xf>
    <xf numFmtId="165" fontId="5" fillId="0" borderId="0" xfId="0" applyNumberFormat="1" applyFont="1" applyAlignment="1">
      <alignment horizontal="left" vertical="center"/>
    </xf>
    <xf numFmtId="173" fontId="11" fillId="0" borderId="0" xfId="4" applyNumberFormat="1" applyFont="1">
      <alignment vertical="center"/>
    </xf>
    <xf numFmtId="173" fontId="2" fillId="0" borderId="0" xfId="0" applyNumberFormat="1" applyFont="1" applyAlignment="1">
      <alignment horizontal="right" vertical="center"/>
    </xf>
    <xf numFmtId="0" fontId="11" fillId="0" borderId="0" xfId="6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vertical="center"/>
    </xf>
    <xf numFmtId="165" fontId="12" fillId="0" borderId="18" xfId="3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vertical="center"/>
    </xf>
    <xf numFmtId="4" fontId="2" fillId="0" borderId="18" xfId="0" applyNumberFormat="1" applyFont="1" applyBorder="1" applyAlignment="1">
      <alignment vertical="center"/>
    </xf>
    <xf numFmtId="174" fontId="5" fillId="2" borderId="18" xfId="0" applyNumberFormat="1" applyFont="1" applyFill="1" applyBorder="1" applyAlignment="1">
      <alignment vertical="center"/>
    </xf>
    <xf numFmtId="174" fontId="5" fillId="2" borderId="18" xfId="0" applyNumberFormat="1" applyFont="1" applyFill="1" applyBorder="1" applyAlignment="1">
      <alignment horizontal="left" vertical="center"/>
    </xf>
    <xf numFmtId="167" fontId="2" fillId="0" borderId="18" xfId="0" applyNumberFormat="1" applyFont="1" applyBorder="1" applyAlignment="1">
      <alignment horizontal="center" vertical="center"/>
    </xf>
    <xf numFmtId="167" fontId="2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quotePrefix="1" applyNumberFormat="1" applyFont="1" applyFill="1" applyAlignment="1">
      <alignment horizontal="center" vertical="center"/>
    </xf>
    <xf numFmtId="175" fontId="2" fillId="2" borderId="0" xfId="0" applyNumberFormat="1" applyFont="1" applyFill="1" applyAlignment="1">
      <alignment vertical="center"/>
    </xf>
    <xf numFmtId="17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167" fontId="2" fillId="0" borderId="3" xfId="0" applyNumberFormat="1" applyFont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/>
    <xf numFmtId="0" fontId="14" fillId="2" borderId="0" xfId="0" quotePrefix="1" applyFont="1" applyFill="1" applyAlignment="1">
      <alignment vertical="center"/>
    </xf>
    <xf numFmtId="0" fontId="1" fillId="2" borderId="0" xfId="0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167" fontId="2" fillId="2" borderId="0" xfId="0" applyNumberFormat="1" applyFont="1" applyFill="1" applyAlignment="1">
      <alignment horizontal="right" vertical="center"/>
    </xf>
    <xf numFmtId="176" fontId="2" fillId="2" borderId="0" xfId="0" applyNumberFormat="1" applyFont="1" applyFill="1" applyAlignment="1">
      <alignment vertical="center"/>
    </xf>
    <xf numFmtId="177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169" fontId="5" fillId="2" borderId="5" xfId="0" applyNumberFormat="1" applyFont="1" applyFill="1" applyBorder="1" applyAlignment="1">
      <alignment vertical="center"/>
    </xf>
    <xf numFmtId="169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/>
    </xf>
    <xf numFmtId="171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70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left" vertical="center"/>
    </xf>
    <xf numFmtId="168" fontId="1" fillId="2" borderId="0" xfId="0" applyNumberFormat="1" applyFont="1" applyFill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79" fontId="2" fillId="2" borderId="0" xfId="0" applyNumberFormat="1" applyFont="1" applyFill="1" applyAlignment="1">
      <alignment horizontal="left" vertical="center"/>
    </xf>
    <xf numFmtId="168" fontId="1" fillId="2" borderId="0" xfId="0" quotePrefix="1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80" fontId="2" fillId="2" borderId="0" xfId="7" quotePrefix="1" applyNumberFormat="1" applyFont="1" applyFill="1" applyAlignment="1">
      <alignment horizontal="center" vertical="center"/>
    </xf>
    <xf numFmtId="181" fontId="2" fillId="2" borderId="0" xfId="7" quotePrefix="1" applyNumberFormat="1" applyFont="1" applyFill="1" applyAlignment="1">
      <alignment horizontal="center" vertical="center"/>
    </xf>
    <xf numFmtId="182" fontId="2" fillId="2" borderId="0" xfId="0" quotePrefix="1" applyNumberFormat="1" applyFont="1" applyFill="1" applyAlignment="1">
      <alignment horizontal="center" vertical="center"/>
    </xf>
    <xf numFmtId="183" fontId="2" fillId="0" borderId="0" xfId="7" quotePrefix="1" applyNumberFormat="1" applyFont="1" applyFill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81" fontId="2" fillId="2" borderId="0" xfId="0" applyNumberFormat="1" applyFont="1" applyFill="1" applyAlignment="1">
      <alignment horizontal="right" vertical="center"/>
    </xf>
    <xf numFmtId="183" fontId="2" fillId="2" borderId="0" xfId="7" quotePrefix="1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165" fontId="11" fillId="0" borderId="0" xfId="2" applyNumberFormat="1" applyFont="1">
      <alignment vertical="center"/>
    </xf>
    <xf numFmtId="167" fontId="2" fillId="2" borderId="0" xfId="0" applyNumberFormat="1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5" fillId="2" borderId="18" xfId="0" applyFont="1" applyFill="1" applyBorder="1" applyAlignment="1">
      <alignment vertical="center"/>
    </xf>
    <xf numFmtId="165" fontId="5" fillId="2" borderId="18" xfId="0" applyNumberFormat="1" applyFont="1" applyFill="1" applyBorder="1" applyAlignment="1">
      <alignment vertical="center"/>
    </xf>
    <xf numFmtId="181" fontId="5" fillId="2" borderId="18" xfId="7" quotePrefix="1" applyNumberFormat="1" applyFont="1" applyFill="1" applyBorder="1" applyAlignment="1">
      <alignment vertical="center"/>
    </xf>
    <xf numFmtId="180" fontId="5" fillId="2" borderId="18" xfId="7" quotePrefix="1" applyNumberFormat="1" applyFont="1" applyFill="1" applyBorder="1" applyAlignment="1">
      <alignment vertical="center"/>
    </xf>
    <xf numFmtId="183" fontId="5" fillId="2" borderId="18" xfId="7" quotePrefix="1" applyNumberFormat="1" applyFont="1" applyFill="1" applyBorder="1" applyAlignment="1">
      <alignment horizontal="center" vertical="center"/>
    </xf>
    <xf numFmtId="168" fontId="9" fillId="0" borderId="18" xfId="0" applyNumberFormat="1" applyFont="1" applyBorder="1" applyAlignment="1">
      <alignment horizontal="center" vertical="center"/>
    </xf>
    <xf numFmtId="185" fontId="1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8" fontId="2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right" vertical="center"/>
    </xf>
    <xf numFmtId="185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79" fontId="1" fillId="2" borderId="0" xfId="0" applyNumberFormat="1" applyFont="1" applyFill="1" applyAlignment="1">
      <alignment horizontal="right" vertical="center"/>
    </xf>
    <xf numFmtId="185" fontId="2" fillId="2" borderId="0" xfId="0" applyNumberFormat="1" applyFont="1" applyFill="1" applyAlignment="1">
      <alignment horizontal="right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5" fontId="5" fillId="2" borderId="18" xfId="0" applyNumberFormat="1" applyFont="1" applyFill="1" applyBorder="1" applyAlignment="1">
      <alignment horizontal="center" vertical="center"/>
    </xf>
    <xf numFmtId="181" fontId="2" fillId="2" borderId="0" xfId="7" quotePrefix="1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84" fontId="2" fillId="2" borderId="0" xfId="0" applyNumberFormat="1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5" fontId="5" fillId="2" borderId="5" xfId="0" applyNumberFormat="1" applyFont="1" applyFill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15" fontId="5" fillId="2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73" fontId="2" fillId="2" borderId="0" xfId="0" applyNumberFormat="1" applyFont="1" applyFill="1" applyAlignment="1">
      <alignment horizontal="center" vertical="center"/>
    </xf>
    <xf numFmtId="165" fontId="2" fillId="0" borderId="18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2" fontId="11" fillId="2" borderId="0" xfId="4" applyNumberFormat="1" applyFont="1" applyFill="1" applyAlignment="1">
      <alignment horizontal="center" vertical="center" wrapText="1"/>
    </xf>
    <xf numFmtId="172" fontId="11" fillId="2" borderId="0" xfId="4" applyNumberFormat="1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8">
    <cellStyle name="Comma [0] 2" xfId="7" xr:uid="{9582B39B-8263-4047-AC8D-892C3806D5F9}"/>
    <cellStyle name="Normal" xfId="0" builtinId="0"/>
    <cellStyle name="표준 14 10 2" xfId="2" xr:uid="{029D2F3B-2F28-472B-9BB1-BC8A66C25E29}"/>
    <cellStyle name="표준 15" xfId="5" xr:uid="{A21B2203-1B76-4A8C-841F-FA26C248BE77}"/>
    <cellStyle name="표준 2 158" xfId="1" xr:uid="{CD60E956-3374-4419-8EFC-5C32380B1943}"/>
    <cellStyle name="표준 68 2" xfId="3" xr:uid="{E113FEFA-AA73-4401-B456-6E80439BB5A5}"/>
    <cellStyle name="표준 69" xfId="6" xr:uid="{9704B24D-9287-4A3E-A4ED-87C4CC010BB7}"/>
    <cellStyle name="표준 74 2" xfId="4" xr:uid="{611BD644-38A5-4DDA-AB14-66C3ECADD8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88</xdr:row>
      <xdr:rowOff>0</xdr:rowOff>
    </xdr:from>
    <xdr:to>
      <xdr:col>25</xdr:col>
      <xdr:colOff>38536</xdr:colOff>
      <xdr:row>97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1C2A5-B305-4C9B-8068-AE151874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0" y="18954750"/>
          <a:ext cx="2343586" cy="1733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25</xdr:col>
      <xdr:colOff>38536</xdr:colOff>
      <xdr:row>45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31D70E-DE33-42F7-AD68-01EF8E68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0" y="8048625"/>
          <a:ext cx="2343586" cy="1733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5"/>
  <sheetViews>
    <sheetView showGridLines="0" showZeros="0" tabSelected="1" topLeftCell="B1" workbookViewId="0">
      <selection activeCell="B1" sqref="B1:W1"/>
    </sheetView>
  </sheetViews>
  <sheetFormatPr defaultColWidth="9.140625" defaultRowHeight="17.25" customHeight="1"/>
  <cols>
    <col min="1" max="1" width="1.85546875" style="3" hidden="1" customWidth="1"/>
    <col min="2" max="2" width="2.7109375" style="3" customWidth="1"/>
    <col min="3" max="3" width="7.5703125" style="3" customWidth="1"/>
    <col min="4" max="4" width="1.28515625" style="3" customWidth="1"/>
    <col min="5" max="5" width="6.5703125" style="3" customWidth="1"/>
    <col min="6" max="6" width="11" style="3" customWidth="1"/>
    <col min="7" max="7" width="4.42578125" style="3" customWidth="1"/>
    <col min="8" max="8" width="2.85546875" style="3" customWidth="1"/>
    <col min="9" max="9" width="8" style="3" customWidth="1"/>
    <col min="10" max="10" width="5.85546875" style="3" customWidth="1"/>
    <col min="11" max="11" width="2" style="3" customWidth="1"/>
    <col min="12" max="12" width="17.42578125" style="3" customWidth="1"/>
    <col min="13" max="13" width="4" style="3" customWidth="1"/>
    <col min="14" max="14" width="11.28515625" style="3" customWidth="1"/>
    <col min="15" max="15" width="1.28515625" style="3" customWidth="1"/>
    <col min="16" max="16" width="13.7109375" style="3" customWidth="1"/>
    <col min="17" max="17" width="1.42578125" style="3" customWidth="1"/>
    <col min="18" max="18" width="12.140625" style="3" customWidth="1"/>
    <col min="19" max="19" width="2.42578125" style="3" customWidth="1"/>
    <col min="20" max="20" width="13.7109375" style="3" customWidth="1"/>
    <col min="21" max="21" width="2.42578125" style="3" customWidth="1"/>
    <col min="22" max="22" width="14.85546875" style="3" customWidth="1"/>
    <col min="23" max="23" width="0.5703125" style="3" hidden="1" customWidth="1"/>
    <col min="24" max="24" width="1" style="3" hidden="1" customWidth="1"/>
    <col min="25" max="30" width="2.28515625" style="3" customWidth="1"/>
    <col min="31" max="31" width="9.5703125" style="3" customWidth="1"/>
    <col min="32" max="32" width="22.42578125" style="3" customWidth="1"/>
    <col min="33" max="16384" width="9.140625" style="3"/>
  </cols>
  <sheetData>
    <row r="1" spans="2:30" ht="34.5" customHeight="1">
      <c r="B1" s="172" t="s">
        <v>14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</row>
    <row r="2" spans="2:30" ht="18" customHeight="1">
      <c r="B2" s="4" t="s">
        <v>15</v>
      </c>
      <c r="J2" s="5"/>
      <c r="K2" s="4" t="s">
        <v>0</v>
      </c>
      <c r="L2" s="4"/>
      <c r="M2" s="4"/>
      <c r="N2" s="4"/>
      <c r="O2" s="4"/>
      <c r="P2" s="4"/>
      <c r="Q2" s="4"/>
      <c r="R2" s="4"/>
      <c r="S2" s="4"/>
      <c r="T2" s="4"/>
    </row>
    <row r="3" spans="2:30" ht="18" customHeight="1">
      <c r="C3" s="6" t="s">
        <v>28</v>
      </c>
      <c r="D3" s="7"/>
      <c r="E3" s="7"/>
      <c r="F3" s="7"/>
      <c r="J3" s="5"/>
      <c r="K3" s="8" t="s">
        <v>29</v>
      </c>
      <c r="M3" s="9"/>
      <c r="N3" s="9"/>
      <c r="O3" s="10"/>
      <c r="P3" s="10"/>
      <c r="Q3" s="10"/>
      <c r="R3" s="10"/>
      <c r="T3" s="178">
        <v>44602</v>
      </c>
      <c r="U3" s="178"/>
      <c r="V3" s="178"/>
      <c r="W3" s="10"/>
    </row>
    <row r="4" spans="2:30" ht="18" customHeight="1">
      <c r="C4" s="11" t="s">
        <v>30</v>
      </c>
      <c r="D4" s="6"/>
      <c r="E4" s="6"/>
      <c r="F4" s="6"/>
      <c r="G4" s="7"/>
      <c r="H4" s="7"/>
      <c r="I4" s="7"/>
      <c r="J4" s="5"/>
      <c r="K4" s="12" t="s">
        <v>16</v>
      </c>
      <c r="L4" s="12"/>
      <c r="M4" s="12"/>
      <c r="N4" s="12"/>
      <c r="O4" s="12"/>
      <c r="P4" s="12"/>
      <c r="Q4" s="12"/>
      <c r="R4" s="12"/>
      <c r="S4" s="12"/>
      <c r="T4" s="4"/>
    </row>
    <row r="5" spans="2:30" ht="18" customHeight="1">
      <c r="C5" s="7" t="s">
        <v>31</v>
      </c>
      <c r="D5" s="7"/>
      <c r="E5" s="7"/>
      <c r="F5" s="7"/>
      <c r="G5" s="7"/>
      <c r="H5" s="7"/>
      <c r="I5" s="7"/>
      <c r="J5" s="5"/>
      <c r="K5" s="13"/>
      <c r="L5" s="168" t="s">
        <v>27</v>
      </c>
      <c r="M5" s="168"/>
      <c r="N5" s="168"/>
      <c r="O5" s="4"/>
      <c r="P5" s="4"/>
      <c r="Q5" s="4"/>
      <c r="R5" s="4"/>
      <c r="S5" s="4"/>
      <c r="T5" s="4"/>
    </row>
    <row r="6" spans="2:30" ht="18" customHeight="1">
      <c r="C6" s="7" t="s">
        <v>23</v>
      </c>
      <c r="D6" s="7"/>
      <c r="E6" s="7"/>
      <c r="F6" s="7"/>
      <c r="G6" s="7"/>
      <c r="H6" s="7"/>
      <c r="I6" s="7"/>
      <c r="J6" s="5"/>
      <c r="L6" s="3" t="s">
        <v>32</v>
      </c>
      <c r="M6" s="4"/>
      <c r="N6" s="4"/>
    </row>
    <row r="7" spans="2:30" ht="18" customHeight="1">
      <c r="B7" s="10"/>
      <c r="C7" s="11" t="s">
        <v>33</v>
      </c>
      <c r="D7" s="7"/>
      <c r="E7" s="7"/>
      <c r="F7" s="7"/>
      <c r="G7" s="7"/>
      <c r="H7" s="7"/>
      <c r="I7" s="7"/>
      <c r="J7" s="10"/>
      <c r="K7" s="14" t="s">
        <v>34</v>
      </c>
      <c r="L7" s="12"/>
      <c r="M7" s="12"/>
      <c r="N7" s="12"/>
      <c r="O7" s="12"/>
      <c r="P7" s="12"/>
      <c r="Q7" s="12"/>
      <c r="R7" s="12"/>
      <c r="S7" s="12"/>
      <c r="T7" s="12"/>
      <c r="U7" s="15"/>
      <c r="V7" s="15"/>
      <c r="W7" s="15"/>
    </row>
    <row r="8" spans="2:30" ht="18" customHeight="1">
      <c r="B8" s="16" t="s">
        <v>1</v>
      </c>
      <c r="C8" s="17"/>
      <c r="D8" s="17"/>
      <c r="E8" s="17"/>
      <c r="F8" s="17"/>
      <c r="G8" s="17"/>
      <c r="H8" s="17"/>
      <c r="I8" s="17"/>
      <c r="J8" s="17"/>
      <c r="K8" s="18"/>
      <c r="L8" s="19"/>
      <c r="M8" s="10"/>
      <c r="N8" s="10"/>
      <c r="O8" s="10"/>
      <c r="P8" s="19"/>
      <c r="Q8" s="19"/>
      <c r="R8" s="19"/>
      <c r="S8" s="19"/>
      <c r="T8" s="19"/>
      <c r="U8" s="19"/>
      <c r="V8" s="19"/>
      <c r="W8" s="19"/>
      <c r="X8" s="7"/>
      <c r="Y8" s="7"/>
      <c r="Z8" s="7"/>
      <c r="AA8" s="7"/>
      <c r="AB8" s="7"/>
      <c r="AC8" s="7"/>
      <c r="AD8" s="7"/>
    </row>
    <row r="9" spans="2:30" ht="18" customHeight="1">
      <c r="B9" s="7"/>
      <c r="C9" s="4" t="s">
        <v>35</v>
      </c>
      <c r="D9" s="7"/>
      <c r="E9" s="7"/>
      <c r="F9" s="7"/>
      <c r="G9" s="6"/>
      <c r="H9" s="6"/>
      <c r="I9" s="7"/>
      <c r="J9" s="7"/>
      <c r="K9" s="20" t="s">
        <v>26</v>
      </c>
      <c r="L9" s="17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2:30" ht="18" customHeight="1">
      <c r="B10" s="7"/>
      <c r="C10" s="21" t="s">
        <v>36</v>
      </c>
      <c r="D10" s="7"/>
      <c r="E10" s="7"/>
      <c r="F10" s="7"/>
      <c r="G10" s="6"/>
      <c r="H10" s="6"/>
      <c r="I10" s="6"/>
      <c r="J10" s="6"/>
      <c r="K10" s="22"/>
      <c r="M10" s="23" t="s">
        <v>8</v>
      </c>
      <c r="N10" s="7" t="s">
        <v>37</v>
      </c>
      <c r="O10" s="23" t="s">
        <v>13</v>
      </c>
      <c r="P10" s="24" t="s">
        <v>38</v>
      </c>
      <c r="Q10" s="11"/>
      <c r="R10" s="11"/>
      <c r="S10" s="26"/>
      <c r="T10" s="11"/>
      <c r="U10" s="11"/>
      <c r="V10" s="7"/>
      <c r="W10" s="11"/>
      <c r="X10" s="7"/>
      <c r="Y10" s="27"/>
    </row>
    <row r="11" spans="2:30" ht="18" customHeight="1">
      <c r="B11" s="7"/>
      <c r="C11" s="21" t="s">
        <v>39</v>
      </c>
      <c r="D11" s="27"/>
      <c r="E11" s="27"/>
      <c r="F11" s="27"/>
      <c r="G11" s="27"/>
      <c r="H11" s="27"/>
      <c r="I11" s="6"/>
      <c r="J11" s="6"/>
      <c r="K11" s="28"/>
      <c r="M11" s="23" t="s">
        <v>8</v>
      </c>
      <c r="N11" s="3" t="s">
        <v>17</v>
      </c>
      <c r="O11" s="3" t="s">
        <v>13</v>
      </c>
      <c r="P11" s="3" t="s">
        <v>40</v>
      </c>
      <c r="Q11" s="7"/>
      <c r="R11" s="25" t="s">
        <v>41</v>
      </c>
      <c r="S11" s="7"/>
      <c r="T11" s="11"/>
      <c r="U11" s="7"/>
      <c r="V11" s="11"/>
      <c r="W11" s="7"/>
      <c r="X11" s="7"/>
      <c r="Y11" s="11"/>
    </row>
    <row r="12" spans="2:30" ht="18" customHeight="1">
      <c r="B12" s="7"/>
      <c r="C12" s="27" t="s">
        <v>42</v>
      </c>
      <c r="D12" s="27"/>
      <c r="E12" s="27"/>
      <c r="F12" s="27"/>
      <c r="G12" s="27"/>
      <c r="H12" s="27"/>
      <c r="J12" s="29"/>
      <c r="K12" s="30"/>
      <c r="M12" s="23" t="s">
        <v>8</v>
      </c>
      <c r="N12" s="7" t="s">
        <v>18</v>
      </c>
      <c r="O12" s="23" t="s">
        <v>13</v>
      </c>
      <c r="P12" s="7" t="s">
        <v>43</v>
      </c>
      <c r="Q12" s="7"/>
      <c r="R12" s="31"/>
      <c r="S12" s="7"/>
      <c r="T12" s="32"/>
      <c r="U12" s="7"/>
      <c r="V12" s="32"/>
      <c r="W12" s="7"/>
      <c r="X12" s="7"/>
      <c r="Y12" s="32"/>
    </row>
    <row r="13" spans="2:30" ht="18" customHeight="1">
      <c r="B13" s="7"/>
      <c r="C13" s="6" t="s">
        <v>44</v>
      </c>
      <c r="J13" s="29"/>
      <c r="K13" s="33"/>
      <c r="M13" s="23" t="s">
        <v>8</v>
      </c>
      <c r="N13" s="7" t="s">
        <v>2</v>
      </c>
      <c r="O13" s="23" t="s">
        <v>13</v>
      </c>
      <c r="P13" s="34" t="s">
        <v>45</v>
      </c>
      <c r="Q13" s="7"/>
      <c r="R13" s="25" t="s">
        <v>41</v>
      </c>
      <c r="S13" s="7"/>
      <c r="T13" s="11"/>
      <c r="U13" s="7"/>
      <c r="V13" s="11"/>
      <c r="W13" s="7"/>
      <c r="X13" s="7" t="e">
        <f>5664*#REF!</f>
        <v>#REF!</v>
      </c>
      <c r="Y13" s="11"/>
    </row>
    <row r="14" spans="2:30" ht="18" customHeight="1">
      <c r="B14" s="7"/>
      <c r="C14" s="7" t="s">
        <v>46</v>
      </c>
      <c r="D14" s="7"/>
      <c r="E14" s="7"/>
      <c r="F14" s="11"/>
      <c r="J14" s="5"/>
      <c r="M14" s="23" t="s">
        <v>8</v>
      </c>
      <c r="N14" s="7" t="s">
        <v>25</v>
      </c>
      <c r="O14" s="23" t="s">
        <v>13</v>
      </c>
      <c r="P14" s="34" t="s">
        <v>45</v>
      </c>
      <c r="Q14" s="7"/>
      <c r="R14" s="25" t="s">
        <v>41</v>
      </c>
      <c r="S14" s="7"/>
      <c r="T14" s="35"/>
      <c r="U14" s="7"/>
      <c r="V14" s="35"/>
      <c r="W14" s="7"/>
      <c r="X14" s="7"/>
      <c r="Y14" s="35"/>
    </row>
    <row r="15" spans="2:30" ht="18" customHeight="1">
      <c r="C15" s="10"/>
      <c r="J15" s="36"/>
      <c r="K15" s="23"/>
      <c r="P15" s="3" t="s">
        <v>47</v>
      </c>
      <c r="Q15" s="7"/>
      <c r="R15" s="25" t="s">
        <v>41</v>
      </c>
      <c r="S15" s="7"/>
      <c r="T15" s="37"/>
      <c r="U15" s="7"/>
      <c r="V15" s="37"/>
      <c r="W15" s="7"/>
      <c r="X15" s="7"/>
      <c r="Y15" s="37"/>
    </row>
    <row r="16" spans="2:30" ht="18" customHeight="1">
      <c r="B16" s="16" t="s">
        <v>3</v>
      </c>
      <c r="C16" s="7"/>
      <c r="D16" s="17"/>
      <c r="E16" s="17"/>
      <c r="F16" s="17"/>
      <c r="G16" s="17"/>
      <c r="H16" s="17"/>
      <c r="I16" s="17"/>
      <c r="J16" s="38"/>
      <c r="M16" s="23" t="s">
        <v>8</v>
      </c>
      <c r="N16" s="7" t="s">
        <v>19</v>
      </c>
      <c r="O16" s="23" t="s">
        <v>13</v>
      </c>
      <c r="P16" s="24" t="s">
        <v>48</v>
      </c>
      <c r="R16" s="25" t="s">
        <v>41</v>
      </c>
      <c r="T16" s="29"/>
      <c r="U16" s="7"/>
      <c r="V16" s="39"/>
      <c r="W16" s="7"/>
      <c r="X16" s="7"/>
      <c r="Y16" s="39"/>
    </row>
    <row r="17" spans="2:32" ht="18" customHeight="1">
      <c r="B17" s="6"/>
      <c r="C17" s="6" t="s">
        <v>49</v>
      </c>
      <c r="D17" s="7"/>
      <c r="E17" s="7"/>
      <c r="F17" s="7"/>
      <c r="G17" s="7"/>
      <c r="H17" s="7"/>
      <c r="I17" s="7"/>
      <c r="J17" s="40"/>
      <c r="K17" s="7"/>
      <c r="M17" s="6"/>
      <c r="N17" s="6"/>
      <c r="O17" s="6"/>
      <c r="P17" s="7" t="s">
        <v>50</v>
      </c>
      <c r="R17" s="25" t="s">
        <v>41</v>
      </c>
      <c r="U17" s="41"/>
      <c r="V17" s="41"/>
    </row>
    <row r="18" spans="2:32" ht="18" customHeight="1">
      <c r="B18" s="19"/>
      <c r="C18" s="19"/>
      <c r="D18" s="19"/>
      <c r="E18" s="19"/>
      <c r="F18" s="19"/>
      <c r="G18" s="19"/>
      <c r="H18" s="19"/>
      <c r="I18" s="10"/>
      <c r="J18" s="36"/>
      <c r="M18" s="23" t="s">
        <v>8</v>
      </c>
      <c r="N18" s="7" t="s">
        <v>20</v>
      </c>
      <c r="O18" s="23" t="s">
        <v>13</v>
      </c>
      <c r="P18" s="7" t="s">
        <v>51</v>
      </c>
    </row>
    <row r="19" spans="2:32" ht="18" customHeight="1">
      <c r="B19" s="4" t="s">
        <v>4</v>
      </c>
      <c r="F19" s="5"/>
      <c r="G19" s="42" t="s">
        <v>5</v>
      </c>
      <c r="H19" s="4"/>
      <c r="I19" s="4"/>
      <c r="J19" s="43"/>
      <c r="L19" s="7"/>
      <c r="M19" s="7"/>
      <c r="N19" s="7"/>
      <c r="O19" s="7"/>
      <c r="S19" s="44"/>
      <c r="U19" s="45"/>
      <c r="V19" s="21"/>
      <c r="W19" s="46"/>
    </row>
    <row r="20" spans="2:32" ht="18" customHeight="1">
      <c r="B20" s="10"/>
      <c r="C20" s="158" t="s">
        <v>52</v>
      </c>
      <c r="D20" s="158"/>
      <c r="E20" s="158"/>
      <c r="F20" s="159"/>
      <c r="G20" s="179" t="s">
        <v>53</v>
      </c>
      <c r="H20" s="180"/>
      <c r="I20" s="180"/>
      <c r="J20" s="181"/>
      <c r="L20" s="23"/>
      <c r="M20" s="7"/>
      <c r="N20" s="7"/>
      <c r="O20" s="23"/>
      <c r="P20" s="47"/>
      <c r="Q20" s="7"/>
      <c r="R20" s="7"/>
      <c r="S20" s="39"/>
      <c r="U20" s="39"/>
      <c r="V20" s="39"/>
      <c r="W20" s="39"/>
      <c r="X20" s="7"/>
      <c r="Y20" s="7"/>
      <c r="Z20" s="7"/>
      <c r="AA20" s="7"/>
      <c r="AB20" s="7"/>
      <c r="AC20" s="7"/>
      <c r="AD20" s="7"/>
    </row>
    <row r="21" spans="2:32" ht="18" customHeight="1">
      <c r="B21" s="4" t="s">
        <v>6</v>
      </c>
      <c r="F21" s="5"/>
      <c r="G21" s="48" t="s">
        <v>7</v>
      </c>
      <c r="H21" s="4"/>
      <c r="I21" s="4"/>
      <c r="J21" s="43"/>
      <c r="L21" s="23"/>
      <c r="M21" s="7"/>
      <c r="N21" s="7"/>
      <c r="O21" s="7"/>
      <c r="P21" s="7"/>
      <c r="Q21" s="7"/>
      <c r="R21" s="7"/>
      <c r="S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2" s="4" customFormat="1" ht="18" customHeight="1">
      <c r="B22" s="182" t="s">
        <v>54</v>
      </c>
      <c r="C22" s="182"/>
      <c r="D22" s="182"/>
      <c r="E22" s="182"/>
      <c r="F22" s="183"/>
      <c r="G22" s="165">
        <v>44607</v>
      </c>
      <c r="H22" s="166"/>
      <c r="I22" s="166"/>
      <c r="J22" s="167"/>
      <c r="L22" s="49"/>
      <c r="M22" s="6"/>
      <c r="N22" s="5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2:32" ht="15" customHeight="1">
      <c r="B23" s="184" t="s">
        <v>55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7"/>
      <c r="Z23" s="7"/>
      <c r="AA23" s="7"/>
      <c r="AB23" s="7"/>
      <c r="AC23" s="7"/>
      <c r="AD23" s="7"/>
    </row>
    <row r="24" spans="2:32" ht="6" customHeight="1"/>
    <row r="25" spans="2:32" ht="15" customHeight="1">
      <c r="B25" s="168" t="s">
        <v>56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</row>
    <row r="26" spans="2:32" ht="15" customHeight="1" thickBot="1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85"/>
      <c r="S26" s="185"/>
      <c r="T26" s="185"/>
      <c r="U26" s="13"/>
      <c r="V26" s="13"/>
      <c r="W26" s="13"/>
      <c r="AF26" s="3">
        <f>AF25/5000</f>
        <v>0</v>
      </c>
    </row>
    <row r="27" spans="2:32" ht="21.75" customHeight="1">
      <c r="B27" s="13"/>
      <c r="C27" s="155" t="s">
        <v>57</v>
      </c>
      <c r="D27" s="156"/>
      <c r="E27" s="156"/>
      <c r="F27" s="157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2:32" ht="20.100000000000001" customHeight="1">
      <c r="B28" s="13"/>
      <c r="C28" s="147" t="s">
        <v>58</v>
      </c>
      <c r="D28" s="148"/>
      <c r="E28" s="148"/>
      <c r="F28" s="149"/>
      <c r="H28" s="11">
        <v>1</v>
      </c>
      <c r="I28" s="51" t="s">
        <v>59</v>
      </c>
      <c r="J28" s="52"/>
      <c r="K28" s="52"/>
      <c r="L28" s="53" t="str">
        <f>P11</f>
        <v>OMV122</v>
      </c>
      <c r="M28" s="13"/>
      <c r="N28" s="54">
        <v>10368</v>
      </c>
      <c r="O28" s="13"/>
      <c r="P28" s="173">
        <v>0.61580000000000001</v>
      </c>
      <c r="Q28" s="174"/>
      <c r="S28" s="55"/>
      <c r="T28" s="56">
        <f>ROUND(P28*N28,2)</f>
        <v>6384.61</v>
      </c>
      <c r="U28" s="13"/>
      <c r="V28" s="13"/>
      <c r="W28" s="13"/>
    </row>
    <row r="29" spans="2:32" ht="20.100000000000001" customHeight="1">
      <c r="B29" s="13"/>
      <c r="C29" s="175" t="s">
        <v>60</v>
      </c>
      <c r="D29" s="176"/>
      <c r="E29" s="176"/>
      <c r="F29" s="177"/>
      <c r="H29" s="11"/>
      <c r="I29" s="51" t="s">
        <v>61</v>
      </c>
      <c r="J29" s="52"/>
      <c r="K29" s="52"/>
      <c r="L29" s="52"/>
      <c r="M29" s="13"/>
      <c r="N29" s="54"/>
      <c r="O29" s="13"/>
      <c r="P29" s="13"/>
      <c r="Q29" s="57"/>
      <c r="S29" s="55"/>
      <c r="T29" s="56"/>
      <c r="U29" s="13"/>
      <c r="V29" s="13"/>
      <c r="W29" s="13"/>
    </row>
    <row r="30" spans="2:32" ht="20.100000000000001" customHeight="1">
      <c r="B30" s="13"/>
      <c r="C30" s="175" t="s">
        <v>62</v>
      </c>
      <c r="D30" s="176"/>
      <c r="E30" s="176"/>
      <c r="F30" s="177"/>
      <c r="G30" s="13"/>
      <c r="H30" s="13"/>
      <c r="I30" s="58"/>
      <c r="J30" s="52"/>
      <c r="K30" s="52"/>
      <c r="L30" s="13"/>
      <c r="M30" s="13"/>
      <c r="N30" s="54"/>
      <c r="O30" s="13"/>
      <c r="P30" s="57"/>
      <c r="Q30" s="55"/>
      <c r="R30" s="169"/>
      <c r="S30" s="169"/>
      <c r="T30" s="169"/>
      <c r="U30" s="13"/>
      <c r="V30" s="13"/>
      <c r="W30" s="13"/>
    </row>
    <row r="31" spans="2:32" ht="15" customHeight="1" thickBot="1">
      <c r="B31" s="13"/>
      <c r="C31" s="151" t="s">
        <v>63</v>
      </c>
      <c r="D31" s="152"/>
      <c r="E31" s="152"/>
      <c r="F31" s="153"/>
      <c r="G31" s="11"/>
      <c r="H31" s="11"/>
      <c r="I31" s="13"/>
      <c r="J31" s="13"/>
      <c r="K31" s="13"/>
      <c r="L31" s="13"/>
      <c r="M31" s="13"/>
      <c r="N31" s="54"/>
      <c r="O31" s="59"/>
      <c r="P31" s="60"/>
      <c r="Q31" s="13"/>
      <c r="R31" s="61"/>
      <c r="S31" s="13"/>
      <c r="T31" s="62"/>
      <c r="U31" s="13"/>
      <c r="V31" s="13"/>
      <c r="W31" s="13"/>
    </row>
    <row r="32" spans="2:32" ht="15" customHeight="1">
      <c r="B32" s="13"/>
      <c r="C32" s="11"/>
      <c r="D32" s="13"/>
      <c r="E32" s="13"/>
      <c r="F32" s="51"/>
      <c r="G32" s="11"/>
      <c r="H32" s="11"/>
      <c r="I32" s="13"/>
      <c r="J32" s="13"/>
      <c r="K32" s="13"/>
      <c r="L32" s="13"/>
      <c r="M32" s="13"/>
      <c r="N32" s="54"/>
      <c r="O32" s="59"/>
      <c r="P32" s="60"/>
      <c r="Q32" s="13"/>
      <c r="R32" s="61"/>
      <c r="S32" s="13"/>
      <c r="T32" s="62"/>
      <c r="U32" s="13"/>
      <c r="V32" s="13"/>
      <c r="W32" s="13"/>
    </row>
    <row r="33" spans="2:25" ht="15" customHeight="1">
      <c r="B33" s="13"/>
      <c r="C33" s="11"/>
      <c r="D33" s="13"/>
      <c r="E33" s="13"/>
      <c r="F33" s="63" t="s">
        <v>64</v>
      </c>
      <c r="G33" s="64"/>
      <c r="H33" s="64"/>
      <c r="I33" s="170">
        <f>SUM(J37:M38)</f>
        <v>0</v>
      </c>
      <c r="J33" s="170"/>
      <c r="K33" s="170"/>
      <c r="L33" s="170"/>
      <c r="M33" s="170"/>
      <c r="N33" s="65">
        <f>SUM(N28:N30)</f>
        <v>10368</v>
      </c>
      <c r="O33" s="66"/>
      <c r="P33" s="64"/>
      <c r="Q33" s="67"/>
      <c r="R33" s="68"/>
      <c r="S33" s="68"/>
      <c r="T33" s="69">
        <f>SUM(T28:V30)</f>
        <v>6384.61</v>
      </c>
      <c r="U33" s="70"/>
      <c r="V33" s="71"/>
      <c r="W33" s="13"/>
    </row>
    <row r="34" spans="2:25" ht="15" customHeight="1">
      <c r="B34" s="13"/>
      <c r="C34" s="11"/>
      <c r="D34" s="13"/>
      <c r="E34" s="13"/>
      <c r="F34" s="51"/>
      <c r="G34" s="11"/>
      <c r="H34" s="11"/>
      <c r="I34" s="13"/>
      <c r="J34" s="13"/>
      <c r="K34" s="13"/>
      <c r="L34" s="13"/>
      <c r="M34" s="13"/>
      <c r="N34" s="54"/>
      <c r="O34" s="59"/>
      <c r="P34" s="60"/>
      <c r="Q34" s="13"/>
      <c r="R34" s="61"/>
      <c r="S34" s="13"/>
      <c r="T34" s="62"/>
      <c r="U34" s="13"/>
      <c r="V34" s="13"/>
      <c r="W34" s="13"/>
    </row>
    <row r="35" spans="2:25" ht="15" customHeight="1">
      <c r="B35" s="13"/>
      <c r="C35" s="72" t="s">
        <v>24</v>
      </c>
      <c r="D35" s="72"/>
      <c r="E35" s="7"/>
      <c r="F35" s="7"/>
      <c r="G35" s="11"/>
      <c r="H35" s="11"/>
      <c r="I35" s="13"/>
      <c r="J35" s="13"/>
      <c r="K35" s="13"/>
      <c r="L35" s="13"/>
      <c r="M35" s="13"/>
      <c r="N35" s="54"/>
      <c r="O35" s="59"/>
      <c r="P35" s="60"/>
      <c r="Q35" s="13"/>
      <c r="R35" s="61"/>
      <c r="S35" s="13"/>
      <c r="T35" s="62"/>
      <c r="U35" s="13"/>
      <c r="V35" s="13"/>
      <c r="W35" s="13"/>
    </row>
    <row r="36" spans="2:25" ht="15" customHeight="1">
      <c r="B36" s="13"/>
      <c r="C36" s="72" t="s">
        <v>9</v>
      </c>
      <c r="D36" s="72"/>
      <c r="E36" s="7"/>
      <c r="F36" s="7"/>
      <c r="G36" s="11"/>
      <c r="H36" s="11"/>
      <c r="I36" s="13"/>
      <c r="J36" s="13"/>
      <c r="K36" s="13"/>
      <c r="L36" s="13"/>
      <c r="M36" s="13"/>
      <c r="N36" s="54"/>
      <c r="O36" s="59"/>
      <c r="P36" s="60"/>
      <c r="Q36" s="13"/>
      <c r="R36" s="61"/>
      <c r="S36" s="13"/>
      <c r="T36" s="62"/>
      <c r="U36" s="13"/>
      <c r="V36" s="13"/>
      <c r="W36" s="13"/>
    </row>
    <row r="37" spans="2:25" ht="14.25" customHeight="1">
      <c r="B37" s="7"/>
      <c r="C37" s="7"/>
      <c r="D37" s="7"/>
      <c r="E37" s="11"/>
      <c r="F37" s="24"/>
      <c r="G37" s="73"/>
      <c r="H37" s="73"/>
      <c r="I37" s="73"/>
      <c r="J37" s="74"/>
      <c r="K37" s="74"/>
      <c r="L37" s="74"/>
      <c r="M37" s="74"/>
      <c r="N37" s="75"/>
      <c r="O37" s="75"/>
      <c r="P37" s="76"/>
      <c r="Q37" s="77"/>
      <c r="R37" s="77"/>
      <c r="S37" s="78"/>
      <c r="T37" s="79"/>
      <c r="W37" s="79"/>
      <c r="Y37" s="80"/>
    </row>
    <row r="38" spans="2:25" ht="14.25" customHeight="1">
      <c r="B38" s="7"/>
      <c r="C38" s="7"/>
      <c r="D38" s="7"/>
      <c r="E38" s="11"/>
      <c r="F38" s="24"/>
      <c r="J38" s="171"/>
      <c r="K38" s="171"/>
      <c r="L38" s="171"/>
      <c r="M38" s="171"/>
      <c r="P38" s="76"/>
      <c r="T38" s="79"/>
      <c r="W38" s="81"/>
      <c r="Y38" s="80"/>
    </row>
    <row r="39" spans="2:25" ht="14.25" customHeight="1">
      <c r="B39" s="7"/>
      <c r="C39" s="7"/>
      <c r="D39" s="7"/>
      <c r="E39" s="11"/>
      <c r="W39" s="82"/>
      <c r="Y39" s="80"/>
    </row>
    <row r="40" spans="2:25" ht="14.25" customHeight="1">
      <c r="B40" s="7"/>
      <c r="C40" s="7"/>
      <c r="D40" s="7"/>
      <c r="E40" s="11"/>
      <c r="Y40" s="80"/>
    </row>
    <row r="41" spans="2:25" ht="14.25" customHeight="1">
      <c r="B41" s="7"/>
      <c r="C41" s="7"/>
      <c r="D41" s="7"/>
      <c r="E41" s="11"/>
      <c r="Y41" s="80"/>
    </row>
    <row r="42" spans="2:25" ht="15" customHeight="1">
      <c r="C42" s="83" t="s">
        <v>10</v>
      </c>
      <c r="D42" s="84"/>
      <c r="E42" s="85"/>
      <c r="F42" s="86"/>
      <c r="G42" s="85"/>
      <c r="H42" s="85"/>
      <c r="I42" s="85"/>
      <c r="J42" s="85"/>
      <c r="K42" s="85"/>
      <c r="L42" s="85"/>
      <c r="M42" s="85"/>
      <c r="N42" s="85"/>
      <c r="Y42" s="80"/>
    </row>
    <row r="43" spans="2:25" ht="14.25" customHeight="1">
      <c r="C43" s="84"/>
      <c r="D43" s="84"/>
      <c r="E43" s="84"/>
      <c r="F43" s="1" t="s">
        <v>65</v>
      </c>
      <c r="G43" s="87"/>
      <c r="H43" s="73"/>
      <c r="I43" s="85"/>
      <c r="J43" s="85"/>
      <c r="K43" s="85"/>
      <c r="L43" s="85"/>
      <c r="M43" s="85"/>
      <c r="N43" s="85"/>
      <c r="Q43" s="88"/>
      <c r="R43" s="88"/>
      <c r="S43" s="89"/>
      <c r="T43" s="90"/>
      <c r="U43" s="90"/>
      <c r="V43" s="91"/>
      <c r="W43" s="90"/>
      <c r="Y43" s="80"/>
    </row>
    <row r="44" spans="2:25" ht="15" customHeight="1">
      <c r="C44" s="84"/>
      <c r="D44" s="84"/>
      <c r="E44" s="84"/>
      <c r="F44" s="2" t="s">
        <v>66</v>
      </c>
      <c r="G44" s="73"/>
      <c r="H44" s="73"/>
      <c r="I44" s="85"/>
      <c r="J44" s="85"/>
      <c r="K44" s="85"/>
      <c r="L44" s="85"/>
      <c r="M44" s="85"/>
      <c r="N44" s="85"/>
      <c r="Q44" s="88"/>
      <c r="R44" s="88"/>
      <c r="S44" s="89"/>
      <c r="T44" s="90"/>
      <c r="U44" s="90"/>
      <c r="V44" s="90"/>
      <c r="W44" s="90"/>
    </row>
    <row r="45" spans="2:25" ht="15" customHeight="1">
      <c r="C45" s="84"/>
      <c r="D45" s="84"/>
      <c r="E45" s="84"/>
      <c r="F45" s="3" t="s">
        <v>67</v>
      </c>
      <c r="I45" s="84"/>
      <c r="J45" s="84"/>
      <c r="K45" s="84"/>
      <c r="L45" s="84"/>
      <c r="M45" s="84"/>
      <c r="N45" s="84"/>
      <c r="O45" s="92"/>
      <c r="Q45" s="88"/>
      <c r="R45" s="88" t="s">
        <v>68</v>
      </c>
      <c r="S45" s="89"/>
      <c r="T45" s="90"/>
      <c r="U45" s="90"/>
      <c r="V45" s="90"/>
      <c r="W45" s="90"/>
    </row>
    <row r="46" spans="2:25" ht="15" customHeight="1">
      <c r="B46" s="87"/>
      <c r="C46" s="84"/>
      <c r="D46" s="84"/>
      <c r="E46" s="84"/>
      <c r="F46" s="2" t="s">
        <v>69</v>
      </c>
      <c r="I46" s="84"/>
      <c r="J46" s="84"/>
      <c r="K46" s="84"/>
      <c r="L46" s="84"/>
      <c r="M46" s="84"/>
      <c r="N46" s="84"/>
      <c r="O46" s="92"/>
      <c r="P46" s="4" t="s">
        <v>21</v>
      </c>
      <c r="R46" s="10"/>
      <c r="S46" s="10"/>
      <c r="T46" s="10"/>
      <c r="U46" s="10"/>
      <c r="V46" s="10"/>
      <c r="W46" s="10"/>
    </row>
    <row r="47" spans="2:25" ht="15" customHeight="1">
      <c r="B47" s="4"/>
    </row>
    <row r="48" spans="2:25" ht="15" customHeight="1">
      <c r="G48" s="87"/>
    </row>
    <row r="49" spans="2:29" ht="15" customHeight="1">
      <c r="B49" s="4"/>
    </row>
    <row r="50" spans="2:29" ht="34.5" customHeight="1">
      <c r="B50" s="172" t="s">
        <v>11</v>
      </c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</row>
    <row r="51" spans="2:29" ht="18" customHeight="1">
      <c r="B51" s="4" t="s">
        <v>70</v>
      </c>
      <c r="J51" s="5"/>
      <c r="K51" s="14" t="s">
        <v>0</v>
      </c>
      <c r="L51" s="12"/>
      <c r="M51" s="12"/>
      <c r="N51" s="93"/>
      <c r="O51" s="93"/>
      <c r="P51" s="93"/>
      <c r="Q51" s="93"/>
      <c r="R51" s="93"/>
      <c r="S51" s="12"/>
      <c r="T51" s="12"/>
      <c r="U51" s="15"/>
      <c r="V51" s="15"/>
    </row>
    <row r="52" spans="2:29" ht="18" customHeight="1">
      <c r="C52" s="4" t="str">
        <f>C3</f>
        <v>OT MOTOR VINA CO., LTD</v>
      </c>
      <c r="J52" s="5"/>
      <c r="K52" s="94" t="str">
        <f>K3</f>
        <v>OT-220036</v>
      </c>
      <c r="L52" s="95"/>
      <c r="M52" s="96"/>
      <c r="N52" s="96"/>
      <c r="O52" s="10"/>
      <c r="P52" s="10"/>
      <c r="Q52" s="10"/>
      <c r="R52" s="10"/>
      <c r="S52" s="10"/>
      <c r="T52" s="178">
        <f>T3</f>
        <v>44602</v>
      </c>
      <c r="U52" s="178"/>
      <c r="V52" s="178"/>
    </row>
    <row r="53" spans="2:29" ht="18" customHeight="1">
      <c r="C53" s="3" t="str">
        <f>C4</f>
        <v xml:space="preserve">Land Lot No B-3.1, Nhon Trach 6B Subdivision of IZ, </v>
      </c>
      <c r="J53" s="5"/>
      <c r="K53" s="4" t="s">
        <v>12</v>
      </c>
      <c r="L53" s="4"/>
      <c r="M53" s="4"/>
      <c r="N53" s="4"/>
      <c r="O53" s="4"/>
      <c r="P53" s="4"/>
      <c r="Q53" s="4"/>
      <c r="R53" s="4"/>
      <c r="S53" s="4"/>
      <c r="T53" s="4"/>
      <c r="W53" s="10"/>
    </row>
    <row r="54" spans="2:29" ht="18" customHeight="1">
      <c r="C54" s="3" t="str">
        <f>C5</f>
        <v xml:space="preserve">Nhon Trach 6 IZ, Long Tho Commune, Nhon Trach Dist, </v>
      </c>
      <c r="J54" s="5"/>
      <c r="K54" s="4"/>
      <c r="L54" s="80"/>
      <c r="O54" s="80"/>
      <c r="P54" s="87"/>
      <c r="Q54" s="97"/>
      <c r="R54" s="87"/>
      <c r="T54" s="87"/>
    </row>
    <row r="55" spans="2:29" ht="18" customHeight="1">
      <c r="C55" s="3" t="str">
        <f>C6</f>
        <v>Dong Nai Province, Vietnam</v>
      </c>
      <c r="J55" s="5"/>
      <c r="M55" s="3" t="str">
        <f>M12</f>
        <v>※</v>
      </c>
      <c r="N55" s="3" t="str">
        <f>N12</f>
        <v>P/No.</v>
      </c>
      <c r="O55" s="3" t="str">
        <f>O12</f>
        <v>:</v>
      </c>
      <c r="P55" s="3" t="str">
        <f>P12</f>
        <v>1160101-AC</v>
      </c>
      <c r="Q55" s="21"/>
      <c r="R55" s="21"/>
      <c r="S55" s="21"/>
      <c r="T55" s="21"/>
      <c r="U55" s="21"/>
      <c r="V55" s="21"/>
    </row>
    <row r="56" spans="2:29" ht="18" customHeight="1">
      <c r="C56" s="3" t="str">
        <f>C7</f>
        <v>Tel: 02513 569 066</v>
      </c>
      <c r="J56" s="5"/>
      <c r="M56" s="3" t="str">
        <f t="shared" ref="M56:P62" si="0">M13</f>
        <v>※</v>
      </c>
      <c r="N56" s="3" t="str">
        <f t="shared" si="0"/>
        <v>LOT No.</v>
      </c>
      <c r="O56" s="3" t="str">
        <f t="shared" si="0"/>
        <v>:</v>
      </c>
      <c r="P56" s="21" t="str">
        <f t="shared" si="0"/>
        <v>48-50</v>
      </c>
      <c r="Q56" s="21"/>
      <c r="R56" s="21"/>
      <c r="S56" s="21"/>
      <c r="T56" s="21"/>
      <c r="U56" s="21"/>
      <c r="V56" s="21"/>
    </row>
    <row r="57" spans="2:29" ht="9" customHeight="1">
      <c r="C57" s="4"/>
      <c r="J57" s="5"/>
      <c r="M57" s="3" t="str">
        <f t="shared" si="0"/>
        <v>※</v>
      </c>
      <c r="N57" s="3" t="str">
        <f t="shared" si="0"/>
        <v>SKID No</v>
      </c>
      <c r="O57" s="3" t="str">
        <f t="shared" si="0"/>
        <v>:</v>
      </c>
      <c r="P57" s="21" t="str">
        <f t="shared" si="0"/>
        <v>48-50</v>
      </c>
      <c r="Q57" s="21"/>
      <c r="R57" s="21"/>
      <c r="S57" s="21"/>
      <c r="T57" s="21"/>
      <c r="U57" s="21"/>
      <c r="V57" s="21"/>
      <c r="W57" s="87"/>
    </row>
    <row r="58" spans="2:29" ht="18" customHeight="1">
      <c r="B58" s="12" t="s">
        <v>1</v>
      </c>
      <c r="C58" s="15"/>
      <c r="D58" s="15"/>
      <c r="E58" s="15"/>
      <c r="F58" s="15"/>
      <c r="G58" s="15"/>
      <c r="H58" s="15"/>
      <c r="I58" s="15"/>
      <c r="J58" s="98"/>
      <c r="K58" s="4"/>
      <c r="L58" s="80"/>
      <c r="M58" s="3">
        <f t="shared" si="0"/>
        <v>0</v>
      </c>
      <c r="N58" s="3">
        <f t="shared" si="0"/>
        <v>0</v>
      </c>
      <c r="O58" s="3">
        <f t="shared" si="0"/>
        <v>0</v>
      </c>
      <c r="P58" s="3" t="str">
        <f t="shared" si="0"/>
        <v>(3 PALLETS)</v>
      </c>
      <c r="Q58" s="21"/>
      <c r="R58" s="21"/>
      <c r="S58" s="21"/>
      <c r="T58" s="21"/>
      <c r="U58" s="21"/>
      <c r="V58" s="21"/>
      <c r="W58" s="39"/>
      <c r="Y58" s="21"/>
    </row>
    <row r="59" spans="2:29" ht="18" customHeight="1">
      <c r="B59" s="7"/>
      <c r="C59" s="6" t="str">
        <f t="shared" ref="C59:C64" si="1">C9</f>
        <v>Joyson Safety Systems Japan K.K.</v>
      </c>
      <c r="D59" s="7"/>
      <c r="E59" s="7"/>
      <c r="F59" s="7"/>
      <c r="G59" s="7"/>
      <c r="J59" s="5"/>
      <c r="M59" s="3" t="str">
        <f t="shared" si="0"/>
        <v>※</v>
      </c>
      <c r="N59" s="3" t="str">
        <f t="shared" si="0"/>
        <v>C/No.</v>
      </c>
      <c r="O59" s="3" t="str">
        <f t="shared" si="0"/>
        <v>:</v>
      </c>
      <c r="P59" s="3" t="str">
        <f t="shared" si="0"/>
        <v>1377-1600</v>
      </c>
      <c r="Q59" s="27"/>
      <c r="R59" s="27"/>
      <c r="S59" s="27"/>
      <c r="T59" s="27"/>
      <c r="U59" s="99"/>
      <c r="V59" s="99"/>
      <c r="W59" s="39"/>
      <c r="Y59" s="21"/>
    </row>
    <row r="60" spans="2:29" ht="18" customHeight="1">
      <c r="B60" s="7"/>
      <c r="C60" s="7" t="str">
        <f t="shared" si="1"/>
        <v xml:space="preserve">385 Nagano  Aisho-cho Echigun </v>
      </c>
      <c r="D60" s="7"/>
      <c r="E60" s="7"/>
      <c r="F60" s="7"/>
      <c r="G60" s="7"/>
      <c r="J60" s="5"/>
      <c r="M60" s="3">
        <f t="shared" si="0"/>
        <v>0</v>
      </c>
      <c r="N60" s="3">
        <f t="shared" si="0"/>
        <v>0</v>
      </c>
      <c r="O60" s="3">
        <f t="shared" si="0"/>
        <v>0</v>
      </c>
      <c r="P60" s="3" t="str">
        <f t="shared" si="0"/>
        <v>(96 CARTONS)</v>
      </c>
      <c r="Q60" s="27"/>
      <c r="R60" s="27"/>
      <c r="S60" s="27"/>
      <c r="T60" s="39"/>
      <c r="U60" s="99"/>
      <c r="V60" s="99"/>
      <c r="W60" s="39"/>
      <c r="Y60" s="100"/>
    </row>
    <row r="61" spans="2:29" ht="18" customHeight="1">
      <c r="B61" s="7"/>
      <c r="C61" s="7" t="str">
        <f t="shared" si="1"/>
        <v>Shiga 529-1303</v>
      </c>
      <c r="D61" s="7"/>
      <c r="E61" s="7"/>
      <c r="F61" s="7"/>
      <c r="G61" s="7"/>
      <c r="J61" s="5"/>
      <c r="M61" s="3" t="str">
        <f t="shared" si="0"/>
        <v>※</v>
      </c>
      <c r="N61" s="3" t="str">
        <f t="shared" si="0"/>
        <v>Q'TY/CTN</v>
      </c>
      <c r="O61" s="3" t="str">
        <f t="shared" si="0"/>
        <v>:</v>
      </c>
      <c r="P61" s="3" t="str">
        <f t="shared" si="0"/>
        <v>108 PCS</v>
      </c>
      <c r="Q61" s="101"/>
      <c r="R61" s="101"/>
      <c r="S61" s="101"/>
      <c r="T61" s="101"/>
      <c r="U61" s="37"/>
      <c r="V61" s="37"/>
      <c r="W61" s="39"/>
      <c r="Y61" s="27"/>
    </row>
    <row r="62" spans="2:29" ht="18" customHeight="1">
      <c r="B62" s="7"/>
      <c r="C62" s="7" t="str">
        <f t="shared" si="1"/>
        <v>Japan</v>
      </c>
      <c r="D62" s="7"/>
      <c r="E62" s="7"/>
      <c r="F62" s="7"/>
      <c r="G62" s="7"/>
      <c r="J62" s="5"/>
      <c r="M62" s="3">
        <f t="shared" si="0"/>
        <v>0</v>
      </c>
      <c r="N62" s="3">
        <f t="shared" si="0"/>
        <v>0</v>
      </c>
      <c r="O62" s="3">
        <f t="shared" si="0"/>
        <v>0</v>
      </c>
      <c r="P62" s="3">
        <f t="shared" si="0"/>
        <v>0</v>
      </c>
      <c r="Q62" s="41"/>
      <c r="R62" s="41"/>
      <c r="S62" s="41"/>
      <c r="T62" s="39"/>
      <c r="U62" s="39"/>
      <c r="V62" s="39"/>
      <c r="W62" s="39"/>
      <c r="Y62" s="21"/>
    </row>
    <row r="63" spans="2:29" ht="18" customHeight="1">
      <c r="B63" s="7"/>
      <c r="C63" s="6" t="str">
        <f t="shared" si="1"/>
        <v>ATTN:  Hiroko Morino</v>
      </c>
      <c r="D63" s="7"/>
      <c r="E63" s="7"/>
      <c r="F63" s="7"/>
      <c r="G63" s="7"/>
      <c r="J63" s="5"/>
      <c r="W63" s="39"/>
      <c r="Y63" s="101"/>
    </row>
    <row r="64" spans="2:29" ht="18" customHeight="1">
      <c r="B64" s="7"/>
      <c r="C64" s="7" t="str">
        <f t="shared" si="1"/>
        <v>Tel: +81-749-42-7869</v>
      </c>
      <c r="D64" s="7"/>
      <c r="E64" s="7"/>
      <c r="F64" s="7"/>
      <c r="G64" s="7"/>
      <c r="J64" s="5"/>
      <c r="W64" s="39"/>
      <c r="Y64" s="41"/>
      <c r="AC64" s="11"/>
    </row>
    <row r="65" spans="2:44" ht="18" customHeight="1">
      <c r="B65" s="7"/>
      <c r="C65" s="10"/>
      <c r="D65" s="7"/>
      <c r="E65" s="7"/>
      <c r="F65" s="7"/>
      <c r="G65" s="7"/>
      <c r="J65" s="5"/>
      <c r="L65" s="80"/>
      <c r="O65" s="23"/>
      <c r="P65" s="11"/>
      <c r="Q65" s="39"/>
      <c r="R65" s="39"/>
      <c r="S65" s="39"/>
      <c r="T65" s="39"/>
      <c r="U65" s="39"/>
      <c r="V65" s="39"/>
      <c r="W65" s="39"/>
      <c r="AC65" s="99"/>
    </row>
    <row r="66" spans="2:44" ht="18" customHeight="1">
      <c r="B66" s="16" t="s">
        <v>3</v>
      </c>
      <c r="C66" s="17"/>
      <c r="D66" s="17"/>
      <c r="E66" s="17"/>
      <c r="F66" s="17"/>
      <c r="G66" s="17"/>
      <c r="H66" s="15"/>
      <c r="I66" s="15"/>
      <c r="J66" s="98"/>
      <c r="L66" s="80"/>
      <c r="O66" s="102"/>
      <c r="P66" s="103"/>
      <c r="Q66" s="73"/>
      <c r="R66" s="7"/>
      <c r="S66" s="104"/>
      <c r="T66" s="104"/>
      <c r="U66" s="104"/>
      <c r="V66" s="47"/>
      <c r="W66" s="73"/>
      <c r="AC66" s="11"/>
    </row>
    <row r="67" spans="2:44" ht="11.25" customHeight="1">
      <c r="B67" s="7"/>
      <c r="C67" s="7"/>
      <c r="D67" s="7"/>
      <c r="E67" s="7"/>
      <c r="F67" s="7"/>
      <c r="G67" s="7"/>
      <c r="J67" s="5"/>
      <c r="L67" s="80"/>
      <c r="O67" s="102"/>
      <c r="P67" s="105"/>
      <c r="Q67" s="7"/>
      <c r="R67" s="7"/>
      <c r="S67" s="104"/>
      <c r="T67" s="104"/>
      <c r="U67" s="104"/>
      <c r="V67" s="47"/>
      <c r="W67" s="47"/>
      <c r="AC67" s="37"/>
    </row>
    <row r="68" spans="2:44" ht="18" customHeight="1">
      <c r="B68" s="7"/>
      <c r="C68" s="4" t="str">
        <f>C17</f>
        <v>THE SAME AS ABOVE</v>
      </c>
      <c r="D68" s="7"/>
      <c r="E68" s="7"/>
      <c r="F68" s="7"/>
      <c r="G68" s="7"/>
      <c r="J68" s="5"/>
      <c r="L68" s="80"/>
      <c r="O68" s="102"/>
      <c r="P68" s="103"/>
      <c r="Q68" s="73"/>
      <c r="R68" s="7"/>
      <c r="S68" s="104"/>
      <c r="T68" s="104"/>
      <c r="U68" s="73"/>
      <c r="V68" s="47"/>
      <c r="W68" s="73"/>
      <c r="AC68" s="39"/>
    </row>
    <row r="69" spans="2:44" ht="18" customHeight="1">
      <c r="C69" s="3">
        <f>C18</f>
        <v>0</v>
      </c>
      <c r="J69" s="5"/>
      <c r="L69" s="23" t="s">
        <v>8</v>
      </c>
      <c r="M69" s="7" t="s">
        <v>71</v>
      </c>
      <c r="N69" s="7"/>
      <c r="O69" s="106" t="s">
        <v>13</v>
      </c>
      <c r="P69" s="107">
        <v>0.84</v>
      </c>
      <c r="Q69" s="73"/>
      <c r="R69" s="7" t="s">
        <v>72</v>
      </c>
      <c r="S69" s="104"/>
      <c r="U69" s="108"/>
      <c r="V69" s="97"/>
      <c r="W69" s="7"/>
    </row>
    <row r="70" spans="2:44" ht="14.25" customHeight="1">
      <c r="B70" s="12" t="s">
        <v>4</v>
      </c>
      <c r="C70" s="15"/>
      <c r="D70" s="15"/>
      <c r="E70" s="15"/>
      <c r="F70" s="98"/>
      <c r="G70" s="14" t="s">
        <v>5</v>
      </c>
      <c r="H70" s="12"/>
      <c r="I70" s="12"/>
      <c r="J70" s="109"/>
    </row>
    <row r="71" spans="2:44" ht="25.5" customHeight="1">
      <c r="B71" s="158" t="str">
        <f>C20</f>
        <v>VIETNAM</v>
      </c>
      <c r="C71" s="158"/>
      <c r="D71" s="158"/>
      <c r="E71" s="158"/>
      <c r="F71" s="159"/>
      <c r="G71" s="160" t="str">
        <f>G20</f>
        <v>JAPAN</v>
      </c>
      <c r="H71" s="161"/>
      <c r="I71" s="161"/>
      <c r="J71" s="162"/>
      <c r="W71" s="7"/>
      <c r="AF71" s="3">
        <f>0.85*P31</f>
        <v>0</v>
      </c>
    </row>
    <row r="72" spans="2:44" ht="18" customHeight="1">
      <c r="B72" s="4" t="s">
        <v>6</v>
      </c>
      <c r="F72" s="5"/>
      <c r="G72" s="48" t="s">
        <v>7</v>
      </c>
      <c r="H72" s="4"/>
      <c r="I72" s="4"/>
      <c r="J72" s="43"/>
      <c r="K72" s="110"/>
      <c r="L72" s="80"/>
      <c r="O72" s="80"/>
      <c r="P72" s="111"/>
      <c r="V72" s="112"/>
      <c r="W72" s="112"/>
    </row>
    <row r="73" spans="2:44" s="4" customFormat="1" ht="18" customHeight="1">
      <c r="B73" s="163" t="str">
        <f>B22</f>
        <v>NYK SILVIA 563N</v>
      </c>
      <c r="C73" s="163"/>
      <c r="D73" s="163"/>
      <c r="E73" s="163"/>
      <c r="F73" s="164"/>
      <c r="G73" s="165">
        <f>G22</f>
        <v>44607</v>
      </c>
      <c r="H73" s="166"/>
      <c r="I73" s="166"/>
      <c r="J73" s="167"/>
      <c r="K73" s="42"/>
      <c r="L73" s="113">
        <f>L22</f>
        <v>0</v>
      </c>
      <c r="M73" s="4">
        <f>M22</f>
        <v>0</v>
      </c>
      <c r="O73" s="113"/>
      <c r="P73" s="55"/>
    </row>
    <row r="74" spans="2:44" ht="15" customHeight="1">
      <c r="B74" s="12" t="s">
        <v>73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2"/>
      <c r="T74" s="12"/>
      <c r="U74" s="15"/>
      <c r="V74" s="15"/>
      <c r="W74" s="15"/>
    </row>
    <row r="75" spans="2:44" ht="15" customHeight="1"/>
    <row r="76" spans="2:44" ht="15" customHeight="1">
      <c r="B76" s="168" t="s">
        <v>56</v>
      </c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</row>
    <row r="77" spans="2:44" ht="15.75" customHeight="1" thickBot="1">
      <c r="B77" s="80"/>
      <c r="C77" s="80"/>
      <c r="D77" s="80"/>
      <c r="E77" s="80"/>
      <c r="F77" s="21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23"/>
    </row>
    <row r="78" spans="2:44" ht="15.75" customHeight="1">
      <c r="C78" s="155" t="str">
        <f>C27</f>
        <v>SHIPPING MARK &amp; NOS</v>
      </c>
      <c r="D78" s="156"/>
      <c r="E78" s="156"/>
      <c r="F78" s="157"/>
      <c r="H78" s="21">
        <v>1</v>
      </c>
      <c r="I78" s="3" t="str">
        <f>I28</f>
        <v>CJ SPOOL 0101</v>
      </c>
      <c r="L78" s="3" t="str">
        <f>L28</f>
        <v>OMV122</v>
      </c>
      <c r="M78" s="150">
        <f>N28</f>
        <v>10368</v>
      </c>
      <c r="N78" s="150"/>
      <c r="P78" s="114">
        <f>M78/3456</f>
        <v>3</v>
      </c>
      <c r="R78" s="115">
        <f>0.0995*M78</f>
        <v>1031.616</v>
      </c>
      <c r="S78" s="116"/>
      <c r="T78" s="117">
        <f>381.8*P78</f>
        <v>1145.4000000000001</v>
      </c>
      <c r="U78" s="118"/>
      <c r="V78" s="104">
        <f>P69*P78</f>
        <v>2.52</v>
      </c>
      <c r="W78" s="79"/>
      <c r="AF78" s="73"/>
      <c r="AG78" s="119"/>
      <c r="AH78" s="119"/>
      <c r="AI78" s="119"/>
      <c r="AJ78" s="119"/>
      <c r="AK78" s="119"/>
      <c r="AL78" s="77"/>
      <c r="AM78" s="78"/>
      <c r="AN78" s="78"/>
      <c r="AO78" s="78"/>
      <c r="AP78" s="79"/>
      <c r="AQ78" s="81"/>
      <c r="AR78" s="81"/>
    </row>
    <row r="79" spans="2:44" ht="15.75" customHeight="1">
      <c r="C79" s="147" t="str">
        <f t="shared" ref="C79:C82" si="2">C28</f>
        <v>JOYSON</v>
      </c>
      <c r="D79" s="148"/>
      <c r="E79" s="148"/>
      <c r="F79" s="149"/>
      <c r="G79" s="21"/>
      <c r="H79" s="21"/>
      <c r="I79" s="3">
        <f>I33</f>
        <v>0</v>
      </c>
      <c r="M79" s="150"/>
      <c r="N79" s="150"/>
      <c r="O79" s="120"/>
      <c r="P79" s="120"/>
      <c r="Q79" s="120"/>
      <c r="R79" s="115"/>
      <c r="S79" s="116"/>
      <c r="T79" s="121"/>
      <c r="U79" s="76"/>
      <c r="V79" s="122"/>
      <c r="W79" s="79"/>
      <c r="AF79" s="73"/>
      <c r="AG79" s="119"/>
      <c r="AH79" s="119"/>
      <c r="AI79" s="119"/>
      <c r="AJ79" s="119"/>
      <c r="AK79" s="119"/>
      <c r="AL79" s="77"/>
      <c r="AM79" s="78"/>
      <c r="AN79" s="78"/>
      <c r="AO79" s="78"/>
      <c r="AP79" s="79"/>
      <c r="AQ79" s="81"/>
      <c r="AR79" s="81"/>
    </row>
    <row r="80" spans="2:44" ht="15.75" customHeight="1">
      <c r="C80" s="147" t="str">
        <f t="shared" si="2"/>
        <v>PO# OMV122</v>
      </c>
      <c r="D80" s="148"/>
      <c r="E80" s="148"/>
      <c r="F80" s="149"/>
      <c r="G80" s="58"/>
      <c r="H80" s="58"/>
      <c r="I80" s="52"/>
      <c r="J80" s="52"/>
      <c r="K80" s="123"/>
      <c r="L80" s="52"/>
      <c r="M80" s="154"/>
      <c r="N80" s="154"/>
      <c r="O80" s="145"/>
      <c r="P80" s="145"/>
      <c r="Q80" s="116"/>
      <c r="R80" s="117"/>
      <c r="S80" s="118"/>
      <c r="T80" s="146"/>
      <c r="U80" s="146"/>
      <c r="V80" s="146"/>
      <c r="W80" s="79"/>
      <c r="AF80" s="73"/>
      <c r="AG80" s="119"/>
      <c r="AH80" s="119"/>
      <c r="AI80" s="119"/>
      <c r="AJ80" s="119"/>
      <c r="AK80" s="119"/>
      <c r="AL80" s="77"/>
      <c r="AM80" s="78"/>
      <c r="AN80" s="78"/>
      <c r="AO80" s="78"/>
      <c r="AP80" s="79"/>
      <c r="AQ80" s="81"/>
      <c r="AR80" s="81"/>
    </row>
    <row r="81" spans="2:44" ht="15.75" customHeight="1">
      <c r="C81" s="147" t="str">
        <f t="shared" si="2"/>
        <v>C/NO.48-50</v>
      </c>
      <c r="D81" s="148"/>
      <c r="E81" s="148"/>
      <c r="F81" s="149"/>
      <c r="G81" s="58"/>
      <c r="H81" s="58"/>
      <c r="I81" s="52"/>
      <c r="J81" s="52"/>
      <c r="K81" s="123"/>
      <c r="L81" s="52"/>
      <c r="M81" s="150"/>
      <c r="N81" s="150"/>
      <c r="O81" s="120"/>
      <c r="P81" s="115"/>
      <c r="Q81" s="116"/>
      <c r="R81" s="121"/>
      <c r="S81" s="76"/>
      <c r="T81" s="124"/>
      <c r="U81" s="125"/>
      <c r="V81" s="125"/>
      <c r="W81" s="79"/>
      <c r="AF81" s="73"/>
      <c r="AG81" s="119"/>
      <c r="AH81" s="119"/>
      <c r="AI81" s="119"/>
      <c r="AJ81" s="119"/>
      <c r="AK81" s="119"/>
      <c r="AL81" s="77"/>
      <c r="AM81" s="78"/>
      <c r="AN81" s="78"/>
      <c r="AO81" s="78"/>
      <c r="AP81" s="79"/>
      <c r="AQ81" s="81"/>
      <c r="AR81" s="81"/>
    </row>
    <row r="82" spans="2:44" ht="15.75" customHeight="1" thickBot="1">
      <c r="C82" s="151" t="str">
        <f t="shared" si="2"/>
        <v>MADE IN VIETNAM TO JAPAN</v>
      </c>
      <c r="D82" s="152"/>
      <c r="E82" s="152"/>
      <c r="F82" s="153"/>
      <c r="G82" s="58"/>
      <c r="H82" s="58"/>
      <c r="I82" s="52"/>
      <c r="J82" s="52"/>
      <c r="K82" s="123"/>
      <c r="L82" s="52"/>
      <c r="M82" s="154"/>
      <c r="N82" s="154"/>
      <c r="O82" s="145"/>
      <c r="P82" s="145"/>
      <c r="Q82" s="116"/>
      <c r="R82" s="117"/>
      <c r="S82" s="118"/>
      <c r="T82" s="146"/>
      <c r="U82" s="146"/>
      <c r="V82" s="146"/>
      <c r="W82" s="81"/>
      <c r="AF82" s="74"/>
      <c r="AG82" s="74"/>
      <c r="AH82" s="74"/>
      <c r="AI82" s="74"/>
      <c r="AJ82" s="119"/>
      <c r="AK82" s="126"/>
      <c r="AL82" s="76"/>
      <c r="AM82" s="118"/>
      <c r="AN82" s="118"/>
      <c r="AO82" s="118"/>
      <c r="AP82" s="79"/>
      <c r="AQ82" s="79"/>
      <c r="AR82" s="79"/>
    </row>
    <row r="83" spans="2:44" ht="15.75" customHeight="1">
      <c r="B83" s="7"/>
      <c r="C83" s="7"/>
      <c r="D83" s="7"/>
      <c r="E83" s="11"/>
      <c r="F83" s="24"/>
      <c r="G83" s="73"/>
      <c r="H83" s="73"/>
      <c r="I83" s="73"/>
      <c r="J83" s="74"/>
      <c r="K83" s="74"/>
      <c r="L83" s="74"/>
      <c r="M83" s="74"/>
      <c r="N83" s="75"/>
      <c r="O83" s="75"/>
      <c r="P83" s="76"/>
      <c r="Q83" s="77"/>
      <c r="R83" s="77"/>
      <c r="S83" s="78"/>
      <c r="T83" s="79"/>
      <c r="W83" s="79"/>
    </row>
    <row r="84" spans="2:44" s="4" customFormat="1" ht="15.75" customHeight="1">
      <c r="B84" s="49"/>
      <c r="C84" s="49"/>
      <c r="D84" s="49"/>
      <c r="E84" s="49"/>
      <c r="F84" s="142" t="s">
        <v>74</v>
      </c>
      <c r="G84" s="143"/>
      <c r="H84" s="143"/>
      <c r="I84" s="127"/>
      <c r="J84" s="127"/>
      <c r="K84" s="128">
        <f>SUM(K78:K82)</f>
        <v>0</v>
      </c>
      <c r="L84" s="128"/>
      <c r="M84" s="144">
        <f>SUM(M77:N83)</f>
        <v>10368</v>
      </c>
      <c r="N84" s="144"/>
      <c r="O84" s="129"/>
      <c r="P84" s="130">
        <v>3</v>
      </c>
      <c r="Q84" s="129"/>
      <c r="R84" s="129">
        <f>SUM(R77:R83)</f>
        <v>1031.616</v>
      </c>
      <c r="S84" s="127"/>
      <c r="T84" s="131">
        <f>SUM(T77:T82)</f>
        <v>1145.4000000000001</v>
      </c>
      <c r="U84" s="127"/>
      <c r="V84" s="132">
        <f>SUM(V77:V81)</f>
        <v>2.52</v>
      </c>
      <c r="W84" s="104"/>
    </row>
    <row r="85" spans="2:44" ht="15.75" customHeight="1">
      <c r="B85" s="23"/>
      <c r="C85" s="23"/>
      <c r="D85" s="23"/>
      <c r="E85" s="23"/>
      <c r="F85" s="7"/>
      <c r="G85" s="7"/>
      <c r="H85" s="7"/>
      <c r="I85" s="7"/>
      <c r="J85" s="7"/>
      <c r="K85" s="74"/>
      <c r="L85" s="133"/>
      <c r="M85" s="7"/>
      <c r="N85" s="7"/>
      <c r="O85" s="134"/>
      <c r="P85" s="7"/>
      <c r="Q85" s="133"/>
      <c r="R85" s="73"/>
      <c r="S85" s="135"/>
      <c r="T85" s="135"/>
      <c r="U85" s="136"/>
    </row>
    <row r="86" spans="2:44" ht="15" customHeight="1">
      <c r="B86" s="7"/>
      <c r="C86" s="13"/>
      <c r="D86" s="72" t="s">
        <v>24</v>
      </c>
      <c r="E86" s="72"/>
      <c r="F86" s="7"/>
      <c r="G86" s="7"/>
    </row>
    <row r="87" spans="2:44" ht="15" customHeight="1">
      <c r="B87" s="7"/>
      <c r="C87" s="13"/>
      <c r="D87" s="72" t="s">
        <v>9</v>
      </c>
      <c r="E87" s="72"/>
      <c r="F87" s="7"/>
      <c r="G87" s="7"/>
      <c r="N87" s="135"/>
      <c r="O87" s="137"/>
      <c r="P87" s="138"/>
      <c r="Q87" s="7"/>
      <c r="R87" s="7"/>
      <c r="S87" s="7"/>
      <c r="T87" s="7"/>
      <c r="U87" s="7"/>
    </row>
    <row r="88" spans="2:44" ht="15" customHeight="1">
      <c r="B88" s="7"/>
      <c r="D88" s="7"/>
      <c r="E88" s="7"/>
      <c r="N88" s="135"/>
      <c r="O88" s="137"/>
      <c r="P88" s="138"/>
      <c r="Q88" s="7"/>
      <c r="R88" s="7"/>
      <c r="S88" s="7"/>
      <c r="T88" s="7"/>
      <c r="U88" s="7"/>
    </row>
    <row r="89" spans="2:44" ht="15" customHeight="1">
      <c r="B89" s="7"/>
      <c r="D89" s="7"/>
      <c r="E89" s="7"/>
      <c r="N89" s="135"/>
      <c r="O89" s="137"/>
      <c r="P89" s="138"/>
      <c r="Q89" s="7"/>
      <c r="R89" s="7"/>
      <c r="S89" s="7"/>
      <c r="T89" s="7"/>
      <c r="U89" s="7"/>
    </row>
    <row r="90" spans="2:44" ht="15" customHeight="1">
      <c r="B90" s="7"/>
      <c r="D90" s="7"/>
      <c r="E90" s="7"/>
      <c r="N90" s="135"/>
      <c r="O90" s="137"/>
      <c r="P90" s="138"/>
      <c r="Q90" s="7"/>
      <c r="R90" s="7"/>
      <c r="S90" s="7"/>
      <c r="T90" s="7"/>
      <c r="U90" s="7"/>
    </row>
    <row r="91" spans="2:44" ht="15" customHeight="1">
      <c r="B91" s="7"/>
      <c r="D91" s="7"/>
      <c r="E91" s="7"/>
      <c r="N91" s="135"/>
      <c r="O91" s="137"/>
      <c r="P91" s="138"/>
      <c r="Q91" s="7"/>
      <c r="R91" s="7"/>
      <c r="S91" s="7"/>
      <c r="T91" s="7"/>
      <c r="U91" s="7"/>
    </row>
    <row r="92" spans="2:44" ht="15" customHeight="1">
      <c r="B92" s="7"/>
      <c r="D92" s="7"/>
      <c r="E92" s="7"/>
      <c r="N92" s="135"/>
      <c r="O92" s="137"/>
      <c r="P92" s="138"/>
      <c r="Q92" s="7"/>
      <c r="R92" s="7"/>
      <c r="S92" s="7"/>
      <c r="T92" s="7"/>
      <c r="U92" s="7"/>
    </row>
    <row r="93" spans="2:44" ht="15" customHeight="1">
      <c r="B93" s="7"/>
      <c r="D93" s="7"/>
      <c r="E93" s="7"/>
      <c r="N93" s="135"/>
      <c r="O93" s="137"/>
      <c r="P93" s="138"/>
      <c r="Q93" s="7"/>
      <c r="R93" s="7"/>
      <c r="S93" s="7"/>
      <c r="T93" s="7"/>
      <c r="U93" s="7"/>
    </row>
    <row r="94" spans="2:44" ht="15" customHeight="1">
      <c r="B94" s="7"/>
      <c r="D94" s="7"/>
      <c r="E94" s="7"/>
      <c r="N94" s="135"/>
      <c r="O94" s="137"/>
      <c r="P94" s="138"/>
      <c r="Q94" s="7"/>
      <c r="R94" s="7"/>
      <c r="S94" s="7"/>
      <c r="T94" s="7"/>
      <c r="U94" s="7"/>
    </row>
    <row r="95" spans="2:44" ht="15" customHeight="1">
      <c r="B95" s="7"/>
      <c r="D95" s="7"/>
      <c r="E95" s="7"/>
      <c r="N95" s="135"/>
      <c r="O95" s="137"/>
      <c r="P95" s="138"/>
      <c r="Q95" s="7"/>
      <c r="R95" s="7"/>
      <c r="S95" s="7"/>
      <c r="T95" s="7"/>
      <c r="U95" s="7"/>
    </row>
    <row r="96" spans="2:44" ht="15" customHeight="1">
      <c r="B96" s="7"/>
      <c r="C96" s="11"/>
      <c r="D96" s="7"/>
      <c r="E96" s="7"/>
      <c r="N96" s="139"/>
      <c r="O96" s="140"/>
      <c r="P96" s="141"/>
    </row>
    <row r="97" spans="2:23" ht="15" customHeight="1">
      <c r="C97" s="11"/>
      <c r="D97" s="7"/>
      <c r="E97" s="7"/>
      <c r="F97" s="11"/>
      <c r="G97" s="23"/>
      <c r="H97" s="23"/>
      <c r="I97" s="23"/>
      <c r="J97" s="23"/>
      <c r="K97" s="135"/>
      <c r="L97" s="135"/>
      <c r="M97" s="135"/>
      <c r="N97" s="139"/>
      <c r="O97" s="140"/>
      <c r="P97" s="141"/>
      <c r="V97" s="7"/>
      <c r="W97" s="7"/>
    </row>
    <row r="98" spans="2:23" ht="15" customHeight="1">
      <c r="F98" s="80"/>
      <c r="G98" s="80"/>
      <c r="H98" s="80"/>
      <c r="I98" s="80"/>
      <c r="J98" s="80"/>
      <c r="K98" s="139"/>
      <c r="L98" s="139"/>
      <c r="M98" s="139"/>
      <c r="N98" s="139"/>
      <c r="O98" s="140"/>
      <c r="P98" s="141"/>
    </row>
    <row r="99" spans="2:23" ht="15" customHeight="1">
      <c r="F99" s="80"/>
      <c r="G99" s="80"/>
      <c r="H99" s="80"/>
      <c r="I99" s="80"/>
      <c r="J99" s="80"/>
      <c r="K99" s="139"/>
      <c r="L99" s="139"/>
      <c r="M99" s="139"/>
      <c r="O99" s="4" t="s">
        <v>22</v>
      </c>
      <c r="Q99" s="10"/>
      <c r="R99" s="10"/>
      <c r="S99" s="10"/>
      <c r="T99" s="10"/>
      <c r="U99" s="10"/>
      <c r="V99" s="10"/>
      <c r="W99" s="10"/>
    </row>
    <row r="100" spans="2:23" ht="15" customHeight="1">
      <c r="F100" s="80"/>
      <c r="G100" s="80"/>
      <c r="H100" s="80"/>
      <c r="I100" s="80"/>
      <c r="J100" s="80"/>
      <c r="K100" s="139"/>
      <c r="L100" s="139"/>
      <c r="M100" s="139"/>
      <c r="Q100" s="15"/>
      <c r="R100" s="15"/>
    </row>
    <row r="101" spans="2:23" ht="15" customHeight="1">
      <c r="B101" s="4"/>
      <c r="F101" s="87"/>
    </row>
    <row r="102" spans="2:23" ht="15" customHeight="1">
      <c r="F102" s="87"/>
    </row>
    <row r="103" spans="2:23" ht="15" customHeight="1">
      <c r="B103" s="4"/>
      <c r="G103" s="87"/>
    </row>
    <row r="104" spans="2:23" ht="15" customHeight="1">
      <c r="B104" s="4"/>
    </row>
    <row r="105" spans="2:23" ht="15" customHeight="1">
      <c r="B105" s="4"/>
    </row>
    <row r="106" spans="2:23" ht="15" customHeight="1">
      <c r="B106" s="4"/>
    </row>
    <row r="107" spans="2:23" ht="15" customHeight="1"/>
    <row r="108" spans="2:23" ht="15" customHeight="1"/>
    <row r="109" spans="2:23" ht="15" customHeight="1"/>
    <row r="110" spans="2:23" ht="15" customHeight="1"/>
    <row r="111" spans="2:23" ht="15" customHeight="1"/>
    <row r="112" spans="2:23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</sheetData>
  <mergeCells count="42">
    <mergeCell ref="T52:V52"/>
    <mergeCell ref="B22:F22"/>
    <mergeCell ref="G22:J22"/>
    <mergeCell ref="B23:X23"/>
    <mergeCell ref="B25:X25"/>
    <mergeCell ref="R26:T26"/>
    <mergeCell ref="B1:W1"/>
    <mergeCell ref="T3:V3"/>
    <mergeCell ref="L5:N5"/>
    <mergeCell ref="C20:F20"/>
    <mergeCell ref="G20:J20"/>
    <mergeCell ref="C27:F27"/>
    <mergeCell ref="C28:F28"/>
    <mergeCell ref="P28:Q28"/>
    <mergeCell ref="C29:F29"/>
    <mergeCell ref="C30:F30"/>
    <mergeCell ref="R30:T30"/>
    <mergeCell ref="C31:F31"/>
    <mergeCell ref="I33:M33"/>
    <mergeCell ref="J38:M38"/>
    <mergeCell ref="B50:W50"/>
    <mergeCell ref="B71:F71"/>
    <mergeCell ref="G71:J71"/>
    <mergeCell ref="B73:F73"/>
    <mergeCell ref="G73:J73"/>
    <mergeCell ref="B76:X76"/>
    <mergeCell ref="C78:F78"/>
    <mergeCell ref="M78:N78"/>
    <mergeCell ref="C79:F79"/>
    <mergeCell ref="M79:N79"/>
    <mergeCell ref="C80:F80"/>
    <mergeCell ref="M80:N80"/>
    <mergeCell ref="F84:H84"/>
    <mergeCell ref="M84:N84"/>
    <mergeCell ref="O80:P80"/>
    <mergeCell ref="T80:V80"/>
    <mergeCell ref="C81:F81"/>
    <mergeCell ref="M81:N81"/>
    <mergeCell ref="C82:F82"/>
    <mergeCell ref="M82:N82"/>
    <mergeCell ref="O82:P82"/>
    <mergeCell ref="T82:V82"/>
  </mergeCells>
  <printOptions horizontalCentered="1"/>
  <pageMargins left="0.47244094488188981" right="0.47244094488188981" top="0.51181102362204722" bottom="0.51181102362204722" header="0.51181102362204722" footer="0.51181102362204722"/>
  <pageSetup paperSize="9" scale="58" fitToHeight="5" orientation="portrait"/>
  <rowBreaks count="1" manualBreakCount="1">
    <brk id="65" max="16383" man="1"/>
  </rowBreaks>
  <ignoredErrors>
    <ignoredError sqref="P10" numberStoredAsText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 &amp; PK</vt:lpstr>
      <vt:lpstr>'IV &amp; PK'!Print_Area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Nguyễn</cp:lastModifiedBy>
  <dcterms:modified xsi:type="dcterms:W3CDTF">2022-02-26T07:38:54Z</dcterms:modified>
</cp:coreProperties>
</file>