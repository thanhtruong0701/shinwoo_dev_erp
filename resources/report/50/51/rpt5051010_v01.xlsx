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OutstandingPayment" sheetId="1" r:id="rId1"/>
  </sheets>
  <definedNames>
    <definedName name="_xlnm._FilterDatabase">OutstandingPayment!$A$7:$R$7</definedName>
  </definedNames>
  <calcPr calcId="152511"/>
</workbook>
</file>

<file path=xl/calcChain.xml><?xml version="1.0" encoding="utf-8"?>
<calcChain xmlns="http://schemas.openxmlformats.org/spreadsheetml/2006/main">
  <c r="I13" i="1" l="1"/>
  <c r="I14" i="1" s="1"/>
  <c r="I12" i="1"/>
  <c r="R7" i="1"/>
  <c r="Q7" i="1"/>
  <c r="P7" i="1"/>
  <c r="O7" i="1"/>
  <c r="N7" i="1"/>
  <c r="M7" i="1"/>
  <c r="K7" i="1"/>
  <c r="J7" i="1"/>
  <c r="I7" i="1"/>
  <c r="H7" i="1"/>
  <c r="G7" i="1"/>
  <c r="F7" i="1"/>
  <c r="E7" i="1"/>
</calcChain>
</file>

<file path=xl/sharedStrings.xml><?xml version="1.0" encoding="utf-8"?>
<sst xmlns="http://schemas.openxmlformats.org/spreadsheetml/2006/main" count="28" uniqueCount="26">
  <si>
    <t>Company</t>
  </si>
  <si>
    <t>OTM Motor Vina</t>
  </si>
  <si>
    <t>Duration</t>
  </si>
  <si>
    <t>No.</t>
  </si>
  <si>
    <t>Customer</t>
  </si>
  <si>
    <t>EX-factory
Date</t>
  </si>
  <si>
    <t>INVOICE</t>
  </si>
  <si>
    <t>PAYMENT</t>
  </si>
  <si>
    <t>DUE 
DATE</t>
  </si>
  <si>
    <t>Status</t>
  </si>
  <si>
    <t>Classification</t>
  </si>
  <si>
    <t>Via</t>
  </si>
  <si>
    <t>PO No.</t>
  </si>
  <si>
    <t>Remarks</t>
  </si>
  <si>
    <t>NO.</t>
  </si>
  <si>
    <t>DATE</t>
  </si>
  <si>
    <t>AMOUNT</t>
  </si>
  <si>
    <t>CLAIM</t>
  </si>
  <si>
    <t>PRICE DISCREPANCY</t>
  </si>
  <si>
    <t>BALANCE</t>
  </si>
  <si>
    <t>ADVANCED PAYEMNT</t>
  </si>
  <si>
    <t>Total</t>
  </si>
  <si>
    <t>Over 3M</t>
  </si>
  <si>
    <t>Over 5M</t>
  </si>
  <si>
    <t>Under 3M</t>
  </si>
  <si>
    <t>~~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</si>
</sst>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yyyy/mm/dd"/>
    <numFmt numFmtId="165" formatCode="yy&quot;-&quot;m&quot;-&quot;d"/>
    <numFmt numFmtId="166" formatCode="mm/dd/yy"/>
    <numFmt numFmtId="167" formatCode="_-\$* #,##0.00_ ;_-\$* \-#,##0.00\ ;_-\$* &quot;-&quot;??_ ;_-@_ "/>
    <numFmt numFmtId="168" formatCode="_-[$$-409]* #,##0.00_ ;_-[$$-409]* \-#,##0.00\ ;_-[$$-409]* &quot;-&quot;??_ ;_-@_ "/>
    <numFmt numFmtId="169" formatCode="&quot;(&quot;##&quot;)&quot;"/>
    <numFmt numFmtId="170" formatCode="#,##0.00\ "/>
    <numFmt numFmtId="171" formatCode="&quot;$&quot;\ #,##0.00\ "/>
    <numFmt numFmtId="172" formatCode="_-* #,##0.00_ ;_-* \-#,##0.00\ ;_-* &quot;-&quot;??_ ;_-@_ "/>
  </numFmts>
  <fonts count="2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b/>
      <u/>
      <sz val="11"/>
      <color indexed="12"/>
      <name val="Calibri"/>
      <family val="2"/>
      <scheme val="minor"/>
    </font>
    <font>
      <sz val="11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1" fillId="0" borderId="0" xfId="0" applyNumberFormat="1" applyFont="1"/>
    <xf numFmtId="0" fontId="6" fillId="2" borderId="2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168" fontId="6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43" fontId="7" fillId="0" borderId="2" xfId="0" applyNumberFormat="1" applyFont="1" applyBorder="1" applyAlignment="1">
      <alignment horizontal="center" vertical="center"/>
    </xf>
    <xf numFmtId="43" fontId="7" fillId="0" borderId="3" xfId="0" applyNumberFormat="1" applyFont="1" applyBorder="1" applyAlignment="1">
      <alignment vertical="center"/>
    </xf>
    <xf numFmtId="168" fontId="7" fillId="0" borderId="3" xfId="0" applyNumberFormat="1" applyFont="1" applyBorder="1" applyAlignment="1">
      <alignment vertical="center"/>
    </xf>
    <xf numFmtId="170" fontId="7" fillId="0" borderId="3" xfId="0" applyNumberFormat="1" applyFont="1" applyBorder="1" applyAlignment="1">
      <alignment horizontal="right" vertical="center" wrapText="1"/>
    </xf>
    <xf numFmtId="171" fontId="7" fillId="0" borderId="7" xfId="0" applyNumberFormat="1" applyFont="1" applyBorder="1" applyAlignment="1">
      <alignment horizontal="right" vertical="center" wrapText="1"/>
    </xf>
    <xf numFmtId="166" fontId="7" fillId="0" borderId="7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71" fontId="7" fillId="0" borderId="3" xfId="0" applyNumberFormat="1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43" fontId="3" fillId="0" borderId="3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172" fontId="14" fillId="0" borderId="3" xfId="0" applyNumberFormat="1" applyFont="1" applyBorder="1" applyAlignment="1">
      <alignment horizontal="center" vertical="center"/>
    </xf>
    <xf numFmtId="167" fontId="14" fillId="0" borderId="7" xfId="0" applyNumberFormat="1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9" fontId="6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left" vertical="center"/>
    </xf>
    <xf numFmtId="0" fontId="7" fillId="0" borderId="2" xfId="0" quotePrefix="1" applyFont="1" applyBorder="1" applyAlignment="1">
      <alignment horizontal="center" vertical="center"/>
    </xf>
    <xf numFmtId="164" fontId="7" fillId="0" borderId="2" xfId="0" quotePrefix="1" applyNumberFormat="1" applyFont="1" applyBorder="1" applyAlignment="1">
      <alignment horizontal="center" vertical="center"/>
    </xf>
    <xf numFmtId="169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2" xfId="0" quotePrefix="1" applyFont="1" applyBorder="1" applyAlignment="1">
      <alignment horizontal="left" vertical="center" wrapText="1" shrinkToFit="1"/>
    </xf>
    <xf numFmtId="0" fontId="18" fillId="0" borderId="0" xfId="0" applyFont="1" applyAlignment="1">
      <alignment horizontal="center" vertical="center"/>
    </xf>
    <xf numFmtId="43" fontId="19" fillId="0" borderId="3" xfId="0" applyNumberFormat="1" applyFont="1" applyBorder="1" applyAlignment="1">
      <alignment vertical="center"/>
    </xf>
    <xf numFmtId="43" fontId="13" fillId="0" borderId="3" xfId="0" applyNumberFormat="1" applyFont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 vertical="center" wrapText="1"/>
    </xf>
    <xf numFmtId="166" fontId="4" fillId="0" borderId="7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/>
        <condense/>
        <extend/>
        <color indexed="10"/>
      </font>
    </dxf>
    <dxf>
      <font>
        <b/>
        <i/>
        <condense/>
        <extend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zoomScaleNormal="100" workbookViewId="0">
      <selection activeCell="D3" sqref="D3"/>
    </sheetView>
  </sheetViews>
  <sheetFormatPr defaultRowHeight="15"/>
  <cols>
    <col min="1" max="1" width="6" customWidth="1"/>
    <col min="2" max="2" width="28.140625" customWidth="1"/>
    <col min="3" max="5" width="12.140625" customWidth="1"/>
    <col min="6" max="6" width="11.28515625" customWidth="1"/>
    <col min="7" max="7" width="10.5703125" customWidth="1"/>
    <col min="8" max="8" width="11.28515625" customWidth="1"/>
    <col min="10" max="10" width="19.7109375" customWidth="1"/>
    <col min="11" max="11" width="14" customWidth="1"/>
    <col min="12" max="12" width="18.28515625" customWidth="1"/>
    <col min="13" max="13" width="11.140625" customWidth="1"/>
    <col min="14" max="14" width="12.5703125" customWidth="1"/>
    <col min="15" max="15" width="16.42578125" customWidth="1"/>
    <col min="17" max="17" width="27.85546875" customWidth="1"/>
    <col min="18" max="18" width="11.140625" customWidth="1"/>
  </cols>
  <sheetData>
    <row r="1" spans="1:18">
      <c r="B1" t="s">
        <v>0</v>
      </c>
      <c r="C1" t="s">
        <v>1</v>
      </c>
    </row>
    <row r="3" spans="1:18" ht="15.75" customHeight="1">
      <c r="B3" t="s">
        <v>2</v>
      </c>
      <c r="C3" s="1">
        <v>43831</v>
      </c>
      <c r="D3" s="67" t="s">
        <v>25</v>
      </c>
      <c r="E3" s="1">
        <v>44170</v>
      </c>
    </row>
    <row r="5" spans="1:18" ht="15.75" customHeight="1">
      <c r="A5" s="56" t="s">
        <v>3</v>
      </c>
      <c r="B5" s="56" t="s">
        <v>4</v>
      </c>
      <c r="C5" s="58" t="s">
        <v>5</v>
      </c>
      <c r="D5" s="51" t="s">
        <v>6</v>
      </c>
      <c r="E5" s="52"/>
      <c r="F5" s="52"/>
      <c r="G5" s="53" t="s">
        <v>7</v>
      </c>
      <c r="H5" s="54"/>
      <c r="I5" s="54"/>
      <c r="J5" s="54"/>
      <c r="K5" s="54"/>
      <c r="L5" s="55"/>
      <c r="M5" s="62" t="s">
        <v>8</v>
      </c>
      <c r="N5" s="64" t="s">
        <v>9</v>
      </c>
      <c r="O5" s="65" t="s">
        <v>10</v>
      </c>
      <c r="P5" s="65" t="s">
        <v>11</v>
      </c>
      <c r="Q5" s="65" t="s">
        <v>12</v>
      </c>
      <c r="R5" s="60" t="s">
        <v>13</v>
      </c>
    </row>
    <row r="6" spans="1:18" ht="18.75" customHeight="1">
      <c r="A6" s="57"/>
      <c r="B6" s="57"/>
      <c r="C6" s="59"/>
      <c r="D6" s="2" t="s">
        <v>14</v>
      </c>
      <c r="E6" s="3" t="s">
        <v>15</v>
      </c>
      <c r="F6" s="4" t="s">
        <v>16</v>
      </c>
      <c r="G6" s="5" t="s">
        <v>15</v>
      </c>
      <c r="H6" s="6" t="s">
        <v>16</v>
      </c>
      <c r="I6" s="6" t="s">
        <v>17</v>
      </c>
      <c r="J6" s="6" t="s">
        <v>18</v>
      </c>
      <c r="K6" s="7" t="s">
        <v>19</v>
      </c>
      <c r="L6" s="6" t="s">
        <v>20</v>
      </c>
      <c r="M6" s="63"/>
      <c r="N6" s="64"/>
      <c r="O6" s="66"/>
      <c r="P6" s="66"/>
      <c r="Q6" s="66"/>
      <c r="R6" s="61"/>
    </row>
    <row r="7" spans="1:18">
      <c r="B7" s="8"/>
      <c r="C7" s="8"/>
      <c r="D7" s="9">
        <v>1</v>
      </c>
      <c r="E7" s="10">
        <f>COLUMN()-3</f>
        <v>2</v>
      </c>
      <c r="F7" s="10">
        <f t="shared" ref="F7:R7" si="0">COLUMN()-3</f>
        <v>3</v>
      </c>
      <c r="G7" s="10">
        <f t="shared" si="0"/>
        <v>4</v>
      </c>
      <c r="H7" s="10">
        <f t="shared" si="0"/>
        <v>5</v>
      </c>
      <c r="I7" s="10">
        <f t="shared" si="0"/>
        <v>6</v>
      </c>
      <c r="J7" s="10">
        <f t="shared" si="0"/>
        <v>7</v>
      </c>
      <c r="K7" s="10">
        <f t="shared" si="0"/>
        <v>8</v>
      </c>
      <c r="L7" s="10"/>
      <c r="M7" s="10">
        <f t="shared" si="0"/>
        <v>10</v>
      </c>
      <c r="N7" s="10">
        <f t="shared" si="0"/>
        <v>11</v>
      </c>
      <c r="O7" s="10">
        <f t="shared" si="0"/>
        <v>12</v>
      </c>
      <c r="P7" s="10">
        <f t="shared" si="0"/>
        <v>13</v>
      </c>
      <c r="Q7" s="10">
        <f t="shared" si="0"/>
        <v>14</v>
      </c>
      <c r="R7" s="45">
        <f t="shared" si="0"/>
        <v>15</v>
      </c>
    </row>
    <row r="8" spans="1:18">
      <c r="A8" s="48"/>
      <c r="B8" s="47"/>
      <c r="C8" s="44"/>
      <c r="D8" s="8"/>
      <c r="E8" s="44"/>
      <c r="F8" s="13"/>
      <c r="G8" s="44"/>
      <c r="H8" s="14"/>
      <c r="I8" s="14"/>
      <c r="J8" s="14"/>
      <c r="K8" s="16"/>
      <c r="L8" s="17"/>
      <c r="M8" s="44"/>
      <c r="N8" s="19"/>
      <c r="O8" s="20"/>
      <c r="P8" s="20"/>
      <c r="Q8" s="46"/>
      <c r="R8" s="21"/>
    </row>
    <row r="9" spans="1:18">
      <c r="A9" s="11"/>
      <c r="B9" s="43"/>
      <c r="C9" s="43"/>
      <c r="D9" s="8"/>
      <c r="E9" s="12"/>
      <c r="F9" s="13"/>
      <c r="G9" s="43"/>
      <c r="H9" s="14"/>
      <c r="I9" s="14"/>
      <c r="J9" s="14"/>
      <c r="K9" s="16"/>
      <c r="L9" s="17"/>
      <c r="M9" s="18"/>
      <c r="N9" s="19"/>
      <c r="O9" s="20"/>
      <c r="P9" s="20"/>
      <c r="Q9" s="21"/>
      <c r="R9" s="21"/>
    </row>
    <row r="10" spans="1:18">
      <c r="B10" s="8"/>
      <c r="C10" s="8"/>
      <c r="D10" s="8"/>
      <c r="E10" s="12"/>
      <c r="F10" s="22"/>
      <c r="G10" s="12"/>
      <c r="H10" s="15"/>
      <c r="I10" s="15"/>
      <c r="J10" s="14"/>
      <c r="K10" s="22"/>
      <c r="L10" s="17"/>
      <c r="M10" s="18"/>
      <c r="N10" s="19"/>
      <c r="O10" s="20"/>
      <c r="P10" s="20"/>
      <c r="Q10" s="21"/>
      <c r="R10" s="21"/>
    </row>
    <row r="11" spans="1:18">
      <c r="B11" s="8"/>
      <c r="C11" s="8"/>
      <c r="D11" s="23" t="s">
        <v>21</v>
      </c>
      <c r="E11" s="24"/>
      <c r="F11" s="25">
        <v>0</v>
      </c>
      <c r="G11" s="24"/>
      <c r="H11" s="26">
        <v>0</v>
      </c>
      <c r="I11" s="27"/>
      <c r="J11" s="50"/>
      <c r="K11" s="28">
        <v>0</v>
      </c>
      <c r="L11" s="29"/>
      <c r="M11" s="30"/>
      <c r="N11" s="28">
        <v>0</v>
      </c>
      <c r="O11" s="31"/>
      <c r="P11" s="31"/>
      <c r="Q11" s="32"/>
      <c r="R11" s="32"/>
    </row>
    <row r="12" spans="1:18">
      <c r="B12" s="33"/>
      <c r="C12" s="33"/>
      <c r="D12" s="33"/>
      <c r="E12" s="34"/>
      <c r="F12" s="35"/>
      <c r="G12" s="34"/>
      <c r="H12" s="36"/>
      <c r="I12" s="37">
        <f>+R7+1</f>
        <v>16</v>
      </c>
      <c r="J12" s="38" t="s">
        <v>22</v>
      </c>
      <c r="K12" s="49">
        <v>0</v>
      </c>
      <c r="O12" s="33"/>
      <c r="P12" s="39"/>
      <c r="Q12" s="33"/>
      <c r="R12" s="33"/>
    </row>
    <row r="13" spans="1:18">
      <c r="B13" s="33"/>
      <c r="C13" s="33"/>
      <c r="D13" s="33"/>
      <c r="E13" s="34"/>
      <c r="F13" s="35"/>
      <c r="G13" s="34"/>
      <c r="H13" s="36"/>
      <c r="I13" s="40">
        <f>+I12+1</f>
        <v>17</v>
      </c>
      <c r="J13" s="38" t="s">
        <v>23</v>
      </c>
      <c r="K13" s="49">
        <v>0</v>
      </c>
      <c r="O13" s="33"/>
      <c r="P13" s="39"/>
      <c r="Q13" s="33"/>
      <c r="R13" s="33"/>
    </row>
    <row r="14" spans="1:18">
      <c r="B14" s="33"/>
      <c r="C14" s="33"/>
      <c r="D14" s="33"/>
      <c r="E14" s="33"/>
      <c r="F14" s="33"/>
      <c r="G14" s="41"/>
      <c r="H14" s="42"/>
      <c r="I14" s="40">
        <f>+I13+1</f>
        <v>18</v>
      </c>
      <c r="J14" s="38" t="s">
        <v>24</v>
      </c>
      <c r="K14" s="49">
        <v>0</v>
      </c>
      <c r="O14" s="33"/>
      <c r="P14" s="39"/>
      <c r="Q14" s="33"/>
      <c r="R14" s="33"/>
    </row>
  </sheetData>
  <autoFilter ref="A7:R7"/>
  <mergeCells count="11">
    <mergeCell ref="R5:R6"/>
    <mergeCell ref="M5:M6"/>
    <mergeCell ref="N5:N6"/>
    <mergeCell ref="O5:O6"/>
    <mergeCell ref="P5:P6"/>
    <mergeCell ref="Q5:Q6"/>
    <mergeCell ref="D5:F5"/>
    <mergeCell ref="G5:L5"/>
    <mergeCell ref="A5:A6"/>
    <mergeCell ref="B5:B6"/>
    <mergeCell ref="C5:C6"/>
  </mergeCells>
  <conditionalFormatting sqref="N8:O10">
    <cfRule type="expression" dxfId="1" priority="2">
      <formula>IF(TODAY()&lt;M8,"","overdue")</formula>
    </cfRule>
  </conditionalFormatting>
  <conditionalFormatting sqref="O8:P10">
    <cfRule type="expression" dxfId="0" priority="3">
      <formula>IF(TODAY()&lt;M8,"","overdue")</formula>
    </cfRule>
  </conditionalFormatting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OutstandingPayment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2020-12-05T04:03:34Z</dcterms:created>
  <dcterms:modified xsi:type="dcterms:W3CDTF">2020-12-15T08:22:34Z</dcterms:modified>
</cp:coreProperties>
</file>