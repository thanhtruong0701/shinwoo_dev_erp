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ebproject\gsf20\resources\report\10\10\"/>
    </mc:Choice>
  </mc:AlternateContent>
  <xr:revisionPtr revIDLastSave="0" documentId="13_ncr:20001_{F7851480-45EF-44FC-A107-6C9036D375B6}" xr6:coauthVersionLast="45" xr6:coauthVersionMax="45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Form đổ phần mềm" sheetId="1" state="hidden" r:id="rId1"/>
    <sheet name="Form mẫu" sheetId="6" r:id="rId2"/>
    <sheet name="phu luc HDLD" sheetId="2" state="hidden" r:id="rId3"/>
    <sheet name="DS ky nhan HDLD" sheetId="3" state="hidden" r:id="rId4"/>
    <sheet name="HD hoc viec (2)" sheetId="4" state="hidden" r:id="rId5"/>
    <sheet name="Sheet1" sheetId="5" state="hidden" r:id="rId6"/>
  </sheets>
  <definedNames>
    <definedName name="_xlnm.Print_Area" localSheetId="3">'DS ky nhan HDLD'!$A$1:$L$59</definedName>
    <definedName name="_xlnm.Print_Area" localSheetId="0">'Form đổ phần mềm'!$A$1:$J$144</definedName>
    <definedName name="_xlnm.Print_Area" localSheetId="4">'HD hoc viec (2)'!$A$1:$L$35</definedName>
    <definedName name="_xlnm.Print_Area" localSheetId="2">'phu luc HDLD'!$A$1:$J$91</definedName>
    <definedName name="_xlnm.Print_Titles" localSheetId="3">'DS ky nhan HDLD'!$6:$8</definedName>
  </definedNames>
  <calcPr calcId="191029"/>
  <fileRecoveryPr repairLoad="1"/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H55" i="2"/>
  <c r="B91" i="2"/>
  <c r="G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Thêm thông tin này lên phần mềm</t>
        </r>
      </text>
    </comment>
    <comment ref="E5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Em sẽ gửi file để update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Em sẽ gửi file để update lên phần mềm
</t>
        </r>
      </text>
    </comment>
  </commentList>
</comments>
</file>

<file path=xl/sharedStrings.xml><?xml version="1.0" encoding="utf-8"?>
<sst xmlns="http://schemas.openxmlformats.org/spreadsheetml/2006/main" count="869" uniqueCount="456">
  <si>
    <t>CỘNG HÒA XÃ HỘI CHỦ NGHĨA VIỆT NAM</t>
  </si>
  <si>
    <t>Bình Dương, ngày</t>
  </si>
  <si>
    <t>Bên A:</t>
  </si>
  <si>
    <t>Chức vụ:</t>
  </si>
  <si>
    <t>Bên B:</t>
  </si>
  <si>
    <t>Mã nhân viên:</t>
  </si>
  <si>
    <t>Ngày tháng năm sinh:</t>
  </si>
  <si>
    <t>Bộ phận:</t>
  </si>
  <si>
    <t>Điều 1:</t>
  </si>
  <si>
    <t>-</t>
  </si>
  <si>
    <t>Công ty TNHH Eclipse Polymers Vina</t>
  </si>
  <si>
    <t>Điều 2:</t>
  </si>
  <si>
    <t>ĐẠI DIỆN BÊN CÔNG TY</t>
  </si>
  <si>
    <t>ECLIPSE POLYMERS (VINA) CO., LTD</t>
  </si>
  <si>
    <t>No. 02, Road 07, VSIP, Thuan An, Binh Duong</t>
  </si>
  <si>
    <t>Độc Lập - Tự Do - Hạnh Phúc</t>
  </si>
  <si>
    <t>Tel: (84 650) 3767 500  Fax: (84 650) 3767 504</t>
  </si>
  <si>
    <t>SOCIALIST REPUBLIC OF VIET NAM</t>
  </si>
  <si>
    <t>Independence - Freedom - Happiness</t>
  </si>
  <si>
    <t xml:space="preserve">Bình Dương, </t>
  </si>
  <si>
    <t xml:space="preserve">Issued under the Circular of the Ministry of Labour, Invalids and Social Affairs No 21/2003/TT-BLĐTBXH </t>
  </si>
  <si>
    <t>on 22 september 2003</t>
  </si>
  <si>
    <t>Bên A</t>
  </si>
  <si>
    <t>:</t>
  </si>
  <si>
    <t>Quốc Tịch</t>
  </si>
  <si>
    <t>Hàn Quốc</t>
  </si>
  <si>
    <t>Party A</t>
  </si>
  <si>
    <t>Nationality</t>
  </si>
  <si>
    <t>Chức Vụ</t>
  </si>
  <si>
    <t>Position</t>
  </si>
  <si>
    <t>Đại diện cho</t>
  </si>
  <si>
    <t>CÔNG TY TNHH ECLIPSE POLYMERS VINA</t>
  </si>
  <si>
    <t>Điện thoại: 0650 3767 500</t>
  </si>
  <si>
    <t>Represented by</t>
  </si>
  <si>
    <t>Telephone</t>
  </si>
  <si>
    <t>Địa chỉ</t>
  </si>
  <si>
    <t>Số 02, đường 07, KCN VISP, Thuận An, Bình Dương</t>
  </si>
  <si>
    <t>Address</t>
  </si>
  <si>
    <t>Bên B</t>
  </si>
  <si>
    <t>Quốc tịch</t>
  </si>
  <si>
    <t>Party B</t>
  </si>
  <si>
    <t>Sinh ngày</t>
  </si>
  <si>
    <t>Tại</t>
  </si>
  <si>
    <t>D.O.B</t>
  </si>
  <si>
    <t>day/month/year</t>
  </si>
  <si>
    <t>At</t>
  </si>
  <si>
    <t>Nghề nghiệp</t>
  </si>
  <si>
    <t>Occupation</t>
  </si>
  <si>
    <t>Địa chỉ thường trú</t>
  </si>
  <si>
    <t>Permanence address</t>
  </si>
  <si>
    <t>Số CMND</t>
  </si>
  <si>
    <t>ID card No.</t>
  </si>
  <si>
    <t>Issued date</t>
  </si>
  <si>
    <t xml:space="preserve">Article 1: </t>
  </si>
  <si>
    <t>- Từ ngày</t>
  </si>
  <si>
    <t>Đến ngày</t>
  </si>
  <si>
    <t>From</t>
  </si>
  <si>
    <t>To</t>
  </si>
  <si>
    <t>Probation from</t>
  </si>
  <si>
    <t>- Địa điểm làm việc</t>
  </si>
  <si>
    <t>Chế độ làm việc</t>
  </si>
  <si>
    <t xml:space="preserve">Article 2: </t>
  </si>
  <si>
    <t>Working regime</t>
  </si>
  <si>
    <t>Điều 3:</t>
  </si>
  <si>
    <t>Nghĩa vụ và quyền lợi của người lao động</t>
  </si>
  <si>
    <t xml:space="preserve">Article 3: </t>
  </si>
  <si>
    <t>Obligations, rights and benefits of employees</t>
  </si>
  <si>
    <t>VNĐ/tháng</t>
  </si>
  <si>
    <t>Social Ins., Medical Ins., Jobless Ins.</t>
  </si>
  <si>
    <t>- Hoàn thành những công việc đã cam kết trong hợp đồng</t>
  </si>
  <si>
    <t>- Chấp hành lệnh điều hành sản xuất kinh doanh, nội quy kỷ luật lao động, an toàn lao động</t>
  </si>
  <si>
    <t>Điều 4:</t>
  </si>
  <si>
    <t>Nghĩa vụ và quyền hạn của người sử dụng lao động</t>
  </si>
  <si>
    <t xml:space="preserve">Article 4: </t>
  </si>
  <si>
    <t>Obligation and rights of employer</t>
  </si>
  <si>
    <t xml:space="preserve">- Thanh toán đầy đủ đúng thời hạn các chế độ và quyền lợi cho người lao động theo HĐLĐ, </t>
  </si>
  <si>
    <t>thỏa ước lao động tập thể (nếu có).</t>
  </si>
  <si>
    <t>Điều 5:</t>
  </si>
  <si>
    <t>Điều khoản thi hành</t>
  </si>
  <si>
    <t xml:space="preserve">Article 5: </t>
  </si>
  <si>
    <t xml:space="preserve">- Những vấn đề về lao động không ghi trong hợp đồng thì áp dụng quy định của thỏa ước lao động tập thể, </t>
  </si>
  <si>
    <t>trường hợp chưa có thỏa ước lao động thì áp dụng quy định của luật lao động.</t>
  </si>
  <si>
    <t>NGƯỜI LAO ĐỘNG</t>
  </si>
  <si>
    <t>Employee</t>
  </si>
  <si>
    <t>PHỤ LỤC HỢP ĐỒNG LAO ĐỘNG</t>
  </si>
  <si>
    <t>(ANNEX OF THE LABOR CONTRACT)</t>
  </si>
  <si>
    <t>Ban hành theo thông tư số 21/2003/TT-BLĐTBXH ngày 22/09/2003 của Bộ Lao Động - Thương Binh &amp; Xã Hội</t>
  </si>
  <si>
    <t>hai bên cùng nhau thỏa thuận thay đổi một số nội dung của Hợp đồng mà hai bên đã ký kết như sau:</t>
  </si>
  <si>
    <t>both paties agree to amend some contents of the signed Labor Contract as following:</t>
  </si>
  <si>
    <t>1. Nội dung thay đổi:</t>
  </si>
  <si>
    <t>a) Trước khi điều chỉnh:</t>
  </si>
  <si>
    <t xml:space="preserve">     Contents of amendment</t>
  </si>
  <si>
    <t xml:space="preserve">      Before amendment</t>
  </si>
  <si>
    <t>Theo luật BHXH hiện hành</t>
  </si>
  <si>
    <t>According to the current social insurance law</t>
  </si>
  <si>
    <t>Bảo hiểm xã hội, Bảo hiểm y tế, Bảo hiểm thất nghiệp:</t>
  </si>
  <si>
    <t>b) Sau khi điều chỉnh:</t>
  </si>
  <si>
    <t xml:space="preserve">      After amendment</t>
  </si>
  <si>
    <t>2. Thời gian thực hiện:</t>
  </si>
  <si>
    <t xml:space="preserve">      Effectiveness</t>
  </si>
  <si>
    <t>Lương - Salary:</t>
  </si>
  <si>
    <t>Loại phụ lục Hợp đồng lao động</t>
  </si>
  <si>
    <t>Categories of Labor contract</t>
  </si>
  <si>
    <t>Từ ngày</t>
  </si>
  <si>
    <t>hay quyết định khác được ký bởi Ban giám đốc.</t>
  </si>
  <si>
    <t>mỗi bên giữ một bản và là cơ sở để giải quyết khi có tranh chấp.</t>
  </si>
  <si>
    <t>one copy shall be kept by each side and is the basic for dispute solution.</t>
  </si>
  <si>
    <t>HỢP ĐỒNG LAO ĐỘNG</t>
  </si>
  <si>
    <t>Địa chỉ thường trú:</t>
  </si>
  <si>
    <t>- Thử việc từ ngày</t>
  </si>
  <si>
    <t>Ngày cấp:</t>
  </si>
  <si>
    <t>Nơi cấp:</t>
  </si>
  <si>
    <r>
      <t>Chức vụ -</t>
    </r>
    <r>
      <rPr>
        <i/>
        <sz val="10"/>
        <color indexed="10"/>
        <rFont val="Cambria"/>
        <family val="1"/>
      </rPr>
      <t xml:space="preserve"> Position</t>
    </r>
  </si>
  <si>
    <r>
      <t xml:space="preserve">Công việc phải làm - </t>
    </r>
    <r>
      <rPr>
        <i/>
        <sz val="10"/>
        <color indexed="10"/>
        <rFont val="Cambria"/>
        <family val="1"/>
      </rPr>
      <t>Job description</t>
    </r>
  </si>
  <si>
    <r>
      <t xml:space="preserve">Mức lương chính hoặc tiền công - </t>
    </r>
    <r>
      <rPr>
        <i/>
        <sz val="10"/>
        <color indexed="10"/>
        <rFont val="Cambria"/>
        <family val="1"/>
      </rPr>
      <t>Basic salary or wages</t>
    </r>
  </si>
  <si>
    <r>
      <t>Hình thức trả lương: TIỀN MẶT và CHUYỂN KHOẢN</t>
    </r>
    <r>
      <rPr>
        <i/>
        <sz val="11"/>
        <color indexed="10"/>
        <rFont val="Cambria"/>
        <family val="1"/>
      </rPr>
      <t xml:space="preserve"> - </t>
    </r>
    <r>
      <rPr>
        <i/>
        <sz val="10"/>
        <color indexed="10"/>
        <rFont val="Cambria"/>
        <family val="1"/>
      </rPr>
      <t>Form of paying wage: By cash and ATM</t>
    </r>
  </si>
  <si>
    <r>
      <t>Trợ cấp trách nhiệm/chuyên môn -</t>
    </r>
    <r>
      <rPr>
        <i/>
        <sz val="10"/>
        <color indexed="10"/>
        <rFont val="Cambria"/>
        <family val="1"/>
      </rPr>
      <t xml:space="preserve"> Allowance(mngmt,techn.)</t>
    </r>
  </si>
  <si>
    <r>
      <t xml:space="preserve">Trợ cấp thâm niên - </t>
    </r>
    <r>
      <rPr>
        <i/>
        <sz val="10"/>
        <color indexed="10"/>
        <rFont val="Cambria"/>
        <family val="1"/>
      </rPr>
      <t>Seniority allowance</t>
    </r>
  </si>
  <si>
    <r>
      <t xml:space="preserve">Trợ cấp chuyên cần - </t>
    </r>
    <r>
      <rPr>
        <i/>
        <sz val="10"/>
        <color indexed="10"/>
        <rFont val="Cambria"/>
        <family val="1"/>
      </rPr>
      <t>Attendance allowance</t>
    </r>
  </si>
  <si>
    <r>
      <t xml:space="preserve">Trợ cấp  tiền cơm - </t>
    </r>
    <r>
      <rPr>
        <i/>
        <sz val="10"/>
        <color indexed="10"/>
        <rFont val="Cambria"/>
        <family val="1"/>
      </rPr>
      <t>Food allowance</t>
    </r>
  </si>
  <si>
    <r>
      <t xml:space="preserve">Trợ cấp nhà ở - </t>
    </r>
    <r>
      <rPr>
        <i/>
        <sz val="10"/>
        <color indexed="10"/>
        <rFont val="Cambria"/>
        <family val="1"/>
      </rPr>
      <t>House allowance</t>
    </r>
  </si>
  <si>
    <r>
      <t xml:space="preserve">Trợ cấp xăng - </t>
    </r>
    <r>
      <rPr>
        <i/>
        <sz val="10"/>
        <color indexed="10"/>
        <rFont val="Cambria"/>
        <family val="1"/>
      </rPr>
      <t>Gasoline allowance</t>
    </r>
  </si>
  <si>
    <r>
      <t>Phụ cấp cơ bản -</t>
    </r>
    <r>
      <rPr>
        <i/>
        <sz val="10"/>
        <color indexed="10"/>
        <rFont val="Cambria"/>
        <family val="1"/>
      </rPr>
      <t xml:space="preserve"> Basic allowance</t>
    </r>
  </si>
  <si>
    <r>
      <t>Phụ cấp trách nhiệm/chuyên môn -</t>
    </r>
    <r>
      <rPr>
        <i/>
        <sz val="10"/>
        <color indexed="10"/>
        <rFont val="Cambria"/>
        <family val="1"/>
      </rPr>
      <t xml:space="preserve"> Allowance(mngmt,techn.)</t>
    </r>
  </si>
  <si>
    <r>
      <t xml:space="preserve">Trợ cấp khuyến khích sản xuất - </t>
    </r>
    <r>
      <rPr>
        <i/>
        <sz val="10"/>
        <color indexed="10"/>
        <rFont val="Cambria"/>
        <family val="1"/>
      </rPr>
      <t>Allowance to encourage production</t>
    </r>
  </si>
  <si>
    <t>Số CMND:</t>
  </si>
  <si>
    <t>Điều khoản thi hành:</t>
  </si>
  <si>
    <t>Địa chỉ:</t>
  </si>
  <si>
    <t xml:space="preserve">Đại diện cho doanh nghiệp: </t>
  </si>
  <si>
    <t>Số 02, đường 07, KCN VSIP, Thuận An, Bình Dương</t>
  </si>
  <si>
    <t xml:space="preserve">Biên bản thỏa thuận thử việc này được làm tại: </t>
  </si>
  <si>
    <t>Phó Tổng Giám Đốc</t>
  </si>
  <si>
    <t>LIST OF LABOR RECEIVED LABOR CONTRACT</t>
  </si>
  <si>
    <t>- Quản lý của từng bộ phận sẽ nhận HĐLĐ từ phòng Nhân sự.</t>
  </si>
  <si>
    <t>STT</t>
  </si>
  <si>
    <t>MNV</t>
  </si>
  <si>
    <t>Họ và Tên</t>
  </si>
  <si>
    <t>Bộ phận</t>
  </si>
  <si>
    <r>
      <t xml:space="preserve">Ngày, tháng, năm sinh
</t>
    </r>
    <r>
      <rPr>
        <i/>
        <sz val="10"/>
        <color indexed="8"/>
        <rFont val="Times New Roman"/>
        <family val="1"/>
      </rPr>
      <t>D.O.B</t>
    </r>
  </si>
  <si>
    <r>
      <t xml:space="preserve">Loại HĐLĐ
</t>
    </r>
    <r>
      <rPr>
        <i/>
        <sz val="10"/>
        <color indexed="8"/>
        <rFont val="Times New Roman"/>
        <family val="1"/>
      </rPr>
      <t>Contract Type</t>
    </r>
  </si>
  <si>
    <t>Ký nhận</t>
  </si>
  <si>
    <t>No.</t>
  </si>
  <si>
    <t>Code</t>
  </si>
  <si>
    <t>Full Name</t>
  </si>
  <si>
    <t>Dept.</t>
  </si>
  <si>
    <r>
      <t xml:space="preserve">Nam
</t>
    </r>
    <r>
      <rPr>
        <i/>
        <sz val="10"/>
        <color indexed="8"/>
        <rFont val="Times New Roman"/>
        <family val="1"/>
      </rPr>
      <t>Male</t>
    </r>
  </si>
  <si>
    <r>
      <t xml:space="preserve">Nữ
</t>
    </r>
    <r>
      <rPr>
        <i/>
        <sz val="10"/>
        <color indexed="8"/>
        <rFont val="Times New Roman"/>
        <family val="1"/>
      </rPr>
      <t>Female</t>
    </r>
  </si>
  <si>
    <r>
      <t xml:space="preserve">Dưới 12 tháng
</t>
    </r>
    <r>
      <rPr>
        <i/>
        <sz val="8"/>
        <color indexed="8"/>
        <rFont val="Times New Roman"/>
        <family val="1"/>
      </rPr>
      <t>Under 12 months</t>
    </r>
  </si>
  <si>
    <r>
      <t xml:space="preserve">Không xác định thời hạn
</t>
    </r>
    <r>
      <rPr>
        <i/>
        <sz val="8"/>
        <color indexed="8"/>
        <rFont val="Times New Roman"/>
        <family val="1"/>
      </rPr>
      <t>Indefine</t>
    </r>
  </si>
  <si>
    <r>
      <t xml:space="preserve">Phụ lục HĐLĐ
</t>
    </r>
    <r>
      <rPr>
        <i/>
        <sz val="8"/>
        <color indexed="8"/>
        <rFont val="Times New Roman"/>
        <family val="1"/>
      </rPr>
      <t>Annex of Labor Contract</t>
    </r>
  </si>
  <si>
    <t>Sign in</t>
  </si>
  <si>
    <t>x</t>
  </si>
  <si>
    <t>DANH SÁCH KÝ NHẬN HỢP ĐỒNG LAO ĐỘNG</t>
  </si>
  <si>
    <t>- Trong vòng 03 ngày kể từ ngày nhận, HĐ phải được trả đầy đủ về phòng Nhân sự.</t>
  </si>
  <si>
    <t>Ngày nhận</t>
  </si>
  <si>
    <t>Receive date</t>
  </si>
  <si>
    <t>KWANG KYUNG WON</t>
  </si>
  <si>
    <t>USD/tháng</t>
  </si>
  <si>
    <t>năm</t>
  </si>
  <si>
    <t>Year</t>
  </si>
  <si>
    <t>Pursuant to Labor contract No.10021491/3/HĐ GIA HẠN signed on 02/01/2010 and labor demand,</t>
  </si>
  <si>
    <t>Phụ lục này là một phần của Hợp đồng lao động số………….được làm thành hai bản có giá trị ngang nhau,</t>
  </si>
  <si>
    <t xml:space="preserve">This annex is one part of the Labor contract No……………..., is made into 02 of equal validity, </t>
  </si>
  <si>
    <t>15/01/1960</t>
  </si>
  <si>
    <t>SIN MIN GON</t>
  </si>
  <si>
    <t>Tổng Giám Đốc</t>
  </si>
  <si>
    <t>General Director</t>
  </si>
  <si>
    <t>Số hộ chiếu</t>
  </si>
  <si>
    <t>Passport No.</t>
  </si>
  <si>
    <t>P.Tổng giám đốc</t>
  </si>
  <si>
    <t xml:space="preserve">Những nội dung tại mục 1 nêu trên có hiệu lực từ ngày 01/12/2013 cho đến khi được bãi bỏ bằng một văn bản </t>
  </si>
  <si>
    <t>Effective date of the item 1 above amendment from 01/12/2013 until revoked in writing or decision by Board of Director.</t>
  </si>
  <si>
    <t xml:space="preserve">Căn cứ vào Hợp đồng lao động số 10021491/3/HĐ ký ngày 14/03/2012 và nhu cầu sử dụng lao động, </t>
  </si>
  <si>
    <t xml:space="preserve"> Tổng giám đốc</t>
  </si>
  <si>
    <t>3 tháng / lần</t>
  </si>
  <si>
    <r>
      <t>Trợ cấp vé máy bay định kỳ -</t>
    </r>
    <r>
      <rPr>
        <i/>
        <sz val="10"/>
        <color indexed="10"/>
        <rFont val="Cambria"/>
        <family val="1"/>
      </rPr>
      <t xml:space="preserve"> Air ticket allowance for expatriats</t>
    </r>
  </si>
  <si>
    <t>M06917143             Ngày cấp</t>
  </si>
  <si>
    <t>BIÊN BẢN THỎA THUẬN VỀ VIỆC 
GIÁN ĐOẠN THỜI GIAN THAM GIA BẢO HIỂM</t>
  </si>
  <si>
    <t>NGUYỄN VĂN BÉ NĂM</t>
  </si>
  <si>
    <t>Sản xuất</t>
  </si>
  <si>
    <t>Trà Bôn - Châu Điền - Cầu Kè - Trà Vinh</t>
  </si>
  <si>
    <t>CA Trà Vinh</t>
  </si>
  <si>
    <t>Đồng ý  ký kết biên bản thoả thuận về việc gián đoạn thời gian bảo hiểm</t>
  </si>
  <si>
    <t>Điều 1 : Lý do</t>
  </si>
  <si>
    <t>Điều 2 :</t>
  </si>
  <si>
    <t>Điều 3 :</t>
  </si>
  <si>
    <t>Chế độ bảo hiểm</t>
  </si>
  <si>
    <t>CHOI KYU SEONG</t>
  </si>
  <si>
    <t>Bình Dương, ngày 02 tháng 05 năm 2014</t>
  </si>
  <si>
    <t>Độc lập - Tự do - Hạnh phúc</t>
  </si>
  <si>
    <t>giám đốc công ty đã đồng ý cho nhân viên này được quay trở lại tiếp tục làm việc tại công ty.</t>
  </si>
  <si>
    <t>- Sau khi nhận Bên B vào làm việc Bên A và  Bên B sẽ tham gia bảo hiểm bắt buộc theo tỷ lệ quy định</t>
  </si>
  <si>
    <t>- Bên A không tham gia bảo hiểm xã hội,bảo hiểm y tế và bảo hiểm thất nghiệp trong tháng 4 năm 2014 cho Bên B</t>
  </si>
  <si>
    <t>Ông :        CHOI KYU SEONG</t>
  </si>
  <si>
    <t>- Ngày 14/04/2014 công ty Eclipse Polymers(Vina) ra quyết định không gia hạn tiếp hợp đồng với ông : 
Nguyễn Văn Bé Năm</t>
  </si>
  <si>
    <t>- Phòng nhân sự đã báo giảm không tham gia bảo hiểm trong tháng 4 và bảo lưu sổ BHXH cho nhân viên có tên trên</t>
  </si>
  <si>
    <t>- Sau khi nghỉ việc nhận thấy không thỏa đáng nhân viên Bé Năm đã xin được quay trở lại công ty làm việc và Ban</t>
  </si>
  <si>
    <t>- Biên bản thỏa thuận được làm thành 02 bản có giá trị ngang nhau, mỗi bên giữ 01 bản và có hiệu lực từ ngày ký.</t>
  </si>
  <si>
    <t>06503.801.100</t>
  </si>
  <si>
    <t>Korean</t>
  </si>
  <si>
    <t>Thỏa thuận ký kết hợp đồng lao động và cam kết thực hiện đúng những điều khoản sau:</t>
  </si>
  <si>
    <t>Địa chỉ :</t>
  </si>
  <si>
    <t xml:space="preserve">Số HĐ : </t>
  </si>
  <si>
    <t>- Bảo đảm việc làm và thực hiện đầy đủ những điều đã cam kết trong hợp đồng</t>
  </si>
  <si>
    <t>CÔNG TY TNHH SEWOON MEDICAL VINA</t>
  </si>
  <si>
    <t>Công ty TNHH Sewoon Medical Vina</t>
  </si>
  <si>
    <t>No.
STT</t>
  </si>
  <si>
    <t>E.Code
MSNV</t>
  </si>
  <si>
    <t>Full Name
Họ Và Tên</t>
  </si>
  <si>
    <t>Position
Chức vụ</t>
  </si>
  <si>
    <t>Remark
Ghi chú</t>
  </si>
  <si>
    <t>Nguyễn Thị Kim Liên</t>
  </si>
  <si>
    <t>Nhóm trưởng
Line control</t>
  </si>
  <si>
    <t>LIST OF EMPLOYEE PROMOTION</t>
  </si>
  <si>
    <t>DANH SÁCH NHÂN VIÊN ĐƯỢC THĂNG CHỨC</t>
  </si>
  <si>
    <t>Lương căn bản
Basic salary</t>
  </si>
  <si>
    <t>Trách nhiệm
 Responsibility</t>
  </si>
  <si>
    <t>Nhà ở / House</t>
  </si>
  <si>
    <t>Xăng / Gasoline</t>
  </si>
  <si>
    <t>Chuyên cần / Assiduity</t>
  </si>
  <si>
    <t>HUỲNH THỊ TRANG</t>
  </si>
  <si>
    <t>LÊ THỊ KIỀU THU</t>
  </si>
  <si>
    <t>PHẠM THỤY MỘNG TUYỀN</t>
  </si>
  <si>
    <t>PHẠM BÍCH TRÂM</t>
  </si>
  <si>
    <t>NGUYỄN THỊ LY</t>
  </si>
  <si>
    <t>ĐOÀN THỊ TRÚC</t>
  </si>
  <si>
    <t>HUỲNH THỊ KIM LOAN</t>
  </si>
  <si>
    <t>THẠCH THỊ SA QUÂN</t>
  </si>
  <si>
    <t>NGUYỄN THỊ MỸ NHÂN</t>
  </si>
  <si>
    <t>VÕ THỊ THẢO</t>
  </si>
  <si>
    <t>QUÁCH THỊ NĂM</t>
  </si>
  <si>
    <t>NGUYỄN THỊ CẨM CHIÊU</t>
  </si>
  <si>
    <t>LÊ THỊ THÙY NGÂN</t>
  </si>
  <si>
    <t>NGUYỄN NGỌC HUỲNH</t>
  </si>
  <si>
    <t xml:space="preserve">TRẦN THỊ PHƯƠNG </t>
  </si>
  <si>
    <t>SỬ VÕ THANH HOÀI</t>
  </si>
  <si>
    <t>NGUYỄN THỊ THẢO</t>
  </si>
  <si>
    <t>TRẦN THỊ THANH HUỆ</t>
  </si>
  <si>
    <t>NGUYỄN THỊ LOAN</t>
  </si>
  <si>
    <t>NGUYỄN THỊ SANG</t>
  </si>
  <si>
    <t>NGUYỄN THỊ NGỌC TRÚC</t>
  </si>
  <si>
    <t>THƯỢNG THỊ NGỌC KHANH</t>
  </si>
  <si>
    <t>NGUYỄN THỊ NGỌC</t>
  </si>
  <si>
    <t>PHẠM THỊ THU TRANG</t>
  </si>
  <si>
    <t>NGUYỄN THỊ NGUYỆT ÁNH</t>
  </si>
  <si>
    <t>BÙI THỊ MINH NGA</t>
  </si>
  <si>
    <t>PHẠM THỊ THƯ</t>
  </si>
  <si>
    <t>SƠ THỊ CẨM TIÊN</t>
  </si>
  <si>
    <t>LÊ THỊ XUÂN TIM</t>
  </si>
  <si>
    <t>TRẦN THỊ NGỌC YẾN</t>
  </si>
  <si>
    <t>LÂM PHI Á</t>
  </si>
  <si>
    <t>LÊ NGỌC GIÀU</t>
  </si>
  <si>
    <t>ĐINH NGỌC DUNG</t>
  </si>
  <si>
    <t>ĐOÀN THỊ TRANG</t>
  </si>
  <si>
    <t>NGUYỄN THỊ MINH TRANG</t>
  </si>
  <si>
    <t>ĐẶNG THỊ TIẾT</t>
  </si>
  <si>
    <t>LÊ THỊ THU HIỀN</t>
  </si>
  <si>
    <t>VÕ THỊ NGỌC ÂN</t>
  </si>
  <si>
    <t>TRẦN THỊ THANH THÚY</t>
  </si>
  <si>
    <t>TRẦN NGỌC HOA</t>
  </si>
  <si>
    <t>NGUYỄN THỊ TÂM</t>
  </si>
  <si>
    <t>ĐINH THỊ THẮM</t>
  </si>
  <si>
    <t>NGUYỄN THỊ THÚY KIỀU</t>
  </si>
  <si>
    <t>HUỲNH THANH LIỄU</t>
  </si>
  <si>
    <t>IV.SET</t>
  </si>
  <si>
    <t>Phòng nhân sự</t>
  </si>
  <si>
    <t>Trương Thị Bích Chi</t>
  </si>
  <si>
    <r>
      <t xml:space="preserve">1 năm
</t>
    </r>
    <r>
      <rPr>
        <sz val="8"/>
        <color indexed="8"/>
        <rFont val="Times New Roman"/>
        <family val="1"/>
      </rPr>
      <t>A year</t>
    </r>
  </si>
  <si>
    <t>00111</t>
  </si>
  <si>
    <t>Reception</t>
  </si>
  <si>
    <t>89/2014/HĐLĐ</t>
  </si>
  <si>
    <t>Bình Dương, ngày 02 tháng 01 năm 2015</t>
  </si>
  <si>
    <t>NGUYỄN MỸ UYÊN PHƯƠNG</t>
  </si>
  <si>
    <t>MỘT NĂM (LẦN 1)</t>
  </si>
  <si>
    <t>02/01/2015</t>
  </si>
  <si>
    <t>31/12/2015</t>
  </si>
  <si>
    <t xml:space="preserve">           0</t>
  </si>
  <si>
    <t>0</t>
  </si>
  <si>
    <t>ĐT: (84 650) 3801 100   Fax: (84 650) 3801 104</t>
  </si>
  <si>
    <t>LABOUR CONTRACT</t>
  </si>
  <si>
    <t>Director</t>
  </si>
  <si>
    <t>PP No.</t>
  </si>
  <si>
    <t>MP0379966</t>
  </si>
  <si>
    <t xml:space="preserve">Điện thoại </t>
  </si>
  <si>
    <t>Thời hạn hợp đồng và công việc hợp đồng</t>
  </si>
  <si>
    <t>Nhân viên</t>
  </si>
  <si>
    <t>Từ 08:00 sáng  đến 17:00 giờ chiều</t>
  </si>
  <si>
    <t xml:space="preserve">8 tiếng/Ngày </t>
  </si>
  <si>
    <t>From 08:00 AM To 05:00 PM</t>
  </si>
  <si>
    <t>01 tiếng/Ngày</t>
  </si>
  <si>
    <t>Rest time</t>
  </si>
  <si>
    <t xml:space="preserve">08 hours /Day </t>
  </si>
  <si>
    <t>01 hour/Day</t>
  </si>
  <si>
    <t>Over time</t>
  </si>
  <si>
    <t>Không được quá 04 tiếng/ngày</t>
  </si>
  <si>
    <t>Over time regulation</t>
  </si>
  <si>
    <t>Not over 04 hours/ day</t>
  </si>
  <si>
    <t>Từ thứ 02 đến thứ 06 hàng tuần</t>
  </si>
  <si>
    <t>SEWOON MEDICAL VINA CO., LTD</t>
  </si>
  <si>
    <t>Số GP Lao Động</t>
  </si>
  <si>
    <t>Cấp ngày</t>
  </si>
  <si>
    <t>Work permit No.</t>
  </si>
  <si>
    <t xml:space="preserve">:                                        </t>
  </si>
  <si>
    <t>Term and assigned work</t>
  </si>
  <si>
    <t>- Thời gian làm việc hàng ngày</t>
  </si>
  <si>
    <t>Daily Working time</t>
  </si>
  <si>
    <t>Working days of week</t>
  </si>
  <si>
    <t xml:space="preserve">Sau khi kết thúc thời gian làm việc hàng ngày </t>
  </si>
  <si>
    <t xml:space="preserve">The after finish daily working time </t>
  </si>
  <si>
    <t>12:00 - 13:00 hoặc 11:30 - 12:30</t>
  </si>
  <si>
    <t>12:00 - 13:00 or 11:30 - 12:30</t>
  </si>
  <si>
    <t>From Monday To Saturday per week</t>
  </si>
  <si>
    <r>
      <t xml:space="preserve">- Hình thức trả lương </t>
    </r>
    <r>
      <rPr>
        <i/>
        <sz val="11"/>
        <rFont val="Times New Roman"/>
        <family val="1"/>
      </rPr>
      <t>(Paid method)</t>
    </r>
  </si>
  <si>
    <t xml:space="preserve">VNĐ/tháng </t>
  </si>
  <si>
    <t xml:space="preserve">   From</t>
  </si>
  <si>
    <t xml:space="preserve">   Working at</t>
  </si>
  <si>
    <t>Job title</t>
  </si>
  <si>
    <t xml:space="preserve">Chức vụ </t>
  </si>
  <si>
    <t>ngày làm việc tiếp theo bằng tiền mặt hoặc chuyển khoản.</t>
  </si>
  <si>
    <t>working day by cash or bank tranfer.</t>
  </si>
  <si>
    <t>- Chế độ nâng lương:</t>
  </si>
  <si>
    <t xml:space="preserve">  Regime for advancement in wage grades:</t>
  </si>
  <si>
    <t>1 lần / 1 năm</t>
  </si>
  <si>
    <t>1 time / 1 year</t>
  </si>
  <si>
    <t>- Chế độ nghỉ ngơi (hàng tuần, phép năm, lễ, tết…)</t>
  </si>
  <si>
    <t xml:space="preserve">  Time of rest (Week leave, annual leave and public holidays…): According to the current Vietnam Labor law.</t>
  </si>
  <si>
    <t>Chủ Nhật</t>
  </si>
  <si>
    <t xml:space="preserve">   Weekly day-off</t>
  </si>
  <si>
    <t>Sunday</t>
  </si>
  <si>
    <t xml:space="preserve">   Comply with production requirement, labor regulation and occupational safety regulations.</t>
  </si>
  <si>
    <t>: Theo Luật lao động hiện hành</t>
  </si>
  <si>
    <t>Điều hành người lao động hoàn thành công việc theo hợp đồng (bố trí, điều chuyển, tạm ngừng việc…)</t>
  </si>
  <si>
    <t xml:space="preserve">   Provided labor protection eqiupment: Based on the attached list</t>
  </si>
  <si>
    <t xml:space="preserve">   Fullfill the works undertaken in labor contract.</t>
  </si>
  <si>
    <t>- Bồi thường vi phạm kỷ luật và trách nhiệm về vật chất: Theo quy định của Bộ luật lao động và Nội quy công ty.</t>
  </si>
  <si>
    <t xml:space="preserve">   Compensation for violating labour discipline and material liability: based on Labor law and company labor regulation</t>
  </si>
  <si>
    <t xml:space="preserve">  Provided equipment : According to assigned works.</t>
  </si>
  <si>
    <t>- Được cấp phát những dụng cụ cần thiết bao gồm: Theo yêu cầu công việc.</t>
  </si>
  <si>
    <t>Agree to sign in this labour contract and commit to implement the following provisions:</t>
  </si>
  <si>
    <t>- Bộ phận công tác:</t>
  </si>
  <si>
    <t>To manage the employees to fullfil the assigned works in labor contract (arrange, replace, pause…)</t>
  </si>
  <si>
    <t xml:space="preserve">  Ensure to perform all of terms in labor contract.</t>
  </si>
  <si>
    <t>- Bảo hiểm xã hội, Bảo hiểm y tế, Bảo hiểm thất nghiệp: Theo luật BHXH hiện hành</t>
  </si>
  <si>
    <t xml:space="preserve">   Social, Medical Insurance, Jobless Insurance: According to the current social insurance law</t>
  </si>
  <si>
    <t>- Chế độ đào tạo: Theo quy định của công ty và nhu cầu công việc</t>
  </si>
  <si>
    <t xml:space="preserve">  Training regulation: According to Company regulations and the job requirement.</t>
  </si>
  <si>
    <t xml:space="preserve"> agreement (if any)</t>
  </si>
  <si>
    <t>Implement term:</t>
  </si>
  <si>
    <t>Always pay fully on the salary day all of salary and allowances or bonus which written in labor contract or Collective labor</t>
  </si>
  <si>
    <t>The problems concerning with labour is not defined in labour contract shall be applied with the provisions of collective</t>
  </si>
  <si>
    <t xml:space="preserve"> labour agreement. In case of not having collective labour agreement shall be applied regulations of labour legislation.</t>
  </si>
  <si>
    <t>- Hợp đồng lao động được chia làm 02 bản có giá trị ngang nhau, mỗi bên giữ một bản và có hiệu lực từ ngày ký</t>
  </si>
  <si>
    <t xml:space="preserve"> hợp đồng lao động. Khi hai bên ký kết phụ lục hợp đồng lao động thì nội dung của phụ lục hợp đồng cũng có </t>
  </si>
  <si>
    <t>giá trị như các nội dung của bản hợp đồng lao động này.</t>
  </si>
  <si>
    <t>sign appendix shall be valued as the contents of labour contract.</t>
  </si>
  <si>
    <t>Giám Đốc (Director)</t>
  </si>
  <si>
    <t>SUN YOUMYOUNG</t>
  </si>
  <si>
    <t>Số 08, Vsip II-A, Đường 27, KCN Vsip II A, Xã Vĩnh Tân, Tx Tân Uyên, T. Bình Dương</t>
  </si>
  <si>
    <t xml:space="preserve">- Ngày nghỉ hàng tuần: </t>
  </si>
  <si>
    <t>Issued under the Circular of the Ministry of Labour, Invalids and Social Affairs No 21/2003/TT-BLĐTBXH on 22 september 2003</t>
  </si>
  <si>
    <r>
      <t xml:space="preserve">- Thưởng kỷ luật </t>
    </r>
    <r>
      <rPr>
        <i/>
        <sz val="11"/>
        <rFont val="Times New Roman"/>
        <family val="1"/>
      </rPr>
      <t>(Discipline Bonus)</t>
    </r>
  </si>
  <si>
    <r>
      <t xml:space="preserve">- Hỗ trợ ăn khi tăng ca </t>
    </r>
    <r>
      <rPr>
        <i/>
        <sz val="11"/>
        <rFont val="Times New Roman"/>
        <family val="1"/>
      </rPr>
      <t>(Meal offered when working overtime)</t>
    </r>
  </si>
  <si>
    <t>MSNV:</t>
  </si>
  <si>
    <t>Giám Đốc</t>
  </si>
  <si>
    <t>Việt Nam</t>
  </si>
  <si>
    <t>Số 08, Vsip II-A,Đường 27, Kcn  Vsip II-A , 
Xã Vĩnh Tân, Tx Tân Uyên - T.Bình Dương</t>
  </si>
  <si>
    <t>- Thời gian nghỉ ngơi</t>
  </si>
  <si>
    <t>- Ngày làm việc trong tuần</t>
  </si>
  <si>
    <t>- Thời gian làm thêm giờ</t>
  </si>
  <si>
    <t>- Quy định làm thêm giờ</t>
  </si>
  <si>
    <t>+ Thời gian trả lương là ngày 08 tây hàng tháng</t>
  </si>
  <si>
    <t xml:space="preserve">Nếu ngày 08 rơi vào ngày nghỉ cuối tuần của ngân hàng hoặc ngày lễ, lương sẽ được thì sẽ trả vào </t>
  </si>
  <si>
    <t>If the 08th is on weekend holidays of Bank or National holidays, the salary will be paid on the next</t>
  </si>
  <si>
    <t xml:space="preserve">- Trang thiết bị bảo hộ lao động: </t>
  </si>
  <si>
    <t xml:space="preserve">  This labour contract is made at Sewoon Medical Vina Co., Ltd.</t>
  </si>
  <si>
    <t xml:space="preserve">  Labour contract is made 02 copies of equal validty, each party keeps one copy and available on sign in. When both parties </t>
  </si>
  <si>
    <r>
      <t xml:space="preserve">- Loại hợp đồng lao động - </t>
    </r>
    <r>
      <rPr>
        <i/>
        <sz val="12"/>
        <rFont val="Times New Roman"/>
        <family val="1"/>
      </rPr>
      <t>Type of labour contract:</t>
    </r>
  </si>
  <si>
    <r>
      <t>I. Quyền lợi -</t>
    </r>
    <r>
      <rPr>
        <b/>
        <i/>
        <sz val="12"/>
        <rFont val="Times New Roman"/>
        <family val="1"/>
      </rPr>
      <t xml:space="preserve"> Rights and benefits</t>
    </r>
  </si>
  <si>
    <r>
      <t>Tự túc (</t>
    </r>
    <r>
      <rPr>
        <i/>
        <sz val="12"/>
        <rFont val="Times New Roman"/>
        <family val="1"/>
      </rPr>
      <t xml:space="preserve">Self sufficient ) / </t>
    </r>
    <r>
      <rPr>
        <sz val="12"/>
        <rFont val="Times New Roman"/>
        <family val="1"/>
      </rPr>
      <t>Xe đưa rước của công ty</t>
    </r>
    <r>
      <rPr>
        <i/>
        <sz val="12"/>
        <rFont val="Times New Roman"/>
        <family val="1"/>
      </rPr>
      <t xml:space="preserve"> (Company Pick up car)</t>
    </r>
  </si>
  <si>
    <r>
      <t xml:space="preserve">Tiền mặt hoặc chuyển khoản </t>
    </r>
    <r>
      <rPr>
        <i/>
        <sz val="12"/>
        <rFont val="Times New Roman"/>
        <family val="1"/>
      </rPr>
      <t>(Cash or transfer)</t>
    </r>
  </si>
  <si>
    <r>
      <t xml:space="preserve">- Mức lương căn bản </t>
    </r>
    <r>
      <rPr>
        <i/>
        <sz val="11"/>
        <rFont val="Times New Roman"/>
        <family val="1"/>
      </rPr>
      <t>(Basic salary)</t>
    </r>
  </si>
  <si>
    <r>
      <t xml:space="preserve">- Trợ cấp cơ bản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Basic Allowance)</t>
    </r>
  </si>
  <si>
    <r>
      <t xml:space="preserve">- Trợ cấp trách nhiệm/chuyên môn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Responsibility Allowance)</t>
    </r>
  </si>
  <si>
    <r>
      <t xml:space="preserve">- Trợ cấp thâm niên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Seniority Allowance)</t>
    </r>
  </si>
  <si>
    <r>
      <t xml:space="preserve">- Khoản hỗ trợ gia đình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Family Support Fee)</t>
    </r>
  </si>
  <si>
    <r>
      <t xml:space="preserve">- Khoản hỗ trợ xăng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Gasoline Support Fee)</t>
    </r>
  </si>
  <si>
    <r>
      <t xml:space="preserve">- Khoản hỗ trợ nghỉ giữa giờ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Rest Support Fee)</t>
    </r>
  </si>
  <si>
    <r>
      <t xml:space="preserve">- Thưởng chuyên cần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Attendance Bonus)</t>
    </r>
  </si>
  <si>
    <r>
      <t xml:space="preserve">- Khoản hỗ trợ điện thoại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Mobile Support Fee)</t>
    </r>
  </si>
  <si>
    <r>
      <t xml:space="preserve">- Khoản hỗ trợ cơm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Meal Support Fee)</t>
    </r>
  </si>
  <si>
    <r>
      <t xml:space="preserve">Công ty chi trả / </t>
    </r>
    <r>
      <rPr>
        <i/>
        <sz val="11"/>
        <rFont val="Times New Roman"/>
        <family val="1"/>
      </rPr>
      <t>Paid by Company</t>
    </r>
  </si>
  <si>
    <r>
      <t xml:space="preserve">- Thuế thu nhập cá nhân </t>
    </r>
    <r>
      <rPr>
        <i/>
        <sz val="11"/>
        <rFont val="Times New Roman"/>
        <family val="1"/>
      </rPr>
      <t>(Personal income tax)</t>
    </r>
    <r>
      <rPr>
        <i/>
        <sz val="12"/>
        <rFont val="Times New Roman"/>
        <family val="1"/>
      </rPr>
      <t>:</t>
    </r>
    <r>
      <rPr>
        <sz val="12"/>
        <rFont val="Times New Roman"/>
        <family val="1"/>
      </rPr>
      <t xml:space="preserve"> Người lao động chịu trách nhiệm nộp Thuế thu nhập cá nhân</t>
    </r>
  </si>
  <si>
    <r>
      <rPr>
        <i/>
        <sz val="12"/>
        <rFont val="Times New Roman"/>
        <family val="1"/>
      </rPr>
      <t xml:space="preserve"> (nếu có) </t>
    </r>
    <r>
      <rPr>
        <i/>
        <sz val="10"/>
        <rFont val="Times New Roman"/>
        <family val="1"/>
      </rPr>
      <t xml:space="preserve">/ </t>
    </r>
    <r>
      <rPr>
        <i/>
        <sz val="11"/>
        <rFont val="Times New Roman"/>
        <family val="1"/>
      </rPr>
      <t>Employee will pay personal income tax (if any)</t>
    </r>
  </si>
  <si>
    <t xml:space="preserve"> Department</t>
  </si>
  <si>
    <r>
      <t>- Thời gian trả lương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(Salary Day)</t>
    </r>
  </si>
  <si>
    <r>
      <rPr>
        <i/>
        <sz val="11"/>
        <rFont val="Times New Roman"/>
        <family val="1"/>
      </rPr>
      <t>Monthly Salary day is on 08</t>
    </r>
    <r>
      <rPr>
        <i/>
        <vertAlign val="superscript"/>
        <sz val="11"/>
        <rFont val="Times New Roman"/>
        <family val="1"/>
      </rPr>
      <t xml:space="preserve">th </t>
    </r>
  </si>
  <si>
    <r>
      <rPr>
        <sz val="12"/>
        <rFont val="Times New Roman"/>
        <family val="1"/>
      </rPr>
      <t>- Tiền Thưởng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Bonus):</t>
    </r>
  </si>
  <si>
    <r>
      <rPr>
        <sz val="12"/>
        <rFont val="Times New Roman"/>
        <family val="1"/>
      </rPr>
      <t>Theo quy định luật lao động Việt Nam</t>
    </r>
    <r>
      <rPr>
        <sz val="11"/>
        <rFont val="Times New Roman"/>
        <family val="1"/>
      </rPr>
      <t>/Based on labor law of Viet Nam</t>
    </r>
  </si>
  <si>
    <r>
      <rPr>
        <sz val="12"/>
        <rFont val="Times New Roman"/>
        <family val="1"/>
      </rPr>
      <t>- Phụ cấp tăng ca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OT allowance):</t>
    </r>
  </si>
  <si>
    <r>
      <rPr>
        <i/>
        <sz val="12"/>
        <rFont val="Times New Roman"/>
        <family val="1"/>
      </rPr>
      <t>Theo luật lao động Việt Nam</t>
    </r>
    <r>
      <rPr>
        <i/>
        <sz val="10"/>
        <rFont val="Times New Roman"/>
        <family val="1"/>
      </rPr>
      <t xml:space="preserve">/ </t>
    </r>
    <r>
      <rPr>
        <i/>
        <sz val="11"/>
        <rFont val="Times New Roman"/>
        <family val="1"/>
      </rPr>
      <t>Base on labor law of Viet Nam</t>
    </r>
  </si>
  <si>
    <r>
      <t xml:space="preserve">  Người sử dụng lao động 22%,người lao động 10.5% </t>
    </r>
    <r>
      <rPr>
        <i/>
        <sz val="12"/>
        <rFont val="Times New Roman"/>
        <family val="1"/>
      </rPr>
      <t xml:space="preserve"> (Employer 22%, Employees 10.5%)</t>
    </r>
  </si>
  <si>
    <r>
      <rPr>
        <b/>
        <sz val="12"/>
        <rFont val="Times New Roman"/>
        <family val="1"/>
      </rPr>
      <t xml:space="preserve">II. Nghĩa Vụ </t>
    </r>
    <r>
      <rPr>
        <b/>
        <sz val="11"/>
        <rFont val="Times New Roman"/>
        <family val="1"/>
      </rPr>
      <t xml:space="preserve">- </t>
    </r>
    <r>
      <rPr>
        <b/>
        <i/>
        <sz val="11"/>
        <rFont val="Times New Roman"/>
        <family val="1"/>
      </rPr>
      <t>Obligations</t>
    </r>
  </si>
  <si>
    <r>
      <t xml:space="preserve">I. Quyền hạn - </t>
    </r>
    <r>
      <rPr>
        <b/>
        <i/>
        <sz val="12"/>
        <rFont val="Times New Roman"/>
        <family val="1"/>
      </rPr>
      <t>Rights</t>
    </r>
  </si>
  <si>
    <r>
      <t xml:space="preserve">II. Nghĩa Vụ - </t>
    </r>
    <r>
      <rPr>
        <b/>
        <i/>
        <sz val="12"/>
        <rFont val="Times New Roman"/>
        <family val="1"/>
      </rPr>
      <t>Obligations</t>
    </r>
  </si>
  <si>
    <r>
      <t>- Hợp đồng này được lập  tại:</t>
    </r>
    <r>
      <rPr>
        <b/>
        <sz val="12"/>
        <rFont val="Times New Roman"/>
        <family val="1"/>
      </rPr>
      <t xml:space="preserve"> CÔNG TY TNHH SEWOON MEDICAL VINA.</t>
    </r>
  </si>
  <si>
    <r>
      <t xml:space="preserve">- Phương tiện đi làm việc </t>
    </r>
    <r>
      <rPr>
        <i/>
        <sz val="11"/>
        <rFont val="Times New Roman"/>
        <family val="1"/>
      </rPr>
      <t>(Means of transportation)</t>
    </r>
  </si>
  <si>
    <t xml:space="preserve">- Công việc phải làm: </t>
  </si>
  <si>
    <t xml:space="preserve"> Assigned work: </t>
  </si>
  <si>
    <t xml:space="preserve">:             </t>
  </si>
  <si>
    <t>190 Nguyễn Văn Hưởng, P.Thảo Điền, Quận 02, TP.Hồ Chí Minh</t>
  </si>
  <si>
    <t>- Mức lương căn bản (Basic salary)</t>
  </si>
  <si>
    <t>working day by cash or bank transfer.</t>
  </si>
  <si>
    <r>
      <rPr>
        <b/>
        <sz val="12"/>
        <rFont val="Times New Roman"/>
        <family val="1"/>
      </rPr>
      <t xml:space="preserve"> (nếu có) </t>
    </r>
    <r>
      <rPr>
        <b/>
        <sz val="10"/>
        <rFont val="Times New Roman"/>
        <family val="1"/>
      </rPr>
      <t xml:space="preserve">/ </t>
    </r>
    <r>
      <rPr>
        <b/>
        <sz val="11"/>
        <rFont val="Times New Roman"/>
        <family val="1"/>
      </rPr>
      <t>Employee will pay personal income tax (if any)</t>
    </r>
  </si>
  <si>
    <r>
      <t xml:space="preserve">A. Lương cơ bản </t>
    </r>
    <r>
      <rPr>
        <b/>
        <sz val="11"/>
        <rFont val="Times New Roman"/>
        <family val="1"/>
      </rPr>
      <t>(Basic salary):</t>
    </r>
  </si>
  <si>
    <r>
      <rPr>
        <sz val="12"/>
        <rFont val="Times New Roman"/>
        <family val="1"/>
      </rPr>
      <t>- Tiền thưởng (Lương tháng 13)/</t>
    </r>
    <r>
      <rPr>
        <i/>
        <sz val="11"/>
        <rFont val="Times New Roman"/>
        <family val="1"/>
      </rPr>
      <t>Bonus(13</t>
    </r>
    <r>
      <rPr>
        <i/>
        <vertAlign val="superscript"/>
        <sz val="11"/>
        <rFont val="Times New Roman"/>
        <family val="1"/>
      </rPr>
      <t>th</t>
    </r>
    <r>
      <rPr>
        <i/>
        <sz val="11"/>
        <rFont val="Times New Roman"/>
        <family val="1"/>
      </rPr>
      <t xml:space="preserve"> salary)</t>
    </r>
  </si>
  <si>
    <t>Theo quy định luật lao động Việt Nam/Based on labor law of Viet Nam</t>
  </si>
  <si>
    <r>
      <t>- Tiền cơm /</t>
    </r>
    <r>
      <rPr>
        <sz val="11"/>
        <color indexed="8"/>
        <rFont val="Times New Roman"/>
        <family val="1"/>
      </rPr>
      <t>Meal fee</t>
    </r>
  </si>
  <si>
    <t>Công ty chi trả/Paid by company</t>
  </si>
  <si>
    <t xml:space="preserve">After finishing daily working time </t>
  </si>
  <si>
    <t>Nhóm/Team</t>
  </si>
  <si>
    <t>Injection</t>
  </si>
  <si>
    <t>I.V Set - Injection</t>
  </si>
  <si>
    <t>00306</t>
  </si>
  <si>
    <t>TRẦN VĂN CHỈNH</t>
  </si>
  <si>
    <t>Ninh Bình</t>
  </si>
  <si>
    <t>Worker</t>
  </si>
  <si>
    <t>Lưu Phương , Kim Sơn , Ninh Bình</t>
  </si>
  <si>
    <t>29/06/2005</t>
  </si>
  <si>
    <t>00306/3/1 Năm</t>
  </si>
  <si>
    <t>Từ thứ Hai đến thứ Bảy hàng tuần</t>
  </si>
  <si>
    <t>- Lương cơ bản, phụ cấp, các khoản hỗ trợ và thưởng (Basic salary, allowance, support fee and bonus):</t>
  </si>
  <si>
    <t>- Được cấp phát những dụng cụ BHLĐ bao gồm: Theo bảng mô tả công việc</t>
  </si>
  <si>
    <t xml:space="preserve">  Provided equipment: As job description</t>
  </si>
  <si>
    <t>Ngày - tháng - năm</t>
  </si>
  <si>
    <t>Date - month - year</t>
  </si>
  <si>
    <t>(LABOUR CONTRACT)</t>
  </si>
  <si>
    <r>
      <t xml:space="preserve">Theo bảng mô tả công việc
</t>
    </r>
    <r>
      <rPr>
        <i/>
        <sz val="12"/>
        <color indexed="8"/>
        <rFont val="Times New Roman"/>
        <family val="1"/>
      </rPr>
      <t>As job description</t>
    </r>
  </si>
  <si>
    <t>CÔNG TY TNHH MTV AJ TOTAL VIỆT NAM</t>
  </si>
  <si>
    <t>MỘT NĂM (LẦN 2)</t>
  </si>
  <si>
    <t xml:space="preserve"> AJ TOTAL VIETNAM CO., LTD</t>
  </si>
  <si>
    <t>0000.801.100</t>
  </si>
  <si>
    <t>MP08888888</t>
  </si>
  <si>
    <t>LEE MINHO</t>
  </si>
  <si>
    <t>190 Đường ABC, P.Thảo Điền, Quận 02, TP.Hồ Chí Minh</t>
  </si>
  <si>
    <t>Lô H.04, Đường số 1, Xã Long Hậu, Huyện Cần Giuộc, Tỉnh Long An, Việt Nam</t>
  </si>
  <si>
    <t>C. Thuế thu nhập cá nhân (Personal income tax): Người lao động chịu trách nhiệm nộp Thuế thu nhập cá nhân</t>
  </si>
  <si>
    <r>
      <t xml:space="preserve">B. Các loại phụ cấp </t>
    </r>
    <r>
      <rPr>
        <b/>
        <sz val="11"/>
        <rFont val="Times New Roman"/>
        <family val="1"/>
      </rPr>
      <t>(Allowances):</t>
    </r>
  </si>
  <si>
    <t>+ Thời gian trả lương là ngày 10 tây hàng tháng</t>
  </si>
  <si>
    <r>
      <t>Monthly Salary day is on 10</t>
    </r>
    <r>
      <rPr>
        <i/>
        <vertAlign val="superscript"/>
        <sz val="11"/>
        <rFont val="Times New Roman"/>
        <family val="1"/>
      </rPr>
      <t xml:space="preserve">th </t>
    </r>
  </si>
  <si>
    <t xml:space="preserve">Nếu ngày 10 rơi vào ngày nghỉ cuối tuần của ngân hàng hoặc ngày lễ, lương sẽ được thì sẽ trả vào </t>
  </si>
  <si>
    <t>If the 10th is on weekend holidays of Bank or National holidays, the salary will be paid on the next</t>
  </si>
  <si>
    <t>- Hợp đồng này được lập  tại: CÔNG TY TNHH MTV AJ TOTAL VIỆT NAM</t>
  </si>
  <si>
    <t xml:space="preserve">  This labour contract is made at AJ TOTAL VIETNAM CO., LTD</t>
  </si>
  <si>
    <r>
      <t xml:space="preserve">- Phụ cấp chức vụ </t>
    </r>
    <r>
      <rPr>
        <sz val="11"/>
        <rFont val="Times New Roman"/>
        <family val="1"/>
      </rPr>
      <t>(Position</t>
    </r>
    <r>
      <rPr>
        <i/>
        <sz val="11"/>
        <rFont val="Times New Roman"/>
        <family val="1"/>
      </rPr>
      <t xml:space="preserve"> Allowance)</t>
    </r>
  </si>
  <si>
    <r>
      <t>- Khám sức khỏe định kỳ /</t>
    </r>
    <r>
      <rPr>
        <sz val="11"/>
        <color indexed="8"/>
        <rFont val="Times New Roman"/>
        <family val="1"/>
      </rPr>
      <t>Annualy Health test fee</t>
    </r>
  </si>
  <si>
    <t>ĐT: (0000) 3801 900   Fax: (0000) 3801 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</si>
</sst>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00000000"/>
    <numFmt numFmtId="166" formatCode="00000"/>
  </numFmts>
  <fonts count="95" x14ac:knownFonts="1">
    <font>
      <sz val="11"/>
      <color indexed="8"/>
      <name val="Times New Roman"/>
      <family val="2"/>
    </font>
    <font>
      <sz val="10"/>
      <name val="Arial"/>
      <family val="2"/>
    </font>
    <font>
      <b/>
      <sz val="13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i/>
      <sz val="10"/>
      <color indexed="10"/>
      <name val="Cambria"/>
      <family val="1"/>
    </font>
    <font>
      <i/>
      <sz val="11"/>
      <color indexed="10"/>
      <name val="Cambria"/>
      <family val="1"/>
    </font>
    <font>
      <b/>
      <sz val="16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i/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i/>
      <sz val="11"/>
      <name val="Times New Roman"/>
      <family val="1"/>
    </font>
    <font>
      <sz val="10.3"/>
      <name val="Times New Roman"/>
      <family val="1"/>
    </font>
    <font>
      <b/>
      <sz val="18"/>
      <name val="Times New Roman"/>
      <family val="1"/>
    </font>
    <font>
      <sz val="18"/>
      <name val="Arial"/>
      <family val="2"/>
    </font>
    <font>
      <sz val="11"/>
      <color indexed="8"/>
      <name val="Times New Roman"/>
      <family val="2"/>
    </font>
    <font>
      <sz val="11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sz val="11"/>
      <color indexed="12"/>
      <name val="Cambria"/>
      <family val="1"/>
    </font>
    <font>
      <i/>
      <sz val="10"/>
      <name val="Cambria"/>
      <family val="1"/>
    </font>
    <font>
      <sz val="10.3"/>
      <name val="Cambria"/>
      <family val="1"/>
    </font>
    <font>
      <sz val="11"/>
      <color indexed="10"/>
      <name val="Cambria"/>
      <family val="1"/>
    </font>
    <font>
      <i/>
      <sz val="10"/>
      <color indexed="10"/>
      <name val="Cambria"/>
      <family val="1"/>
    </font>
    <font>
      <i/>
      <sz val="11"/>
      <color indexed="10"/>
      <name val="Cambria"/>
      <family val="1"/>
    </font>
    <font>
      <b/>
      <sz val="11"/>
      <color indexed="10"/>
      <name val="Cambria"/>
      <family val="1"/>
    </font>
    <font>
      <b/>
      <u/>
      <sz val="11"/>
      <color indexed="10"/>
      <name val="Cambria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mbria"/>
      <family val="1"/>
    </font>
    <font>
      <i/>
      <sz val="10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.3"/>
      <name val="Cambria"/>
      <family val="1"/>
    </font>
    <font>
      <i/>
      <sz val="11"/>
      <name val="Cambria"/>
      <family val="1"/>
    </font>
    <font>
      <b/>
      <sz val="16"/>
      <color indexed="8"/>
      <name val="Cambria"/>
      <family val="1"/>
    </font>
    <font>
      <i/>
      <sz val="11"/>
      <color indexed="8"/>
      <name val="Cambria"/>
      <family val="1"/>
    </font>
    <font>
      <b/>
      <sz val="18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sz val="8"/>
      <color indexed="8"/>
      <name val="Times New Roman"/>
      <family val="1"/>
    </font>
    <font>
      <sz val="11"/>
      <color indexed="8"/>
      <name val="Times New Roman"/>
      <family val="2"/>
    </font>
    <font>
      <b/>
      <sz val="11"/>
      <color indexed="12"/>
      <name val="Times New Roman"/>
      <family val="1"/>
    </font>
    <font>
      <b/>
      <sz val="16"/>
      <color indexed="8"/>
      <name val="Times New Roman"/>
      <family val="1"/>
    </font>
    <font>
      <b/>
      <i/>
      <sz val="16"/>
      <color indexed="12"/>
      <name val="Times New Roman"/>
      <family val="1"/>
    </font>
    <font>
      <sz val="12"/>
      <color indexed="10"/>
      <name val="Times New Roman"/>
      <family val="1"/>
    </font>
    <font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sz val="11"/>
      <color indexed="8"/>
      <name val="Times New Roman"/>
      <family val="2"/>
    </font>
    <font>
      <sz val="11"/>
      <color indexed="9"/>
      <name val="Times New Roman"/>
      <family val="2"/>
    </font>
    <font>
      <sz val="11"/>
      <color indexed="20"/>
      <name val="Times New Roman"/>
      <family val="2"/>
    </font>
    <font>
      <b/>
      <sz val="11"/>
      <color indexed="52"/>
      <name val="Times New Roman"/>
      <family val="2"/>
    </font>
    <font>
      <b/>
      <sz val="11"/>
      <color indexed="9"/>
      <name val="Times New Roman"/>
      <family val="2"/>
    </font>
    <font>
      <i/>
      <sz val="11"/>
      <color indexed="23"/>
      <name val="Times New Roman"/>
      <family val="2"/>
    </font>
    <font>
      <sz val="11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1"/>
      <color indexed="62"/>
      <name val="Times New Roman"/>
      <family val="2"/>
    </font>
    <font>
      <sz val="11"/>
      <color indexed="52"/>
      <name val="Times New Roman"/>
      <family val="2"/>
    </font>
    <font>
      <sz val="11"/>
      <color indexed="60"/>
      <name val="Times New Roman"/>
      <family val="2"/>
    </font>
    <font>
      <sz val="11"/>
      <color indexed="8"/>
      <name val="Calibri"/>
      <family val="2"/>
    </font>
    <font>
      <b/>
      <sz val="11"/>
      <color indexed="63"/>
      <name val="Times New Roman"/>
      <family val="2"/>
    </font>
    <font>
      <b/>
      <sz val="18"/>
      <color indexed="56"/>
      <name val="Cambria"/>
      <family val="2"/>
    </font>
    <font>
      <b/>
      <sz val="11"/>
      <color indexed="8"/>
      <name val="Times New Roman"/>
      <family val="2"/>
    </font>
    <font>
      <sz val="11"/>
      <color indexed="10"/>
      <name val="Times New Roman"/>
      <family val="2"/>
    </font>
    <font>
      <b/>
      <i/>
      <sz val="10"/>
      <name val="Times New Roman"/>
      <family val="1"/>
    </font>
    <font>
      <b/>
      <i/>
      <sz val="12"/>
      <name val="Times New Roman"/>
      <family val="1"/>
    </font>
    <font>
      <b/>
      <sz val="12"/>
      <color indexed="10"/>
      <name val="Times New Roman"/>
      <family val="1"/>
    </font>
    <font>
      <i/>
      <sz val="12"/>
      <name val="Cambria"/>
      <family val="1"/>
    </font>
    <font>
      <i/>
      <vertAlign val="superscript"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2"/>
      <color indexed="10"/>
      <name val="Times New Roman"/>
      <family val="1"/>
    </font>
    <font>
      <i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i/>
      <sz val="12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44">
    <xf numFmtId="0" fontId="0" fillId="0" borderId="0" applyNumberFormat="0" applyFont="0" applyFill="0" applyBorder="0" applyAlignment="0" applyProtection="0"/>
    <xf numFmtId="0" fontId="58" fillId="2" borderId="0" applyFont="0" applyFill="0"/>
    <xf numFmtId="0" fontId="58" fillId="3" borderId="0" applyFont="0" applyFill="0"/>
    <xf numFmtId="0" fontId="58" fillId="4" borderId="0" applyFont="0" applyFill="0"/>
    <xf numFmtId="0" fontId="58" fillId="6" borderId="0" applyFont="0" applyFill="0"/>
    <xf numFmtId="0" fontId="58" fillId="7" borderId="0" applyFont="0" applyFill="0"/>
    <xf numFmtId="0" fontId="58" fillId="9" borderId="0" applyFont="0" applyFill="0"/>
    <xf numFmtId="0" fontId="58" fillId="10" borderId="0" applyFont="0" applyFill="0"/>
    <xf numFmtId="0" fontId="58" fillId="5" borderId="0" applyFont="0" applyFill="0"/>
    <xf numFmtId="0" fontId="58" fillId="8" borderId="0" applyFont="0" applyFill="0"/>
    <xf numFmtId="0" fontId="58" fillId="11" borderId="0" applyFont="0" applyFill="0"/>
    <xf numFmtId="0" fontId="59" fillId="12" borderId="0" applyFont="0" applyFill="0"/>
    <xf numFmtId="0" fontId="59" fillId="9" borderId="0" applyFont="0" applyFill="0"/>
    <xf numFmtId="0" fontId="59" fillId="10" borderId="0" applyFont="0" applyFill="0"/>
    <xf numFmtId="0" fontId="59" fillId="15" borderId="0" applyFont="0" applyFill="0"/>
    <xf numFmtId="0" fontId="59" fillId="16" borderId="0" applyFont="0" applyFill="0"/>
    <xf numFmtId="0" fontId="59" fillId="17" borderId="0" applyFont="0" applyFill="0"/>
    <xf numFmtId="0" fontId="59" fillId="18" borderId="0" applyFont="0" applyFill="0"/>
    <xf numFmtId="0" fontId="59" fillId="13" borderId="0" applyFont="0" applyFill="0"/>
    <xf numFmtId="0" fontId="59" fillId="14" borderId="0" applyFont="0" applyFill="0"/>
    <xf numFmtId="0" fontId="59" fillId="19" borderId="0" applyFont="0" applyFill="0"/>
    <xf numFmtId="0" fontId="60" fillId="3" borderId="0" applyFont="0" applyFill="0"/>
    <xf numFmtId="0" fontId="61" fillId="20" borderId="1" applyFont="0" applyFill="0" applyBorder="0"/>
    <xf numFmtId="0" fontId="62" fillId="21" borderId="2" applyFont="0" applyFill="0" applyBorder="0"/>
    <xf numFmtId="43" fontId="21" fillId="0" borderId="0" applyNumberFormat="0"/>
    <xf numFmtId="43" fontId="1" fillId="0" borderId="0" applyNumberFormat="0"/>
    <xf numFmtId="42" fontId="21" fillId="0" borderId="0" applyNumberFormat="0"/>
    <xf numFmtId="0" fontId="63" fillId="0" borderId="0" applyFont="0"/>
    <xf numFmtId="0" fontId="64" fillId="4" borderId="0" applyFont="0" applyFill="0"/>
    <xf numFmtId="0" fontId="65" fillId="0" borderId="3" applyFont="0" applyBorder="0"/>
    <xf numFmtId="0" fontId="66" fillId="0" borderId="4" applyFont="0" applyBorder="0"/>
    <xf numFmtId="0" fontId="67" fillId="0" borderId="5" applyFont="0" applyBorder="0"/>
    <xf numFmtId="0" fontId="67" fillId="0" borderId="0" applyFont="0"/>
    <xf numFmtId="0" fontId="68" fillId="7" borderId="1" applyFont="0" applyFill="0" applyBorder="0"/>
    <xf numFmtId="0" fontId="69" fillId="0" borderId="6" applyFont="0" applyBorder="0"/>
    <xf numFmtId="0" fontId="70" fillId="22" borderId="0" applyFont="0" applyFill="0"/>
    <xf numFmtId="0" fontId="1" fillId="0" borderId="0" applyNumberFormat="0" applyFont="0" applyFill="0" applyBorder="0" applyAlignment="0" applyProtection="0"/>
    <xf numFmtId="0" fontId="71" fillId="0" borderId="0" applyNumberFormat="0" applyFont="0" applyFill="0" applyBorder="0" applyAlignment="0" applyProtection="0"/>
    <xf numFmtId="0" fontId="21" fillId="23" borderId="7" applyFill="0" applyBorder="0"/>
    <xf numFmtId="0" fontId="72" fillId="20" borderId="8" applyFont="0" applyFill="0" applyBorder="0"/>
    <xf numFmtId="9" fontId="21" fillId="0" borderId="0" applyNumberFormat="0"/>
    <xf numFmtId="0" fontId="73" fillId="0" borderId="0" applyFont="0"/>
    <xf numFmtId="0" fontId="74" fillId="0" borderId="9" applyFont="0" applyBorder="0"/>
    <xf numFmtId="0" fontId="75" fillId="0" borderId="0" applyFont="0"/>
  </cellStyleXfs>
  <cellXfs count="289">
    <xf numFmtId="0" fontId="0" fillId="0" borderId="0" xfId="0"/>
    <xf numFmtId="0" fontId="4" fillId="24" borderId="0" xfId="40" applyNumberFormat="1" applyFont="1" applyFill="1"/>
    <xf numFmtId="0" fontId="5" fillId="24" borderId="0" xfId="40" applyNumberFormat="1" applyFont="1" applyFill="1"/>
    <xf numFmtId="0" fontId="3" fillId="24" borderId="0" xfId="40" applyNumberFormat="1" applyFont="1" applyFill="1"/>
    <xf numFmtId="0" fontId="6" fillId="24" borderId="0" xfId="40" applyNumberFormat="1" applyFont="1" applyFill="1"/>
    <xf numFmtId="0" fontId="3" fillId="24" borderId="0" xfId="40" applyNumberFormat="1" applyFont="1" applyFill="1" applyAlignment="1">
      <alignment horizontal="right"/>
    </xf>
    <xf numFmtId="0" fontId="3" fillId="24" borderId="0" xfId="40" applyNumberFormat="1" applyFont="1" applyFill="1" applyAlignment="1">
      <alignment horizontal="left"/>
    </xf>
    <xf numFmtId="0" fontId="22" fillId="24" borderId="0" xfId="40" applyNumberFormat="1" applyFont="1" applyFill="1"/>
    <xf numFmtId="0" fontId="23" fillId="24" borderId="0" xfId="40" applyNumberFormat="1" applyFont="1" applyFill="1" applyAlignment="1">
      <alignment horizontal="left"/>
    </xf>
    <xf numFmtId="0" fontId="22" fillId="24" borderId="0" xfId="40" applyNumberFormat="1" applyFont="1" applyFill="1" applyAlignment="1">
      <alignment horizontal="left"/>
    </xf>
    <xf numFmtId="0" fontId="24" fillId="0" borderId="0" xfId="40" applyNumberFormat="1" applyFont="1" applyFill="1" applyBorder="1" applyAlignment="1">
      <alignment horizontal="center" vertical="center"/>
    </xf>
    <xf numFmtId="0" fontId="25" fillId="24" borderId="0" xfId="40" applyNumberFormat="1" applyFont="1" applyFill="1" applyAlignment="1">
      <alignment horizontal="left"/>
    </xf>
    <xf numFmtId="0" fontId="26" fillId="24" borderId="0" xfId="40" applyNumberFormat="1" applyFont="1" applyFill="1"/>
    <xf numFmtId="0" fontId="24" fillId="24" borderId="0" xfId="40" applyNumberFormat="1" applyFont="1" applyFill="1" applyAlignment="1">
      <alignment horizontal="left"/>
    </xf>
    <xf numFmtId="0" fontId="27" fillId="24" borderId="0" xfId="40" applyNumberFormat="1" applyFont="1" applyFill="1" applyAlignment="1">
      <alignment horizontal="left"/>
    </xf>
    <xf numFmtId="0" fontId="27" fillId="24" borderId="0" xfId="40" applyNumberFormat="1" applyFont="1" applyFill="1"/>
    <xf numFmtId="0" fontId="28" fillId="24" borderId="0" xfId="40" applyNumberFormat="1" applyFont="1" applyFill="1" applyAlignment="1">
      <alignment horizontal="left"/>
    </xf>
    <xf numFmtId="0" fontId="29" fillId="24" borderId="0" xfId="40" applyNumberFormat="1" applyFont="1" applyFill="1" applyAlignment="1">
      <alignment horizontal="center"/>
    </xf>
    <xf numFmtId="0" fontId="28" fillId="24" borderId="0" xfId="40" applyNumberFormat="1" applyFont="1" applyFill="1"/>
    <xf numFmtId="0" fontId="29" fillId="24" borderId="0" xfId="40" applyNumberFormat="1" applyFont="1" applyFill="1" applyAlignment="1">
      <alignment horizontal="left"/>
    </xf>
    <xf numFmtId="3" fontId="28" fillId="24" borderId="0" xfId="40" applyNumberFormat="1" applyFont="1" applyFill="1" applyAlignment="1"/>
    <xf numFmtId="0" fontId="29" fillId="24" borderId="0" xfId="40" applyNumberFormat="1" applyFont="1" applyFill="1"/>
    <xf numFmtId="0" fontId="30" fillId="24" borderId="0" xfId="40" applyNumberFormat="1" applyFont="1" applyFill="1" applyAlignment="1">
      <alignment horizontal="left"/>
    </xf>
    <xf numFmtId="0" fontId="30" fillId="24" borderId="0" xfId="40" applyNumberFormat="1" applyFont="1" applyFill="1"/>
    <xf numFmtId="0" fontId="31" fillId="24" borderId="0" xfId="40" applyNumberFormat="1" applyFont="1" applyFill="1" applyAlignment="1">
      <alignment horizontal="left"/>
    </xf>
    <xf numFmtId="0" fontId="28" fillId="24" borderId="0" xfId="40" applyNumberFormat="1" applyFont="1" applyFill="1" applyAlignment="1">
      <alignment horizontal="right"/>
    </xf>
    <xf numFmtId="0" fontId="32" fillId="24" borderId="0" xfId="40" applyNumberFormat="1" applyFont="1" applyFill="1" applyAlignment="1">
      <alignment horizontal="left"/>
    </xf>
    <xf numFmtId="0" fontId="1" fillId="0" borderId="0" xfId="40" applyNumberFormat="1" applyFont="1"/>
    <xf numFmtId="0" fontId="1" fillId="24" borderId="0" xfId="40" applyNumberFormat="1" applyFont="1" applyFill="1"/>
    <xf numFmtId="0" fontId="6" fillId="24" borderId="0" xfId="40" applyNumberFormat="1" applyFont="1" applyFill="1" applyAlignment="1">
      <alignment horizontal="left"/>
    </xf>
    <xf numFmtId="0" fontId="10" fillId="24" borderId="0" xfId="40" applyNumberFormat="1" applyFont="1" applyFill="1"/>
    <xf numFmtId="0" fontId="4" fillId="24" borderId="0" xfId="40" applyNumberFormat="1" applyFont="1" applyFill="1" applyAlignment="1">
      <alignment horizontal="left"/>
    </xf>
    <xf numFmtId="0" fontId="6" fillId="24" borderId="0" xfId="40" applyNumberFormat="1" applyFont="1" applyFill="1" applyAlignment="1">
      <alignment horizontal="center"/>
    </xf>
    <xf numFmtId="0" fontId="4" fillId="24" borderId="0" xfId="40" applyNumberFormat="1" applyFont="1" applyFill="1" applyBorder="1" applyAlignment="1"/>
    <xf numFmtId="0" fontId="6" fillId="24" borderId="0" xfId="40" applyNumberFormat="1" applyFont="1" applyFill="1" applyAlignment="1">
      <alignment vertical="center"/>
    </xf>
    <xf numFmtId="0" fontId="11" fillId="0" borderId="0" xfId="40" applyNumberFormat="1" applyFont="1" applyAlignment="1">
      <alignment vertical="center"/>
    </xf>
    <xf numFmtId="0" fontId="33" fillId="0" borderId="0" xfId="41" applyFont="1"/>
    <xf numFmtId="0" fontId="34" fillId="0" borderId="0" xfId="41" applyFont="1" applyAlignment="1">
      <alignment horizontal="left" vertical="center"/>
    </xf>
    <xf numFmtId="0" fontId="33" fillId="0" borderId="0" xfId="41" applyFont="1" applyAlignment="1">
      <alignment horizontal="center" vertical="center"/>
    </xf>
    <xf numFmtId="0" fontId="33" fillId="0" borderId="0" xfId="41" applyFont="1" applyAlignment="1">
      <alignment horizontal="left" vertical="center" shrinkToFit="1"/>
    </xf>
    <xf numFmtId="0" fontId="35" fillId="25" borderId="10" xfId="41" applyFont="1" applyFill="1" applyBorder="1" applyAlignment="1">
      <alignment horizontal="center" vertical="center"/>
    </xf>
    <xf numFmtId="0" fontId="35" fillId="25" borderId="10" xfId="41" applyFont="1" applyFill="1" applyBorder="1" applyAlignment="1">
      <alignment horizontal="center" vertical="center" shrinkToFit="1"/>
    </xf>
    <xf numFmtId="0" fontId="35" fillId="25" borderId="11" xfId="41" applyFont="1" applyFill="1" applyBorder="1" applyAlignment="1">
      <alignment horizontal="center" vertical="center" shrinkToFit="1"/>
    </xf>
    <xf numFmtId="0" fontId="35" fillId="0" borderId="0" xfId="41" applyFont="1" applyAlignment="1">
      <alignment horizontal="center" vertical="center"/>
    </xf>
    <xf numFmtId="0" fontId="36" fillId="25" borderId="10" xfId="41" applyFont="1" applyFill="1" applyBorder="1" applyAlignment="1">
      <alignment horizontal="center" vertical="center"/>
    </xf>
    <xf numFmtId="0" fontId="36" fillId="25" borderId="10" xfId="41" applyFont="1" applyFill="1" applyBorder="1" applyAlignment="1">
      <alignment horizontal="center" vertical="center" shrinkToFit="1"/>
    </xf>
    <xf numFmtId="0" fontId="35" fillId="25" borderId="10" xfId="41" applyFont="1" applyFill="1" applyBorder="1" applyAlignment="1">
      <alignment horizontal="center" vertical="center" wrapText="1"/>
    </xf>
    <xf numFmtId="0" fontId="35" fillId="25" borderId="12" xfId="41" applyFont="1" applyFill="1" applyBorder="1" applyAlignment="1">
      <alignment horizontal="center" vertical="center" wrapText="1"/>
    </xf>
    <xf numFmtId="0" fontId="37" fillId="25" borderId="10" xfId="41" applyFont="1" applyFill="1" applyBorder="1" applyAlignment="1">
      <alignment horizontal="center" vertical="center" wrapText="1"/>
    </xf>
    <xf numFmtId="0" fontId="38" fillId="25" borderId="10" xfId="41" applyFont="1" applyFill="1" applyBorder="1" applyAlignment="1">
      <alignment horizontal="center" vertical="center"/>
    </xf>
    <xf numFmtId="0" fontId="38" fillId="25" borderId="10" xfId="41" applyFont="1" applyFill="1" applyBorder="1" applyAlignment="1">
      <alignment horizontal="center" vertical="center" shrinkToFit="1"/>
    </xf>
    <xf numFmtId="0" fontId="38" fillId="0" borderId="0" xfId="41" applyFont="1" applyAlignment="1">
      <alignment horizontal="center" vertical="center"/>
    </xf>
    <xf numFmtId="0" fontId="33" fillId="0" borderId="10" xfId="41" applyFont="1" applyBorder="1" applyAlignment="1">
      <alignment horizontal="center" vertical="center"/>
    </xf>
    <xf numFmtId="0" fontId="33" fillId="0" borderId="10" xfId="41" applyFont="1" applyBorder="1" applyAlignment="1">
      <alignment horizontal="center" vertical="center" shrinkToFit="1"/>
    </xf>
    <xf numFmtId="14" fontId="33" fillId="0" borderId="10" xfId="41" applyNumberFormat="1" applyFont="1" applyBorder="1" applyAlignment="1">
      <alignment horizontal="center" vertical="center"/>
    </xf>
    <xf numFmtId="0" fontId="36" fillId="25" borderId="10" xfId="41" applyFont="1" applyFill="1" applyBorder="1" applyAlignment="1">
      <alignment horizontal="center" vertical="center" wrapText="1"/>
    </xf>
    <xf numFmtId="0" fontId="33" fillId="0" borderId="0" xfId="41" applyFont="1" applyAlignment="1">
      <alignment horizontal="center" vertical="center" shrinkToFit="1"/>
    </xf>
    <xf numFmtId="0" fontId="10" fillId="24" borderId="0" xfId="40" applyNumberFormat="1" applyFont="1" applyFill="1" applyAlignment="1">
      <alignment horizontal="left"/>
    </xf>
    <xf numFmtId="0" fontId="18" fillId="24" borderId="0" xfId="40" applyNumberFormat="1" applyFont="1" applyFill="1" applyAlignment="1">
      <alignment horizontal="left"/>
    </xf>
    <xf numFmtId="0" fontId="18" fillId="24" borderId="0" xfId="40" applyNumberFormat="1" applyFont="1" applyFill="1"/>
    <xf numFmtId="0" fontId="22" fillId="24" borderId="0" xfId="40" applyNumberFormat="1" applyFont="1" applyFill="1" applyAlignment="1">
      <alignment horizontal="center"/>
    </xf>
    <xf numFmtId="0" fontId="26" fillId="24" borderId="0" xfId="40" applyNumberFormat="1" applyFont="1" applyFill="1" applyAlignment="1">
      <alignment horizontal="center"/>
    </xf>
    <xf numFmtId="0" fontId="26" fillId="24" borderId="0" xfId="40" applyNumberFormat="1" applyFont="1" applyFill="1" applyAlignment="1">
      <alignment horizontal="left"/>
    </xf>
    <xf numFmtId="0" fontId="31" fillId="24" borderId="0" xfId="40" applyNumberFormat="1" applyFont="1" applyFill="1" applyAlignment="1">
      <alignment horizontal="center"/>
    </xf>
    <xf numFmtId="0" fontId="23" fillId="24" borderId="0" xfId="40" applyNumberFormat="1" applyFont="1" applyFill="1" applyAlignment="1">
      <alignment horizontal="center"/>
    </xf>
    <xf numFmtId="0" fontId="28" fillId="24" borderId="0" xfId="40" applyNumberFormat="1" applyFont="1" applyFill="1" applyAlignment="1">
      <alignment horizontal="center"/>
    </xf>
    <xf numFmtId="0" fontId="27" fillId="24" borderId="0" xfId="40" applyNumberFormat="1" applyFont="1" applyFill="1" applyAlignment="1"/>
    <xf numFmtId="0" fontId="29" fillId="0" borderId="0" xfId="40" applyNumberFormat="1" applyFont="1" applyFill="1" applyAlignment="1">
      <alignment horizontal="left"/>
    </xf>
    <xf numFmtId="14" fontId="29" fillId="0" borderId="0" xfId="40" applyNumberFormat="1" applyFont="1" applyFill="1"/>
    <xf numFmtId="0" fontId="39" fillId="24" borderId="0" xfId="40" applyNumberFormat="1" applyFont="1" applyFill="1"/>
    <xf numFmtId="0" fontId="40" fillId="24" borderId="0" xfId="40" applyNumberFormat="1" applyFont="1" applyFill="1"/>
    <xf numFmtId="0" fontId="39" fillId="24" borderId="0" xfId="40" applyNumberFormat="1" applyFont="1" applyFill="1" applyAlignment="1">
      <alignment horizontal="left"/>
    </xf>
    <xf numFmtId="0" fontId="41" fillId="24" borderId="0" xfId="40" applyNumberFormat="1" applyFont="1" applyFill="1" applyAlignment="1">
      <alignment horizontal="left"/>
    </xf>
    <xf numFmtId="0" fontId="40" fillId="24" borderId="0" xfId="40" applyNumberFormat="1" applyFont="1" applyFill="1" applyAlignment="1">
      <alignment horizontal="left"/>
    </xf>
    <xf numFmtId="0" fontId="42" fillId="24" borderId="0" xfId="40" applyNumberFormat="1" applyFont="1" applyFill="1" applyAlignment="1">
      <alignment horizontal="left"/>
    </xf>
    <xf numFmtId="0" fontId="42" fillId="24" borderId="0" xfId="40" applyNumberFormat="1" applyFont="1" applyFill="1"/>
    <xf numFmtId="0" fontId="41" fillId="24" borderId="0" xfId="40" applyNumberFormat="1" applyFont="1" applyFill="1" applyAlignment="1"/>
    <xf numFmtId="0" fontId="39" fillId="24" borderId="0" xfId="40" applyNumberFormat="1" applyFont="1" applyFill="1" applyAlignment="1">
      <alignment horizontal="center"/>
    </xf>
    <xf numFmtId="0" fontId="39" fillId="24" borderId="0" xfId="40" applyNumberFormat="1" applyFont="1" applyFill="1" applyAlignment="1"/>
    <xf numFmtId="0" fontId="6" fillId="24" borderId="13" xfId="40" applyNumberFormat="1" applyFont="1" applyFill="1" applyBorder="1" applyAlignment="1">
      <alignment horizontal="left"/>
    </xf>
    <xf numFmtId="0" fontId="20" fillId="0" borderId="0" xfId="40" applyNumberFormat="1" applyFont="1"/>
    <xf numFmtId="0" fontId="11" fillId="0" borderId="0" xfId="40" applyNumberFormat="1" applyFont="1"/>
    <xf numFmtId="0" fontId="1" fillId="0" borderId="0" xfId="40" applyNumberFormat="1" applyFont="1" applyFill="1"/>
    <xf numFmtId="0" fontId="3" fillId="0" borderId="0" xfId="40" applyNumberFormat="1" applyFont="1" applyFill="1" applyAlignment="1">
      <alignment horizontal="left"/>
    </xf>
    <xf numFmtId="0" fontId="6" fillId="0" borderId="0" xfId="40" applyNumberFormat="1" applyFont="1" applyFill="1" applyAlignment="1">
      <alignment horizontal="left"/>
    </xf>
    <xf numFmtId="0" fontId="1" fillId="0" borderId="0" xfId="40" applyNumberFormat="1" applyFont="1" applyAlignment="1">
      <alignment horizontal="left"/>
    </xf>
    <xf numFmtId="0" fontId="2" fillId="24" borderId="0" xfId="40" applyNumberFormat="1" applyFont="1" applyFill="1" applyAlignment="1"/>
    <xf numFmtId="0" fontId="6" fillId="24" borderId="0" xfId="40" applyNumberFormat="1" applyFont="1" applyFill="1" applyAlignment="1"/>
    <xf numFmtId="0" fontId="10" fillId="24" borderId="0" xfId="40" applyNumberFormat="1" applyFont="1" applyFill="1" applyAlignment="1">
      <alignment horizontal="left" shrinkToFit="1"/>
    </xf>
    <xf numFmtId="0" fontId="3" fillId="24" borderId="0" xfId="4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3" fillId="0" borderId="0" xfId="40" applyNumberFormat="1" applyFont="1" applyFill="1" applyBorder="1" applyAlignment="1">
      <alignment horizontal="left"/>
    </xf>
    <xf numFmtId="14" fontId="3" fillId="0" borderId="0" xfId="40" applyNumberFormat="1" applyFont="1" applyFill="1" applyBorder="1" applyAlignment="1">
      <alignment horizontal="left"/>
    </xf>
    <xf numFmtId="14" fontId="3" fillId="0" borderId="0" xfId="40" applyNumberFormat="1" applyFont="1" applyFill="1" applyAlignment="1">
      <alignment horizontal="left"/>
    </xf>
    <xf numFmtId="0" fontId="10" fillId="0" borderId="0" xfId="40" applyNumberFormat="1" applyFont="1" applyFill="1"/>
    <xf numFmtId="0" fontId="16" fillId="0" borderId="0" xfId="40" applyNumberFormat="1" applyFont="1" applyFill="1"/>
    <xf numFmtId="0" fontId="15" fillId="0" borderId="0" xfId="40" applyNumberFormat="1" applyFont="1" applyFill="1"/>
    <xf numFmtId="0" fontId="3" fillId="0" borderId="0" xfId="40" applyNumberFormat="1" applyFont="1" applyFill="1"/>
    <xf numFmtId="164" fontId="51" fillId="0" borderId="0" xfId="26" applyNumberFormat="1" applyFont="1"/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51" fillId="0" borderId="10" xfId="26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164" fontId="51" fillId="0" borderId="10" xfId="26" applyNumberFormat="1" applyFont="1" applyBorder="1" applyAlignment="1">
      <alignment horizontal="center" vertical="center" wrapText="1"/>
    </xf>
    <xf numFmtId="0" fontId="52" fillId="26" borderId="10" xfId="0" applyFont="1" applyFill="1" applyBorder="1" applyAlignment="1">
      <alignment horizontal="center" vertical="center" wrapText="1"/>
    </xf>
    <xf numFmtId="164" fontId="52" fillId="26" borderId="10" xfId="26" applyNumberFormat="1" applyFont="1" applyFill="1" applyBorder="1" applyAlignment="1">
      <alignment horizontal="center" vertical="center" wrapText="1"/>
    </xf>
    <xf numFmtId="166" fontId="3" fillId="0" borderId="10" xfId="40" applyNumberFormat="1" applyFont="1" applyFill="1" applyBorder="1" applyAlignment="1">
      <alignment horizontal="center" vertical="center"/>
    </xf>
    <xf numFmtId="0" fontId="3" fillId="0" borderId="10" xfId="40" applyNumberFormat="1" applyFont="1" applyFill="1" applyBorder="1" applyAlignment="1">
      <alignment horizontal="left" vertical="center"/>
    </xf>
    <xf numFmtId="0" fontId="38" fillId="0" borderId="0" xfId="41" applyFont="1" applyAlignment="1">
      <alignment horizontal="left" vertical="center" shrinkToFit="1"/>
    </xf>
    <xf numFmtId="0" fontId="38" fillId="0" borderId="0" xfId="41" applyFont="1" applyAlignment="1">
      <alignment horizontal="center" vertical="center" shrinkToFit="1"/>
    </xf>
    <xf numFmtId="0" fontId="38" fillId="0" borderId="0" xfId="41" applyFont="1"/>
    <xf numFmtId="0" fontId="18" fillId="0" borderId="0" xfId="40" applyNumberFormat="1" applyFont="1" applyFill="1" applyAlignment="1">
      <alignment horizontal="left"/>
    </xf>
    <xf numFmtId="0" fontId="18" fillId="0" borderId="0" xfId="40" applyNumberFormat="1" applyFont="1" applyFill="1"/>
    <xf numFmtId="0" fontId="10" fillId="27" borderId="0" xfId="40" applyNumberFormat="1" applyFont="1" applyFill="1"/>
    <xf numFmtId="0" fontId="14" fillId="27" borderId="0" xfId="40" applyNumberFormat="1" applyFont="1" applyFill="1" applyAlignment="1">
      <alignment horizontal="left"/>
    </xf>
    <xf numFmtId="0" fontId="10" fillId="27" borderId="0" xfId="40" applyNumberFormat="1" applyFont="1" applyFill="1" applyAlignment="1">
      <alignment horizontal="left"/>
    </xf>
    <xf numFmtId="166" fontId="55" fillId="27" borderId="10" xfId="40" applyNumberFormat="1" applyFont="1" applyFill="1" applyBorder="1" applyAlignment="1">
      <alignment horizontal="center" vertical="center"/>
    </xf>
    <xf numFmtId="0" fontId="15" fillId="27" borderId="0" xfId="40" applyNumberFormat="1" applyFont="1" applyFill="1" applyAlignment="1">
      <alignment horizontal="left"/>
    </xf>
    <xf numFmtId="0" fontId="16" fillId="27" borderId="0" xfId="40" applyNumberFormat="1" applyFont="1" applyFill="1" applyAlignment="1">
      <alignment horizontal="left"/>
    </xf>
    <xf numFmtId="0" fontId="10" fillId="27" borderId="0" xfId="40" quotePrefix="1" applyNumberFormat="1" applyFont="1" applyFill="1" applyAlignment="1">
      <alignment horizontal="left"/>
    </xf>
    <xf numFmtId="0" fontId="15" fillId="27" borderId="0" xfId="40" applyNumberFormat="1" applyFont="1" applyFill="1" applyAlignment="1">
      <alignment horizontal="center"/>
    </xf>
    <xf numFmtId="0" fontId="10" fillId="27" borderId="0" xfId="40" applyNumberFormat="1" applyFont="1" applyFill="1" applyAlignment="1">
      <alignment horizontal="left"/>
    </xf>
    <xf numFmtId="0" fontId="56" fillId="27" borderId="0" xfId="40" applyNumberFormat="1" applyFont="1" applyFill="1" applyAlignment="1">
      <alignment horizontal="center"/>
    </xf>
    <xf numFmtId="0" fontId="76" fillId="27" borderId="0" xfId="40" applyNumberFormat="1" applyFont="1" applyFill="1" applyAlignment="1">
      <alignment horizontal="left"/>
    </xf>
    <xf numFmtId="0" fontId="14" fillId="0" borderId="0" xfId="40" applyNumberFormat="1" applyFont="1" applyFill="1"/>
    <xf numFmtId="0" fontId="76" fillId="27" borderId="0" xfId="40" applyNumberFormat="1" applyFont="1" applyFill="1"/>
    <xf numFmtId="0" fontId="10" fillId="27" borderId="0" xfId="40" applyNumberFormat="1" applyFont="1" applyFill="1" applyAlignment="1">
      <alignment horizontal="left"/>
    </xf>
    <xf numFmtId="0" fontId="56" fillId="27" borderId="0" xfId="40" applyNumberFormat="1" applyFont="1" applyFill="1" applyAlignment="1">
      <alignment horizontal="center"/>
    </xf>
    <xf numFmtId="0" fontId="16" fillId="27" borderId="0" xfId="40" applyNumberFormat="1" applyFont="1" applyFill="1" applyAlignment="1">
      <alignment horizontal="left"/>
    </xf>
    <xf numFmtId="0" fontId="3" fillId="27" borderId="0" xfId="40" applyNumberFormat="1" applyFont="1" applyFill="1" applyAlignment="1">
      <alignment horizontal="left"/>
    </xf>
    <xf numFmtId="0" fontId="16" fillId="0" borderId="0" xfId="40" applyNumberFormat="1" applyFont="1" applyFill="1" applyAlignment="1">
      <alignment horizontal="left"/>
    </xf>
    <xf numFmtId="0" fontId="10" fillId="0" borderId="0" xfId="40" applyNumberFormat="1" applyFont="1" applyFill="1" applyAlignment="1">
      <alignment horizontal="left"/>
    </xf>
    <xf numFmtId="0" fontId="10" fillId="0" borderId="0" xfId="40" applyNumberFormat="1" applyFont="1" applyFill="1" applyAlignment="1">
      <alignment horizontal="left" vertical="center"/>
    </xf>
    <xf numFmtId="0" fontId="15" fillId="0" borderId="0" xfId="40" quotePrefix="1" applyNumberFormat="1" applyFont="1" applyFill="1" applyAlignment="1">
      <alignment horizontal="left" vertical="center"/>
    </xf>
    <xf numFmtId="3" fontId="10" fillId="0" borderId="0" xfId="40" applyNumberFormat="1" applyFont="1" applyFill="1" applyAlignment="1">
      <alignment horizontal="left" wrapText="1"/>
    </xf>
    <xf numFmtId="0" fontId="15" fillId="0" borderId="0" xfId="40" applyNumberFormat="1" applyFont="1" applyFill="1" applyAlignment="1">
      <alignment horizontal="left"/>
    </xf>
    <xf numFmtId="0" fontId="6" fillId="27" borderId="0" xfId="40" applyNumberFormat="1" applyFont="1" applyFill="1" applyAlignment="1">
      <alignment horizontal="left"/>
    </xf>
    <xf numFmtId="0" fontId="5" fillId="27" borderId="0" xfId="40" applyNumberFormat="1" applyFont="1" applyFill="1" applyAlignment="1">
      <alignment horizontal="left"/>
    </xf>
    <xf numFmtId="0" fontId="5" fillId="0" borderId="0" xfId="40" applyNumberFormat="1" applyFont="1" applyFill="1" applyAlignment="1">
      <alignment horizontal="left"/>
    </xf>
    <xf numFmtId="0" fontId="5" fillId="0" borderId="0" xfId="40" applyNumberFormat="1" applyFont="1" applyFill="1"/>
    <xf numFmtId="0" fontId="78" fillId="27" borderId="0" xfId="40" applyNumberFormat="1" applyFont="1" applyFill="1" applyAlignment="1">
      <alignment horizontal="left"/>
    </xf>
    <xf numFmtId="14" fontId="3" fillId="27" borderId="0" xfId="40" applyNumberFormat="1" applyFont="1" applyFill="1" applyAlignment="1">
      <alignment shrinkToFit="1"/>
    </xf>
    <xf numFmtId="14" fontId="78" fillId="27" borderId="0" xfId="40" applyNumberFormat="1" applyFont="1" applyFill="1" applyAlignment="1">
      <alignment shrinkToFit="1"/>
    </xf>
    <xf numFmtId="14" fontId="78" fillId="0" borderId="0" xfId="40" applyNumberFormat="1" applyFont="1" applyFill="1" applyAlignment="1">
      <alignment shrinkToFit="1"/>
    </xf>
    <xf numFmtId="165" fontId="78" fillId="27" borderId="0" xfId="0" applyNumberFormat="1" applyFont="1" applyFill="1" applyBorder="1" applyAlignment="1">
      <alignment horizontal="left" vertical="center" wrapText="1"/>
    </xf>
    <xf numFmtId="14" fontId="3" fillId="27" borderId="0" xfId="40" applyNumberFormat="1" applyFont="1" applyFill="1" applyAlignment="1"/>
    <xf numFmtId="14" fontId="78" fillId="27" borderId="0" xfId="40" applyNumberFormat="1" applyFont="1" applyFill="1" applyAlignment="1"/>
    <xf numFmtId="14" fontId="78" fillId="0" borderId="0" xfId="40" applyNumberFormat="1" applyFont="1" applyFill="1" applyAlignment="1"/>
    <xf numFmtId="0" fontId="3" fillId="27" borderId="0" xfId="40" quotePrefix="1" applyNumberFormat="1" applyFont="1" applyFill="1" applyAlignment="1">
      <alignment horizontal="left"/>
    </xf>
    <xf numFmtId="0" fontId="3" fillId="27" borderId="0" xfId="40" applyNumberFormat="1" applyFont="1" applyFill="1" applyAlignment="1">
      <alignment horizontal="center"/>
    </xf>
    <xf numFmtId="3" fontId="78" fillId="27" borderId="0" xfId="40" applyNumberFormat="1" applyFont="1" applyFill="1" applyAlignment="1"/>
    <xf numFmtId="0" fontId="3" fillId="0" borderId="0" xfId="40" quotePrefix="1" applyNumberFormat="1" applyFont="1" applyFill="1" applyAlignment="1">
      <alignment horizontal="left" vertical="center"/>
    </xf>
    <xf numFmtId="0" fontId="3" fillId="0" borderId="0" xfId="40" applyNumberFormat="1" applyFont="1" applyFill="1" applyAlignment="1">
      <alignment horizontal="left" vertical="center"/>
    </xf>
    <xf numFmtId="0" fontId="3" fillId="0" borderId="0" xfId="40" quotePrefix="1" applyNumberFormat="1" applyFont="1" applyFill="1" applyAlignment="1">
      <alignment horizontal="left"/>
    </xf>
    <xf numFmtId="14" fontId="3" fillId="27" borderId="0" xfId="40" applyNumberFormat="1" applyFont="1" applyFill="1" applyAlignment="1">
      <alignment horizontal="center"/>
    </xf>
    <xf numFmtId="0" fontId="6" fillId="0" borderId="0" xfId="40" applyNumberFormat="1" applyFont="1" applyFill="1"/>
    <xf numFmtId="0" fontId="79" fillId="0" borderId="0" xfId="40" applyNumberFormat="1" applyFont="1" applyFill="1" applyAlignment="1">
      <alignment horizontal="left"/>
    </xf>
    <xf numFmtId="3" fontId="3" fillId="27" borderId="0" xfId="40" applyNumberFormat="1" applyFont="1" applyFill="1" applyAlignment="1">
      <alignment horizontal="center"/>
    </xf>
    <xf numFmtId="0" fontId="3" fillId="27" borderId="0" xfId="40" applyNumberFormat="1" applyFont="1" applyFill="1" applyAlignment="1">
      <alignment horizontal="center" vertical="center"/>
    </xf>
    <xf numFmtId="0" fontId="3" fillId="27" borderId="0" xfId="40" applyNumberFormat="1" applyFont="1" applyFill="1" applyAlignment="1"/>
    <xf numFmtId="0" fontId="56" fillId="27" borderId="0" xfId="40" applyNumberFormat="1" applyFont="1" applyFill="1" applyAlignment="1">
      <alignment shrinkToFit="1"/>
    </xf>
    <xf numFmtId="0" fontId="15" fillId="27" borderId="0" xfId="40" applyNumberFormat="1" applyFont="1" applyFill="1"/>
    <xf numFmtId="0" fontId="17" fillId="27" borderId="0" xfId="40" applyNumberFormat="1" applyFont="1" applyFill="1" applyAlignment="1">
      <alignment horizontal="left"/>
    </xf>
    <xf numFmtId="0" fontId="17" fillId="0" borderId="0" xfId="40" applyNumberFormat="1" applyFont="1" applyFill="1"/>
    <xf numFmtId="0" fontId="15" fillId="27" borderId="0" xfId="40" applyNumberFormat="1" applyFont="1" applyFill="1" applyAlignment="1"/>
    <xf numFmtId="3" fontId="15" fillId="0" borderId="0" xfId="40" applyNumberFormat="1" applyFont="1" applyFill="1" applyAlignment="1">
      <alignment horizontal="center"/>
    </xf>
    <xf numFmtId="0" fontId="15" fillId="27" borderId="0" xfId="40" quotePrefix="1" applyNumberFormat="1" applyFont="1" applyFill="1" applyAlignment="1">
      <alignment horizontal="left"/>
    </xf>
    <xf numFmtId="0" fontId="3" fillId="27" borderId="0" xfId="40" applyNumberFormat="1" applyFont="1" applyFill="1"/>
    <xf numFmtId="0" fontId="6" fillId="27" borderId="0" xfId="40" applyNumberFormat="1" applyFont="1" applyFill="1"/>
    <xf numFmtId="0" fontId="3" fillId="0" borderId="0" xfId="40" applyNumberFormat="1" applyFont="1" applyFill="1" applyAlignment="1">
      <alignment vertical="center"/>
    </xf>
    <xf numFmtId="0" fontId="87" fillId="27" borderId="0" xfId="40" applyNumberFormat="1" applyFont="1" applyFill="1" applyAlignment="1">
      <alignment horizontal="left"/>
    </xf>
    <xf numFmtId="14" fontId="87" fillId="27" borderId="0" xfId="40" applyNumberFormat="1" applyFont="1" applyFill="1" applyAlignment="1">
      <alignment horizontal="left"/>
    </xf>
    <xf numFmtId="0" fontId="5" fillId="0" borderId="0" xfId="40" applyNumberFormat="1" applyFont="1" applyFill="1" applyAlignment="1">
      <alignment vertical="center"/>
    </xf>
    <xf numFmtId="0" fontId="6" fillId="27" borderId="0" xfId="40" quotePrefix="1" applyNumberFormat="1" applyFont="1" applyFill="1" applyAlignment="1">
      <alignment horizontal="left"/>
    </xf>
    <xf numFmtId="0" fontId="88" fillId="0" borderId="0" xfId="40" applyNumberFormat="1" applyFont="1" applyFill="1"/>
    <xf numFmtId="0" fontId="3" fillId="27" borderId="0" xfId="40" applyNumberFormat="1" applyFont="1" applyFill="1" applyAlignment="1">
      <alignment vertical="center"/>
    </xf>
    <xf numFmtId="0" fontId="5" fillId="27" borderId="0" xfId="40" applyNumberFormat="1" applyFont="1" applyFill="1" applyAlignment="1">
      <alignment vertical="center"/>
    </xf>
    <xf numFmtId="0" fontId="5" fillId="27" borderId="0" xfId="40" applyNumberFormat="1" applyFont="1" applyFill="1"/>
    <xf numFmtId="0" fontId="15" fillId="27" borderId="0" xfId="40" quotePrefix="1" applyNumberFormat="1" applyFont="1" applyFill="1" applyAlignment="1">
      <alignment horizontal="left" vertical="center"/>
    </xf>
    <xf numFmtId="0" fontId="10" fillId="27" borderId="0" xfId="40" applyNumberFormat="1" applyFont="1" applyFill="1" applyAlignment="1">
      <alignment horizontal="left" vertical="center"/>
    </xf>
    <xf numFmtId="3" fontId="10" fillId="27" borderId="0" xfId="40" applyNumberFormat="1" applyFont="1" applyFill="1" applyAlignment="1">
      <alignment horizontal="left" wrapText="1"/>
    </xf>
    <xf numFmtId="0" fontId="89" fillId="27" borderId="0" xfId="40" applyNumberFormat="1" applyFont="1" applyFill="1" applyAlignment="1">
      <alignment horizontal="left"/>
    </xf>
    <xf numFmtId="0" fontId="90" fillId="27" borderId="0" xfId="24" applyNumberFormat="1" applyFont="1" applyFill="1"/>
    <xf numFmtId="0" fontId="83" fillId="27" borderId="0" xfId="40" applyNumberFormat="1" applyFont="1" applyFill="1" applyAlignment="1">
      <alignment horizontal="left"/>
    </xf>
    <xf numFmtId="0" fontId="14" fillId="27" borderId="0" xfId="40" applyNumberFormat="1" applyFont="1" applyFill="1"/>
    <xf numFmtId="3" fontId="14" fillId="27" borderId="0" xfId="40" applyNumberFormat="1" applyFont="1" applyFill="1" applyAlignment="1">
      <alignment horizontal="center"/>
    </xf>
    <xf numFmtId="0" fontId="88" fillId="27" borderId="0" xfId="40" applyNumberFormat="1" applyFont="1" applyFill="1" applyAlignment="1">
      <alignment horizontal="left"/>
    </xf>
    <xf numFmtId="0" fontId="88" fillId="27" borderId="0" xfId="40" quotePrefix="1" applyNumberFormat="1" applyFont="1" applyFill="1" applyAlignment="1">
      <alignment horizontal="left"/>
    </xf>
    <xf numFmtId="0" fontId="55" fillId="27" borderId="0" xfId="40" applyNumberFormat="1" applyFont="1" applyFill="1" applyAlignment="1"/>
    <xf numFmtId="3" fontId="90" fillId="0" borderId="0" xfId="24" applyNumberFormat="1" applyFont="1"/>
    <xf numFmtId="0" fontId="92" fillId="27" borderId="0" xfId="40" applyNumberFormat="1" applyFont="1" applyFill="1" applyAlignment="1">
      <alignment horizontal="left"/>
    </xf>
    <xf numFmtId="0" fontId="78" fillId="27" borderId="0" xfId="40" applyNumberFormat="1" applyFont="1" applyFill="1" applyAlignment="1">
      <alignment horizontal="left"/>
    </xf>
    <xf numFmtId="14" fontId="3" fillId="27" borderId="0" xfId="40" applyNumberFormat="1" applyFont="1" applyFill="1" applyAlignment="1">
      <alignment horizontal="center"/>
    </xf>
    <xf numFmtId="0" fontId="16" fillId="27" borderId="0" xfId="40" applyNumberFormat="1" applyFont="1" applyFill="1" applyAlignment="1">
      <alignment horizontal="center"/>
    </xf>
    <xf numFmtId="0" fontId="15" fillId="27" borderId="0" xfId="40" applyNumberFormat="1" applyFont="1" applyFill="1" applyAlignment="1">
      <alignment horizontal="left"/>
    </xf>
    <xf numFmtId="0" fontId="3" fillId="27" borderId="0" xfId="40" applyNumberFormat="1" applyFont="1" applyFill="1" applyAlignment="1">
      <alignment horizontal="center"/>
    </xf>
    <xf numFmtId="0" fontId="15" fillId="27" borderId="0" xfId="40" applyNumberFormat="1" applyFont="1" applyFill="1" applyAlignment="1">
      <alignment horizontal="center"/>
    </xf>
    <xf numFmtId="0" fontId="3" fillId="27" borderId="0" xfId="40" applyNumberFormat="1" applyFont="1" applyFill="1" applyAlignment="1">
      <alignment horizontal="left"/>
    </xf>
    <xf numFmtId="0" fontId="6" fillId="27" borderId="0" xfId="40" applyNumberFormat="1" applyFont="1" applyFill="1" applyAlignment="1">
      <alignment horizontal="left"/>
    </xf>
    <xf numFmtId="14" fontId="89" fillId="27" borderId="0" xfId="40" applyNumberFormat="1" applyFont="1" applyFill="1" applyAlignment="1">
      <alignment horizontal="center"/>
    </xf>
    <xf numFmtId="0" fontId="6" fillId="27" borderId="0" xfId="40" applyNumberFormat="1" applyFont="1" applyFill="1" applyAlignment="1">
      <alignment vertical="center"/>
    </xf>
    <xf numFmtId="0" fontId="76" fillId="0" borderId="0" xfId="40" applyNumberFormat="1" applyFont="1" applyFill="1"/>
    <xf numFmtId="0" fontId="17" fillId="27" borderId="0" xfId="40" applyNumberFormat="1" applyFont="1" applyFill="1" applyAlignment="1">
      <alignment horizontal="center"/>
    </xf>
    <xf numFmtId="3" fontId="3" fillId="27" borderId="0" xfId="40" applyNumberFormat="1" applyFont="1" applyFill="1" applyAlignment="1">
      <alignment horizontal="left"/>
    </xf>
    <xf numFmtId="3" fontId="78" fillId="27" borderId="0" xfId="26" applyNumberFormat="1" applyFont="1" applyFill="1" applyAlignment="1">
      <alignment horizontal="right"/>
    </xf>
    <xf numFmtId="3" fontId="78" fillId="0" borderId="0" xfId="26" applyNumberFormat="1" applyFont="1" applyFill="1" applyAlignment="1">
      <alignment horizontal="right"/>
    </xf>
    <xf numFmtId="0" fontId="57" fillId="27" borderId="0" xfId="40" applyNumberFormat="1" applyFont="1" applyFill="1" applyAlignment="1">
      <alignment horizontal="center" shrinkToFit="1"/>
    </xf>
    <xf numFmtId="0" fontId="14" fillId="27" borderId="0" xfId="40" applyNumberFormat="1" applyFont="1" applyFill="1" applyAlignment="1">
      <alignment horizontal="center" shrinkToFit="1"/>
    </xf>
    <xf numFmtId="0" fontId="14" fillId="27" borderId="0" xfId="40" applyNumberFormat="1" applyFont="1" applyFill="1" applyAlignment="1">
      <alignment horizontal="center"/>
    </xf>
    <xf numFmtId="0" fontId="89" fillId="0" borderId="0" xfId="40" applyNumberFormat="1" applyFont="1" applyFill="1" applyAlignment="1">
      <alignment horizontal="center"/>
    </xf>
    <xf numFmtId="0" fontId="15" fillId="0" borderId="0" xfId="40" applyNumberFormat="1" applyFont="1" applyFill="1" applyAlignment="1">
      <alignment horizontal="left"/>
    </xf>
    <xf numFmtId="3" fontId="78" fillId="27" borderId="0" xfId="40" applyNumberFormat="1" applyFont="1" applyFill="1" applyAlignment="1">
      <alignment horizontal="center"/>
    </xf>
    <xf numFmtId="0" fontId="3" fillId="0" borderId="0" xfId="40" quotePrefix="1" applyNumberFormat="1" applyFont="1" applyFill="1" applyAlignment="1">
      <alignment horizontal="left" vertical="center"/>
    </xf>
    <xf numFmtId="0" fontId="3" fillId="0" borderId="0" xfId="40" applyNumberFormat="1" applyFont="1" applyFill="1" applyAlignment="1">
      <alignment horizontal="left" vertical="center"/>
    </xf>
    <xf numFmtId="0" fontId="3" fillId="0" borderId="0" xfId="40" applyNumberFormat="1" applyFont="1" applyFill="1" applyAlignment="1">
      <alignment horizontal="left" wrapText="1"/>
    </xf>
    <xf numFmtId="14" fontId="78" fillId="27" borderId="0" xfId="40" applyNumberFormat="1" applyFont="1" applyFill="1" applyAlignment="1">
      <alignment horizontal="left"/>
    </xf>
    <xf numFmtId="0" fontId="78" fillId="27" borderId="0" xfId="40" applyNumberFormat="1" applyFont="1" applyFill="1" applyAlignment="1">
      <alignment horizontal="left"/>
    </xf>
    <xf numFmtId="14" fontId="78" fillId="27" borderId="0" xfId="40" applyNumberFormat="1" applyFont="1" applyFill="1" applyAlignment="1">
      <alignment horizontal="center"/>
    </xf>
    <xf numFmtId="14" fontId="3" fillId="27" borderId="0" xfId="40" applyNumberFormat="1" applyFont="1" applyFill="1" applyAlignment="1">
      <alignment horizontal="center"/>
    </xf>
    <xf numFmtId="0" fontId="3" fillId="0" borderId="0" xfId="40" applyNumberFormat="1" applyFont="1" applyFill="1" applyAlignment="1">
      <alignment horizontal="center" vertical="center"/>
    </xf>
    <xf numFmtId="41" fontId="10" fillId="27" borderId="0" xfId="40" applyNumberFormat="1" applyFont="1" applyFill="1" applyAlignment="1">
      <alignment horizontal="center"/>
    </xf>
    <xf numFmtId="0" fontId="16" fillId="27" borderId="0" xfId="40" applyNumberFormat="1" applyFont="1" applyFill="1" applyAlignment="1">
      <alignment horizontal="center"/>
    </xf>
    <xf numFmtId="14" fontId="78" fillId="27" borderId="0" xfId="40" applyNumberFormat="1" applyFont="1" applyFill="1" applyAlignment="1">
      <alignment horizontal="left" shrinkToFit="1"/>
    </xf>
    <xf numFmtId="0" fontId="15" fillId="27" borderId="0" xfId="40" applyNumberFormat="1" applyFont="1" applyFill="1" applyAlignment="1">
      <alignment horizontal="left"/>
    </xf>
    <xf numFmtId="0" fontId="3" fillId="0" borderId="0" xfId="40" applyNumberFormat="1" applyFont="1" applyFill="1" applyAlignment="1">
      <alignment horizontal="left"/>
    </xf>
    <xf numFmtId="0" fontId="55" fillId="27" borderId="0" xfId="0" applyFont="1" applyFill="1" applyBorder="1" applyAlignment="1">
      <alignment horizontal="left" vertical="center" wrapText="1"/>
    </xf>
    <xf numFmtId="0" fontId="55" fillId="27" borderId="0" xfId="40" applyNumberFormat="1" applyFont="1" applyFill="1" applyAlignment="1">
      <alignment horizontal="center"/>
    </xf>
    <xf numFmtId="0" fontId="9" fillId="27" borderId="0" xfId="40" applyNumberFormat="1" applyFont="1" applyFill="1" applyAlignment="1">
      <alignment horizontal="center" vertical="center"/>
    </xf>
    <xf numFmtId="0" fontId="77" fillId="27" borderId="0" xfId="40" applyNumberFormat="1" applyFont="1" applyFill="1" applyAlignment="1">
      <alignment horizontal="center"/>
    </xf>
    <xf numFmtId="0" fontId="3" fillId="27" borderId="0" xfId="40" applyNumberFormat="1" applyFont="1" applyFill="1" applyAlignment="1">
      <alignment horizontal="center"/>
    </xf>
    <xf numFmtId="0" fontId="15" fillId="27" borderId="0" xfId="40" applyNumberFormat="1" applyFont="1" applyFill="1" applyAlignment="1">
      <alignment horizontal="center"/>
    </xf>
    <xf numFmtId="0" fontId="6" fillId="27" borderId="0" xfId="40" applyNumberFormat="1" applyFont="1" applyFill="1" applyAlignment="1">
      <alignment horizontal="center"/>
    </xf>
    <xf numFmtId="0" fontId="6" fillId="27" borderId="0" xfId="40" applyNumberFormat="1" applyFont="1" applyFill="1" applyAlignment="1">
      <alignment horizontal="center" vertical="top"/>
    </xf>
    <xf numFmtId="0" fontId="3" fillId="27" borderId="0" xfId="40" applyNumberFormat="1" applyFont="1" applyFill="1" applyAlignment="1">
      <alignment horizontal="left"/>
    </xf>
    <xf numFmtId="0" fontId="16" fillId="27" borderId="0" xfId="40" applyNumberFormat="1" applyFont="1" applyFill="1" applyAlignment="1">
      <alignment horizontal="center" vertical="top"/>
    </xf>
    <xf numFmtId="0" fontId="3" fillId="27" borderId="0" xfId="40" applyNumberFormat="1" applyFont="1" applyFill="1" applyAlignment="1">
      <alignment horizontal="left" wrapText="1"/>
    </xf>
    <xf numFmtId="3" fontId="15" fillId="27" borderId="0" xfId="40" applyNumberFormat="1" applyFont="1" applyFill="1" applyAlignment="1">
      <alignment horizontal="left" wrapText="1"/>
    </xf>
    <xf numFmtId="3" fontId="85" fillId="27" borderId="0" xfId="40" applyNumberFormat="1" applyFont="1" applyFill="1" applyAlignment="1">
      <alignment horizontal="center"/>
    </xf>
    <xf numFmtId="0" fontId="84" fillId="27" borderId="0" xfId="40" applyNumberFormat="1" applyFont="1" applyFill="1" applyAlignment="1">
      <alignment horizontal="center"/>
    </xf>
    <xf numFmtId="0" fontId="6" fillId="27" borderId="0" xfId="40" applyNumberFormat="1" applyFont="1" applyFill="1" applyAlignment="1">
      <alignment horizontal="left" shrinkToFit="1"/>
    </xf>
    <xf numFmtId="14" fontId="57" fillId="27" borderId="0" xfId="40" applyNumberFormat="1" applyFont="1" applyFill="1" applyAlignment="1">
      <alignment horizontal="center" shrinkToFit="1"/>
    </xf>
    <xf numFmtId="0" fontId="3" fillId="27" borderId="0" xfId="40" quotePrefix="1" applyNumberFormat="1" applyFont="1" applyFill="1" applyAlignment="1">
      <alignment horizontal="left" vertical="center"/>
    </xf>
    <xf numFmtId="3" fontId="89" fillId="27" borderId="0" xfId="24" applyNumberFormat="1" applyFont="1" applyFill="1"/>
    <xf numFmtId="0" fontId="88" fillId="27" borderId="0" xfId="40" applyNumberFormat="1" applyFont="1" applyFill="1" applyAlignment="1">
      <alignment horizontal="left" vertical="center" wrapText="1"/>
    </xf>
    <xf numFmtId="0" fontId="3" fillId="27" borderId="0" xfId="40" applyNumberFormat="1" applyFont="1" applyFill="1" applyAlignment="1">
      <alignment horizontal="left" vertical="center"/>
    </xf>
    <xf numFmtId="0" fontId="91" fillId="0" borderId="0" xfId="40" applyNumberFormat="1" applyFont="1" applyFill="1" applyAlignment="1">
      <alignment horizontal="center"/>
    </xf>
    <xf numFmtId="0" fontId="93" fillId="0" borderId="0" xfId="40" applyNumberFormat="1" applyFont="1" applyFill="1" applyAlignment="1">
      <alignment horizontal="center"/>
    </xf>
    <xf numFmtId="14" fontId="94" fillId="0" borderId="0" xfId="40" applyNumberFormat="1" applyFont="1" applyFill="1" applyAlignment="1">
      <alignment horizontal="center" vertical="center"/>
    </xf>
    <xf numFmtId="14" fontId="89" fillId="27" borderId="0" xfId="40" applyNumberFormat="1" applyFont="1" applyFill="1" applyAlignment="1">
      <alignment horizontal="center"/>
    </xf>
    <xf numFmtId="0" fontId="23" fillId="24" borderId="0" xfId="40" applyNumberFormat="1" applyFont="1" applyFill="1" applyAlignment="1">
      <alignment horizontal="center"/>
    </xf>
    <xf numFmtId="0" fontId="44" fillId="24" borderId="0" xfId="40" applyNumberFormat="1" applyFont="1" applyFill="1" applyAlignment="1">
      <alignment horizontal="center"/>
    </xf>
    <xf numFmtId="0" fontId="43" fillId="24" borderId="0" xfId="40" applyNumberFormat="1" applyFont="1" applyFill="1" applyAlignment="1">
      <alignment horizontal="center"/>
    </xf>
    <xf numFmtId="3" fontId="28" fillId="24" borderId="0" xfId="40" applyNumberFormat="1" applyFont="1" applyFill="1" applyAlignment="1">
      <alignment horizontal="center"/>
    </xf>
    <xf numFmtId="0" fontId="28" fillId="24" borderId="0" xfId="40" applyNumberFormat="1" applyFont="1" applyFill="1" applyAlignment="1">
      <alignment horizontal="center"/>
    </xf>
    <xf numFmtId="14" fontId="28" fillId="24" borderId="0" xfId="40" applyNumberFormat="1" applyFont="1" applyFill="1" applyAlignment="1">
      <alignment horizontal="center"/>
    </xf>
    <xf numFmtId="0" fontId="31" fillId="24" borderId="0" xfId="40" applyNumberFormat="1" applyFont="1" applyFill="1" applyAlignment="1">
      <alignment horizontal="center"/>
    </xf>
    <xf numFmtId="0" fontId="40" fillId="24" borderId="0" xfId="40" applyNumberFormat="1" applyFont="1" applyFill="1" applyAlignment="1">
      <alignment horizontal="left"/>
    </xf>
    <xf numFmtId="14" fontId="39" fillId="0" borderId="0" xfId="40" applyNumberFormat="1" applyFont="1" applyFill="1" applyAlignment="1">
      <alignment horizontal="left"/>
    </xf>
    <xf numFmtId="14" fontId="39" fillId="0" borderId="0" xfId="40" applyNumberFormat="1" applyFont="1" applyFill="1" applyAlignment="1">
      <alignment horizontal="center"/>
    </xf>
    <xf numFmtId="3" fontId="28" fillId="0" borderId="0" xfId="40" applyNumberFormat="1" applyFont="1" applyFill="1" applyAlignment="1">
      <alignment horizontal="center"/>
    </xf>
    <xf numFmtId="0" fontId="45" fillId="24" borderId="0" xfId="40" applyNumberFormat="1" applyFont="1" applyFill="1" applyAlignment="1">
      <alignment horizontal="center"/>
    </xf>
    <xf numFmtId="0" fontId="46" fillId="24" borderId="0" xfId="40" applyNumberFormat="1" applyFont="1" applyFill="1" applyAlignment="1">
      <alignment horizontal="center"/>
    </xf>
    <xf numFmtId="0" fontId="39" fillId="24" borderId="0" xfId="40" applyNumberFormat="1" applyFont="1" applyFill="1" applyAlignment="1">
      <alignment horizontal="center"/>
    </xf>
    <xf numFmtId="0" fontId="40" fillId="24" borderId="0" xfId="40" applyNumberFormat="1" applyFont="1" applyFill="1" applyAlignment="1">
      <alignment horizontal="center"/>
    </xf>
    <xf numFmtId="14" fontId="39" fillId="24" borderId="0" xfId="40" applyNumberFormat="1" applyFont="1" applyFill="1" applyAlignment="1">
      <alignment horizontal="left"/>
    </xf>
    <xf numFmtId="0" fontId="22" fillId="24" borderId="0" xfId="40" applyNumberFormat="1" applyFont="1" applyFill="1" applyAlignment="1">
      <alignment horizontal="center"/>
    </xf>
    <xf numFmtId="0" fontId="26" fillId="24" borderId="0" xfId="40" applyNumberFormat="1" applyFont="1" applyFill="1" applyAlignment="1">
      <alignment horizontal="center"/>
    </xf>
    <xf numFmtId="14" fontId="25" fillId="24" borderId="0" xfId="40" applyNumberFormat="1" applyFont="1" applyFill="1" applyAlignment="1">
      <alignment horizontal="left"/>
    </xf>
    <xf numFmtId="0" fontId="47" fillId="0" borderId="0" xfId="41" applyFont="1" applyAlignment="1">
      <alignment horizontal="center"/>
    </xf>
    <xf numFmtId="0" fontId="48" fillId="0" borderId="0" xfId="41" applyFont="1" applyAlignment="1">
      <alignment horizontal="center" vertical="center"/>
    </xf>
    <xf numFmtId="0" fontId="35" fillId="25" borderId="11" xfId="41" applyFont="1" applyFill="1" applyBorder="1" applyAlignment="1">
      <alignment horizontal="center" vertical="center" wrapText="1"/>
    </xf>
    <xf numFmtId="0" fontId="35" fillId="25" borderId="12" xfId="41" applyFont="1" applyFill="1" applyBorder="1" applyAlignment="1">
      <alignment horizontal="center" vertical="center" wrapText="1"/>
    </xf>
    <xf numFmtId="0" fontId="35" fillId="25" borderId="10" xfId="41" applyFont="1" applyFill="1" applyBorder="1" applyAlignment="1">
      <alignment horizontal="center" vertical="center" wrapText="1"/>
    </xf>
    <xf numFmtId="0" fontId="49" fillId="0" borderId="0" xfId="40" applyNumberFormat="1" applyFont="1" applyFill="1" applyAlignment="1">
      <alignment horizontal="center" vertical="center" shrinkToFit="1"/>
    </xf>
    <xf numFmtId="0" fontId="6" fillId="24" borderId="0" xfId="40" applyNumberFormat="1" applyFont="1" applyFill="1" applyAlignment="1">
      <alignment horizontal="center" vertical="center"/>
    </xf>
    <xf numFmtId="0" fontId="6" fillId="0" borderId="13" xfId="40" applyNumberFormat="1" applyFont="1" applyFill="1" applyBorder="1" applyAlignment="1">
      <alignment horizontal="left"/>
    </xf>
    <xf numFmtId="0" fontId="6" fillId="24" borderId="14" xfId="40" applyNumberFormat="1" applyFont="1" applyFill="1" applyBorder="1" applyAlignment="1">
      <alignment horizontal="left"/>
    </xf>
    <xf numFmtId="0" fontId="6" fillId="24" borderId="13" xfId="40" applyNumberFormat="1" applyFont="1" applyFill="1" applyBorder="1" applyAlignment="1">
      <alignment horizontal="left"/>
    </xf>
    <xf numFmtId="14" fontId="6" fillId="24" borderId="14" xfId="40" applyNumberFormat="1" applyFont="1" applyFill="1" applyBorder="1" applyAlignment="1">
      <alignment horizontal="left"/>
    </xf>
    <xf numFmtId="0" fontId="2" fillId="24" borderId="0" xfId="40" applyNumberFormat="1" applyFont="1" applyFill="1" applyAlignment="1">
      <alignment horizontal="center"/>
    </xf>
    <xf numFmtId="14" fontId="5" fillId="24" borderId="0" xfId="40" applyNumberFormat="1" applyFont="1" applyFill="1" applyAlignment="1">
      <alignment horizontal="left"/>
    </xf>
    <xf numFmtId="0" fontId="19" fillId="24" borderId="0" xfId="40" applyNumberFormat="1" applyFont="1" applyFill="1" applyAlignment="1">
      <alignment horizontal="center" wrapText="1"/>
    </xf>
    <xf numFmtId="0" fontId="19" fillId="24" borderId="0" xfId="40" applyNumberFormat="1" applyFont="1" applyFill="1" applyAlignment="1">
      <alignment horizontal="center"/>
    </xf>
    <xf numFmtId="0" fontId="6" fillId="27" borderId="0" xfId="40" applyNumberFormat="1" applyFont="1" applyFill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Comma" xfId="24" builtinId="3"/>
    <cellStyle name="Comma 2" xfId="25" xr:uid="{00000000-0005-0000-0000-00001C000000}"/>
    <cellStyle name="Currency [0]" xfId="26" builtinId="7"/>
    <cellStyle name="Explanatory Text" xfId="27" builtinId="53" customBuiltin="1"/>
    <cellStyle name="Good" xfId="28" builtinId="26" customBuiltin="1"/>
    <cellStyle name="Heading 1" xfId="29" builtinId="16" customBuiltin="1"/>
    <cellStyle name="Heading 2" xfId="30" builtinId="17" customBuiltin="1"/>
    <cellStyle name="Heading 3" xfId="31" builtinId="18" customBuiltin="1"/>
    <cellStyle name="Heading 4" xfId="32" builtinId="19" customBuiltin="1"/>
    <cellStyle name="Input" xfId="33" builtinId="20" customBuiltin="1"/>
    <cellStyle name="Linked Cell" xfId="34" builtinId="24" customBuiltin="1"/>
    <cellStyle name="Neutral" xfId="35" builtinId="28" customBuiltin="1"/>
    <cellStyle name="Normal" xfId="0" builtinId="0"/>
    <cellStyle name="Normal 2" xfId="36" xr:uid="{00000000-0005-0000-0000-000028000000}"/>
    <cellStyle name="Normal 3" xfId="37" xr:uid="{00000000-0005-0000-0000-000029000000}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617220</xdr:colOff>
      <xdr:row>1</xdr:row>
      <xdr:rowOff>7620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62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15240</xdr:rowOff>
    </xdr:from>
    <xdr:to>
      <xdr:col>0</xdr:col>
      <xdr:colOff>541020</xdr:colOff>
      <xdr:row>2</xdr:row>
      <xdr:rowOff>15240</xdr:rowOff>
    </xdr:to>
    <xdr:pic>
      <xdr:nvPicPr>
        <xdr:cNvPr id="2250" name="Picture 2347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5240"/>
          <a:ext cx="44958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45720</xdr:rowOff>
    </xdr:from>
    <xdr:to>
      <xdr:col>0</xdr:col>
      <xdr:colOff>548640</xdr:colOff>
      <xdr:row>2</xdr:row>
      <xdr:rowOff>175260</xdr:rowOff>
    </xdr:to>
    <xdr:sp macro="" textlink="">
      <xdr:nvSpPr>
        <xdr:cNvPr id="2050" name="Object 2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47625</xdr:rowOff>
    </xdr:from>
    <xdr:to>
      <xdr:col>0</xdr:col>
      <xdr:colOff>552450</xdr:colOff>
      <xdr:row>2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5143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1668780</xdr:colOff>
      <xdr:row>1</xdr:row>
      <xdr:rowOff>7620</xdr:rowOff>
    </xdr:to>
    <xdr:pic>
      <xdr:nvPicPr>
        <xdr:cNvPr id="3473" name="Picture 9">
          <a:extLst>
            <a:ext uri="{FF2B5EF4-FFF2-40B4-BE49-F238E27FC236}">
              <a16:creationId xmlns:a16="http://schemas.microsoft.com/office/drawing/2014/main" id="{00000000-0008-0000-0500-00009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4320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7</xdr:row>
      <xdr:rowOff>160020</xdr:rowOff>
    </xdr:from>
    <xdr:to>
      <xdr:col>8</xdr:col>
      <xdr:colOff>304800</xdr:colOff>
      <xdr:row>16</xdr:row>
      <xdr:rowOff>22860</xdr:rowOff>
    </xdr:to>
    <xdr:pic>
      <xdr:nvPicPr>
        <xdr:cNvPr id="3474" name="Picture 2">
          <a:extLst>
            <a:ext uri="{FF2B5EF4-FFF2-40B4-BE49-F238E27FC236}">
              <a16:creationId xmlns:a16="http://schemas.microsoft.com/office/drawing/2014/main" id="{00000000-0008-0000-05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120" y="3215640"/>
          <a:ext cx="6537960" cy="1767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148"/>
  <sheetViews>
    <sheetView zoomScaleNormal="100" workbookViewId="0">
      <selection activeCell="O37" sqref="O37"/>
    </sheetView>
  </sheetViews>
  <sheetFormatPr defaultColWidth="9.140625" defaultRowHeight="13.5" x14ac:dyDescent="0.2"/>
  <cols>
    <col min="1" max="1" width="8.28515625" style="58" customWidth="1"/>
    <col min="2" max="2" width="10.140625" style="58" customWidth="1"/>
    <col min="3" max="3" width="7" style="58" customWidth="1"/>
    <col min="4" max="4" width="16.28515625" style="58" customWidth="1"/>
    <col min="5" max="5" width="9.85546875" style="58" customWidth="1"/>
    <col min="6" max="6" width="10.5703125" style="58" customWidth="1"/>
    <col min="7" max="7" width="8" style="58" customWidth="1"/>
    <col min="8" max="8" width="13.140625" style="58" customWidth="1"/>
    <col min="9" max="9" width="3" style="58" customWidth="1"/>
    <col min="10" max="10" width="24.85546875" style="58" customWidth="1"/>
    <col min="11" max="16384" width="9.140625" style="59"/>
  </cols>
  <sheetData>
    <row r="1" spans="1:10" s="30" customFormat="1" ht="16.149999999999999" customHeight="1" collapsed="1" x14ac:dyDescent="0.25">
      <c r="A1" s="116"/>
      <c r="B1" s="117"/>
      <c r="C1" s="118"/>
      <c r="D1" s="118"/>
      <c r="E1" s="118"/>
      <c r="F1" s="234" t="s">
        <v>0</v>
      </c>
      <c r="G1" s="234"/>
      <c r="H1" s="234"/>
      <c r="I1" s="234"/>
      <c r="J1" s="234"/>
    </row>
    <row r="2" spans="1:10" s="30" customFormat="1" ht="31.9" customHeight="1" x14ac:dyDescent="0.25">
      <c r="A2" s="161" t="s">
        <v>201</v>
      </c>
      <c r="B2" s="238" t="s">
        <v>365</v>
      </c>
      <c r="C2" s="238"/>
      <c r="D2" s="238"/>
      <c r="E2" s="238"/>
      <c r="F2" s="235" t="s">
        <v>15</v>
      </c>
      <c r="G2" s="235"/>
      <c r="H2" s="235"/>
      <c r="I2" s="235"/>
      <c r="J2" s="235"/>
    </row>
    <row r="3" spans="1:10" s="30" customFormat="1" ht="16.149999999999999" customHeight="1" x14ac:dyDescent="0.25">
      <c r="A3" s="236" t="s">
        <v>278</v>
      </c>
      <c r="B3" s="236"/>
      <c r="C3" s="236"/>
      <c r="D3" s="236"/>
      <c r="E3" s="236"/>
      <c r="F3" s="224" t="s">
        <v>17</v>
      </c>
      <c r="G3" s="224"/>
      <c r="H3" s="224"/>
      <c r="I3" s="224"/>
      <c r="J3" s="224"/>
    </row>
    <row r="4" spans="1:10" s="30" customFormat="1" ht="16.149999999999999" customHeight="1" x14ac:dyDescent="0.25">
      <c r="A4" s="132" t="s">
        <v>362</v>
      </c>
      <c r="B4" s="119" t="s">
        <v>268</v>
      </c>
      <c r="C4" s="129"/>
      <c r="D4" s="163"/>
      <c r="E4" s="163"/>
      <c r="F4" s="237" t="s">
        <v>18</v>
      </c>
      <c r="G4" s="237"/>
      <c r="H4" s="237"/>
      <c r="I4" s="237"/>
      <c r="J4" s="237"/>
    </row>
    <row r="5" spans="1:10" s="30" customFormat="1" ht="16.149999999999999" customHeight="1" x14ac:dyDescent="0.25">
      <c r="A5" s="162" t="s">
        <v>202</v>
      </c>
      <c r="B5" s="228" t="s">
        <v>270</v>
      </c>
      <c r="C5" s="228"/>
      <c r="D5" s="140"/>
      <c r="E5" s="132"/>
      <c r="F5" s="229" t="s">
        <v>271</v>
      </c>
      <c r="G5" s="229"/>
      <c r="H5" s="229"/>
      <c r="I5" s="229"/>
      <c r="J5" s="229"/>
    </row>
    <row r="6" spans="1:10" s="30" customFormat="1" ht="16.149999999999999" customHeight="1" x14ac:dyDescent="0.25">
      <c r="A6" s="118"/>
      <c r="B6" s="118"/>
      <c r="C6" s="118"/>
      <c r="D6" s="118"/>
      <c r="E6" s="118"/>
      <c r="F6" s="229"/>
      <c r="G6" s="229"/>
      <c r="H6" s="229"/>
      <c r="I6" s="229"/>
      <c r="J6" s="229"/>
    </row>
    <row r="7" spans="1:10" s="30" customFormat="1" ht="13.9" customHeight="1" x14ac:dyDescent="0.25">
      <c r="A7" s="124"/>
      <c r="B7" s="124"/>
      <c r="C7" s="124"/>
      <c r="D7" s="124"/>
      <c r="E7" s="124"/>
      <c r="F7" s="125"/>
      <c r="G7" s="125"/>
      <c r="H7" s="125"/>
      <c r="I7" s="125"/>
      <c r="J7" s="125"/>
    </row>
    <row r="8" spans="1:10" s="94" customFormat="1" ht="27" customHeight="1" x14ac:dyDescent="0.25">
      <c r="A8" s="230" t="s">
        <v>107</v>
      </c>
      <c r="B8" s="230"/>
      <c r="C8" s="230"/>
      <c r="D8" s="230"/>
      <c r="E8" s="230"/>
      <c r="F8" s="230"/>
      <c r="G8" s="230"/>
      <c r="H8" s="230"/>
      <c r="I8" s="230"/>
      <c r="J8" s="230"/>
    </row>
    <row r="9" spans="1:10" s="94" customFormat="1" ht="15" customHeight="1" x14ac:dyDescent="0.25">
      <c r="A9" s="231" t="s">
        <v>279</v>
      </c>
      <c r="B9" s="231"/>
      <c r="C9" s="231"/>
      <c r="D9" s="231"/>
      <c r="E9" s="231"/>
      <c r="F9" s="231"/>
      <c r="G9" s="231"/>
      <c r="H9" s="231"/>
      <c r="I9" s="231"/>
      <c r="J9" s="231"/>
    </row>
    <row r="10" spans="1:10" s="97" customFormat="1" ht="16.149999999999999" customHeight="1" x14ac:dyDescent="0.25">
      <c r="A10" s="232" t="s">
        <v>86</v>
      </c>
      <c r="B10" s="232"/>
      <c r="C10" s="232"/>
      <c r="D10" s="232"/>
      <c r="E10" s="232"/>
      <c r="F10" s="232"/>
      <c r="G10" s="232"/>
      <c r="H10" s="232"/>
      <c r="I10" s="232"/>
      <c r="J10" s="232"/>
    </row>
    <row r="11" spans="1:10" s="95" customFormat="1" ht="16.149999999999999" customHeight="1" x14ac:dyDescent="0.25">
      <c r="A11" s="233" t="s">
        <v>359</v>
      </c>
      <c r="B11" s="233"/>
      <c r="C11" s="233"/>
      <c r="D11" s="233"/>
      <c r="E11" s="233"/>
      <c r="F11" s="233"/>
      <c r="G11" s="233"/>
      <c r="H11" s="233"/>
      <c r="I11" s="233"/>
      <c r="J11" s="233"/>
    </row>
    <row r="12" spans="1:10" s="95" customFormat="1" ht="16.149999999999999" customHeight="1" x14ac:dyDescent="0.2">
      <c r="A12" s="224"/>
      <c r="B12" s="224"/>
      <c r="C12" s="224"/>
      <c r="D12" s="224"/>
      <c r="E12" s="224"/>
      <c r="F12" s="224"/>
      <c r="G12" s="224"/>
      <c r="H12" s="224"/>
      <c r="I12" s="224"/>
      <c r="J12" s="224"/>
    </row>
    <row r="13" spans="1:10" s="97" customFormat="1" ht="16.149999999999999" customHeight="1" x14ac:dyDescent="0.25">
      <c r="A13" s="139" t="s">
        <v>22</v>
      </c>
      <c r="B13" s="132"/>
      <c r="C13" s="132" t="s">
        <v>23</v>
      </c>
      <c r="D13" s="173" t="s">
        <v>356</v>
      </c>
      <c r="E13" s="132"/>
      <c r="F13" s="132"/>
      <c r="G13" s="132"/>
      <c r="H13" s="132" t="s">
        <v>24</v>
      </c>
      <c r="I13" s="132" t="s">
        <v>23</v>
      </c>
      <c r="J13" s="173" t="s">
        <v>25</v>
      </c>
    </row>
    <row r="14" spans="1:10" s="94" customFormat="1" ht="16.149999999999999" customHeight="1" x14ac:dyDescent="0.25">
      <c r="A14" s="120" t="s">
        <v>26</v>
      </c>
      <c r="B14" s="129"/>
      <c r="C14" s="129"/>
      <c r="D14" s="129"/>
      <c r="E14" s="129"/>
      <c r="F14" s="129"/>
      <c r="G14" s="129"/>
      <c r="H14" s="120" t="s">
        <v>27</v>
      </c>
      <c r="I14" s="129"/>
      <c r="J14" s="120" t="s">
        <v>199</v>
      </c>
    </row>
    <row r="15" spans="1:10" s="97" customFormat="1" ht="16.149999999999999" customHeight="1" x14ac:dyDescent="0.25">
      <c r="A15" s="132" t="s">
        <v>41</v>
      </c>
      <c r="B15" s="132"/>
      <c r="C15" s="132"/>
      <c r="D15" s="174">
        <v>26427</v>
      </c>
      <c r="E15" s="132"/>
      <c r="F15" s="132"/>
      <c r="G15" s="132"/>
      <c r="H15" s="140" t="s">
        <v>167</v>
      </c>
      <c r="I15" s="132" t="s">
        <v>23</v>
      </c>
      <c r="J15" s="173" t="s">
        <v>282</v>
      </c>
    </row>
    <row r="16" spans="1:10" s="94" customFormat="1" ht="16.149999999999999" customHeight="1" x14ac:dyDescent="0.25">
      <c r="A16" s="120" t="s">
        <v>43</v>
      </c>
      <c r="B16" s="129"/>
      <c r="C16" s="129"/>
      <c r="D16" s="129"/>
      <c r="E16" s="129"/>
      <c r="F16" s="129"/>
      <c r="G16" s="129"/>
      <c r="H16" s="120" t="s">
        <v>281</v>
      </c>
      <c r="I16" s="129"/>
      <c r="J16" s="129"/>
    </row>
    <row r="17" spans="1:24" s="97" customFormat="1" ht="16.149999999999999" customHeight="1" x14ac:dyDescent="0.25">
      <c r="A17" s="132" t="s">
        <v>28</v>
      </c>
      <c r="B17" s="132"/>
      <c r="C17" s="132" t="s">
        <v>23</v>
      </c>
      <c r="D17" s="139" t="s">
        <v>363</v>
      </c>
      <c r="E17" s="132"/>
      <c r="F17" s="132"/>
      <c r="G17" s="132"/>
      <c r="H17" s="132"/>
      <c r="I17" s="132"/>
      <c r="J17" s="132"/>
    </row>
    <row r="18" spans="1:24" s="96" customFormat="1" ht="16.149999999999999" customHeight="1" x14ac:dyDescent="0.25">
      <c r="A18" s="120" t="s">
        <v>29</v>
      </c>
      <c r="B18" s="120"/>
      <c r="C18" s="120"/>
      <c r="D18" s="120" t="s">
        <v>280</v>
      </c>
      <c r="E18" s="120"/>
      <c r="F18" s="120"/>
      <c r="G18" s="120"/>
      <c r="H18" s="120"/>
      <c r="I18" s="120"/>
      <c r="J18" s="120"/>
    </row>
    <row r="19" spans="1:24" s="142" customFormat="1" ht="16.149999999999999" customHeight="1" x14ac:dyDescent="0.25">
      <c r="A19" s="141" t="s">
        <v>35</v>
      </c>
      <c r="B19" s="141"/>
      <c r="C19" s="172" t="s">
        <v>408</v>
      </c>
      <c r="D19" s="227" t="s">
        <v>409</v>
      </c>
      <c r="E19" s="227"/>
      <c r="F19" s="227"/>
      <c r="G19" s="227"/>
      <c r="H19" s="227"/>
      <c r="I19" s="227"/>
      <c r="J19" s="227"/>
    </row>
    <row r="20" spans="1:24" s="96" customFormat="1" ht="16.149999999999999" customHeight="1" x14ac:dyDescent="0.25">
      <c r="A20" s="138" t="s">
        <v>37</v>
      </c>
      <c r="B20" s="138"/>
      <c r="C20" s="175"/>
      <c r="D20" s="175"/>
      <c r="E20" s="175"/>
      <c r="F20" s="175"/>
      <c r="G20" s="175"/>
      <c r="H20" s="175"/>
      <c r="I20" s="175"/>
      <c r="J20" s="175"/>
    </row>
    <row r="21" spans="1:24" s="97" customFormat="1" ht="16.149999999999999" customHeight="1" x14ac:dyDescent="0.25">
      <c r="A21" s="132" t="s">
        <v>30</v>
      </c>
      <c r="B21" s="132"/>
      <c r="C21" s="132" t="s">
        <v>23</v>
      </c>
      <c r="D21" s="139" t="s">
        <v>204</v>
      </c>
      <c r="E21" s="132"/>
      <c r="F21" s="132"/>
      <c r="G21" s="132"/>
      <c r="H21" s="132" t="s">
        <v>283</v>
      </c>
      <c r="I21" s="132" t="s">
        <v>23</v>
      </c>
      <c r="J21" s="173" t="s">
        <v>198</v>
      </c>
    </row>
    <row r="22" spans="1:24" s="96" customFormat="1" ht="16.149999999999999" customHeight="1" x14ac:dyDescent="0.25">
      <c r="A22" s="120" t="s">
        <v>33</v>
      </c>
      <c r="B22" s="120"/>
      <c r="C22" s="120"/>
      <c r="D22" s="120"/>
      <c r="E22" s="120"/>
      <c r="F22" s="120"/>
      <c r="G22" s="120"/>
      <c r="H22" s="120" t="s">
        <v>34</v>
      </c>
      <c r="I22" s="120"/>
      <c r="J22" s="120"/>
      <c r="X22" s="97"/>
    </row>
    <row r="23" spans="1:24" s="97" customFormat="1" ht="16.149999999999999" customHeight="1" x14ac:dyDescent="0.25">
      <c r="A23" s="132" t="s">
        <v>35</v>
      </c>
      <c r="B23" s="132"/>
      <c r="C23" s="132" t="s">
        <v>23</v>
      </c>
      <c r="D23" s="132" t="s">
        <v>357</v>
      </c>
      <c r="E23" s="132"/>
      <c r="F23" s="132"/>
      <c r="G23" s="132"/>
      <c r="H23" s="132"/>
      <c r="I23" s="132"/>
      <c r="J23" s="132"/>
    </row>
    <row r="24" spans="1:24" s="96" customFormat="1" ht="16.149999999999999" customHeight="1" x14ac:dyDescent="0.25">
      <c r="A24" s="120" t="s">
        <v>37</v>
      </c>
      <c r="B24" s="120"/>
      <c r="C24" s="120"/>
      <c r="D24" s="120"/>
      <c r="E24" s="120"/>
      <c r="F24" s="120"/>
      <c r="G24" s="120"/>
      <c r="H24" s="120"/>
      <c r="I24" s="120"/>
      <c r="J24" s="120"/>
    </row>
    <row r="25" spans="1:24" s="97" customFormat="1" ht="16.149999999999999" customHeight="1" x14ac:dyDescent="0.25">
      <c r="A25" s="139" t="s">
        <v>38</v>
      </c>
      <c r="B25" s="132"/>
      <c r="C25" s="132" t="s">
        <v>23</v>
      </c>
      <c r="D25" s="225"/>
      <c r="E25" s="225"/>
      <c r="F25" s="225"/>
      <c r="G25" s="225"/>
      <c r="H25" s="132" t="s">
        <v>39</v>
      </c>
      <c r="I25" s="132"/>
      <c r="J25" s="143"/>
    </row>
    <row r="26" spans="1:24" s="96" customFormat="1" ht="16.149999999999999" customHeight="1" x14ac:dyDescent="0.25">
      <c r="A26" s="120" t="s">
        <v>40</v>
      </c>
      <c r="B26" s="120"/>
      <c r="C26" s="120"/>
      <c r="D26" s="120"/>
      <c r="E26" s="120"/>
      <c r="F26" s="120"/>
      <c r="G26" s="120"/>
      <c r="H26" s="120" t="s">
        <v>27</v>
      </c>
      <c r="I26" s="120"/>
      <c r="J26" s="129"/>
    </row>
    <row r="27" spans="1:24" s="97" customFormat="1" ht="16.149999999999999" customHeight="1" x14ac:dyDescent="0.25">
      <c r="A27" s="132" t="s">
        <v>41</v>
      </c>
      <c r="B27" s="132"/>
      <c r="C27" s="132" t="s">
        <v>23</v>
      </c>
      <c r="D27" s="225"/>
      <c r="E27" s="225"/>
      <c r="F27" s="225"/>
      <c r="G27" s="132"/>
      <c r="H27" s="132" t="s">
        <v>42</v>
      </c>
      <c r="I27" s="144"/>
      <c r="J27" s="145"/>
      <c r="K27" s="146"/>
    </row>
    <row r="28" spans="1:24" s="96" customFormat="1" ht="16.149999999999999" customHeight="1" x14ac:dyDescent="0.25">
      <c r="A28" s="120" t="s">
        <v>43</v>
      </c>
      <c r="B28" s="120"/>
      <c r="C28" s="120"/>
      <c r="D28" s="226" t="s">
        <v>44</v>
      </c>
      <c r="E28" s="226"/>
      <c r="F28" s="120"/>
      <c r="G28" s="120"/>
      <c r="H28" s="120" t="s">
        <v>45</v>
      </c>
      <c r="I28" s="120"/>
      <c r="J28" s="120"/>
    </row>
    <row r="29" spans="1:24" s="97" customFormat="1" ht="16.149999999999999" customHeight="1" x14ac:dyDescent="0.25">
      <c r="A29" s="132" t="s">
        <v>46</v>
      </c>
      <c r="B29" s="132"/>
      <c r="C29" s="132" t="s">
        <v>23</v>
      </c>
      <c r="D29" s="219"/>
      <c r="E29" s="219"/>
      <c r="F29" s="219"/>
      <c r="G29" s="132"/>
      <c r="H29" s="132"/>
      <c r="I29" s="132"/>
      <c r="J29" s="132"/>
    </row>
    <row r="30" spans="1:24" s="96" customFormat="1" ht="16.149999999999999" customHeight="1" x14ac:dyDescent="0.25">
      <c r="A30" s="120" t="s">
        <v>47</v>
      </c>
      <c r="B30" s="120"/>
      <c r="C30" s="120"/>
      <c r="D30" s="120"/>
      <c r="E30" s="120"/>
      <c r="F30" s="120"/>
      <c r="G30" s="120"/>
      <c r="H30" s="120"/>
      <c r="I30" s="120"/>
      <c r="J30" s="120"/>
    </row>
    <row r="31" spans="1:24" s="97" customFormat="1" ht="16.149999999999999" customHeight="1" x14ac:dyDescent="0.25">
      <c r="A31" s="132" t="s">
        <v>48</v>
      </c>
      <c r="B31" s="132"/>
      <c r="C31" s="132" t="s">
        <v>23</v>
      </c>
      <c r="D31" s="225"/>
      <c r="E31" s="225"/>
      <c r="F31" s="225"/>
      <c r="G31" s="225"/>
      <c r="H31" s="225"/>
      <c r="I31" s="225"/>
      <c r="J31" s="225"/>
    </row>
    <row r="32" spans="1:24" s="96" customFormat="1" ht="16.149999999999999" customHeight="1" x14ac:dyDescent="0.25">
      <c r="A32" s="120" t="s">
        <v>49</v>
      </c>
      <c r="B32" s="120"/>
      <c r="C32" s="120"/>
      <c r="D32" s="120"/>
      <c r="E32" s="120"/>
      <c r="F32" s="120"/>
      <c r="G32" s="120"/>
      <c r="H32" s="120"/>
      <c r="I32" s="120"/>
      <c r="J32" s="120"/>
    </row>
    <row r="33" spans="1:11" s="97" customFormat="1" ht="16.149999999999999" customHeight="1" x14ac:dyDescent="0.25">
      <c r="A33" s="132" t="s">
        <v>50</v>
      </c>
      <c r="B33" s="132"/>
      <c r="C33" s="132" t="s">
        <v>23</v>
      </c>
      <c r="D33" s="147"/>
      <c r="E33" s="132" t="s">
        <v>300</v>
      </c>
      <c r="F33" s="218"/>
      <c r="G33" s="218"/>
      <c r="H33" s="132" t="s">
        <v>42</v>
      </c>
      <c r="I33" s="148"/>
      <c r="J33" s="149"/>
      <c r="K33" s="150"/>
    </row>
    <row r="34" spans="1:11" s="96" customFormat="1" ht="16.149999999999999" customHeight="1" x14ac:dyDescent="0.25">
      <c r="A34" s="120" t="s">
        <v>51</v>
      </c>
      <c r="B34" s="120"/>
      <c r="C34" s="129"/>
      <c r="D34" s="164"/>
      <c r="E34" s="120" t="s">
        <v>52</v>
      </c>
      <c r="F34" s="120"/>
      <c r="G34" s="164"/>
      <c r="H34" s="120" t="s">
        <v>45</v>
      </c>
      <c r="I34" s="120"/>
      <c r="J34" s="120"/>
    </row>
    <row r="35" spans="1:11" s="142" customFormat="1" ht="16.149999999999999" customHeight="1" x14ac:dyDescent="0.25">
      <c r="A35" s="141" t="s">
        <v>299</v>
      </c>
      <c r="B35" s="141"/>
      <c r="C35" s="83" t="s">
        <v>302</v>
      </c>
      <c r="E35" s="83" t="s">
        <v>300</v>
      </c>
      <c r="F35" s="141"/>
      <c r="H35" s="83" t="s">
        <v>42</v>
      </c>
      <c r="I35" s="141"/>
      <c r="J35" s="141"/>
    </row>
    <row r="36" spans="1:11" s="96" customFormat="1" ht="16.149999999999999" customHeight="1" x14ac:dyDescent="0.25">
      <c r="A36" s="138" t="s">
        <v>301</v>
      </c>
      <c r="B36" s="138"/>
      <c r="C36" s="134"/>
      <c r="E36" s="138" t="s">
        <v>52</v>
      </c>
      <c r="F36" s="138"/>
      <c r="H36" s="138" t="s">
        <v>45</v>
      </c>
      <c r="I36" s="138"/>
      <c r="J36" s="138"/>
    </row>
    <row r="37" spans="1:11" s="97" customFormat="1" ht="16.149999999999999" customHeight="1" x14ac:dyDescent="0.25">
      <c r="A37" s="132" t="s">
        <v>200</v>
      </c>
      <c r="B37" s="132"/>
      <c r="C37" s="132"/>
      <c r="D37" s="132"/>
      <c r="E37" s="132"/>
      <c r="F37" s="132"/>
      <c r="G37" s="132"/>
      <c r="H37" s="132"/>
      <c r="I37" s="132"/>
      <c r="J37" s="132"/>
    </row>
    <row r="38" spans="1:11" s="96" customFormat="1" ht="16.149999999999999" customHeight="1" x14ac:dyDescent="0.25">
      <c r="A38" s="120" t="s">
        <v>338</v>
      </c>
      <c r="B38" s="120"/>
      <c r="C38" s="120"/>
      <c r="D38" s="120"/>
      <c r="E38" s="120"/>
      <c r="F38" s="120"/>
      <c r="G38" s="120"/>
      <c r="H38" s="120"/>
      <c r="I38" s="120"/>
      <c r="J38" s="120"/>
    </row>
    <row r="39" spans="1:11" s="97" customFormat="1" ht="16.149999999999999" customHeight="1" x14ac:dyDescent="0.25">
      <c r="A39" s="139" t="s">
        <v>8</v>
      </c>
      <c r="B39" s="139" t="s">
        <v>284</v>
      </c>
      <c r="C39" s="132"/>
      <c r="D39" s="132"/>
      <c r="E39" s="132"/>
      <c r="F39" s="132"/>
      <c r="G39" s="132"/>
      <c r="H39" s="132"/>
      <c r="I39" s="132"/>
      <c r="J39" s="132"/>
    </row>
    <row r="40" spans="1:11" s="166" customFormat="1" ht="16.149999999999999" customHeight="1" x14ac:dyDescent="0.25">
      <c r="A40" s="165" t="s">
        <v>53</v>
      </c>
      <c r="B40" s="165" t="s">
        <v>303</v>
      </c>
      <c r="C40" s="165"/>
      <c r="D40" s="165"/>
      <c r="E40" s="165"/>
      <c r="F40" s="165"/>
      <c r="G40" s="165"/>
      <c r="H40" s="165"/>
      <c r="I40" s="165"/>
      <c r="J40" s="165"/>
    </row>
    <row r="41" spans="1:11" s="97" customFormat="1" ht="16.149999999999999" customHeight="1" x14ac:dyDescent="0.25">
      <c r="A41" s="132"/>
      <c r="B41" s="151" t="s">
        <v>376</v>
      </c>
      <c r="C41" s="132"/>
      <c r="D41" s="132"/>
      <c r="E41" s="132"/>
      <c r="F41" s="152"/>
      <c r="G41" s="219" t="s">
        <v>273</v>
      </c>
      <c r="H41" s="219"/>
      <c r="I41" s="219"/>
      <c r="J41" s="219"/>
    </row>
    <row r="42" spans="1:11" s="97" customFormat="1" ht="16.149999999999999" customHeight="1" x14ac:dyDescent="0.25">
      <c r="A42" s="132"/>
      <c r="B42" s="132" t="s">
        <v>54</v>
      </c>
      <c r="C42" s="132"/>
      <c r="D42" s="220" t="s">
        <v>274</v>
      </c>
      <c r="E42" s="220"/>
      <c r="F42" s="152" t="s">
        <v>55</v>
      </c>
      <c r="G42" s="218" t="s">
        <v>275</v>
      </c>
      <c r="H42" s="218"/>
      <c r="I42" s="132"/>
      <c r="J42" s="132"/>
    </row>
    <row r="43" spans="1:11" s="96" customFormat="1" ht="16.149999999999999" customHeight="1" x14ac:dyDescent="0.25">
      <c r="A43" s="120"/>
      <c r="B43" s="120" t="s">
        <v>314</v>
      </c>
      <c r="C43" s="120"/>
      <c r="D43" s="120"/>
      <c r="E43" s="120"/>
      <c r="F43" s="123" t="s">
        <v>57</v>
      </c>
      <c r="G43" s="120"/>
      <c r="H43" s="120"/>
      <c r="I43" s="120"/>
      <c r="J43" s="120"/>
    </row>
    <row r="44" spans="1:11" s="97" customFormat="1" ht="16.149999999999999" customHeight="1" x14ac:dyDescent="0.25">
      <c r="A44" s="132"/>
      <c r="B44" s="132" t="s">
        <v>109</v>
      </c>
      <c r="C44" s="132"/>
      <c r="D44" s="221"/>
      <c r="E44" s="221"/>
      <c r="F44" s="152" t="s">
        <v>55</v>
      </c>
      <c r="G44" s="221"/>
      <c r="H44" s="221"/>
      <c r="I44" s="132"/>
      <c r="J44" s="132"/>
    </row>
    <row r="45" spans="1:11" s="96" customFormat="1" ht="16.149999999999999" customHeight="1" x14ac:dyDescent="0.25">
      <c r="A45" s="120"/>
      <c r="B45" s="120" t="s">
        <v>58</v>
      </c>
      <c r="C45" s="120"/>
      <c r="D45" s="120"/>
      <c r="E45" s="120"/>
      <c r="F45" s="123" t="s">
        <v>57</v>
      </c>
      <c r="G45" s="223"/>
      <c r="H45" s="223"/>
      <c r="I45" s="120"/>
      <c r="J45" s="120"/>
    </row>
    <row r="46" spans="1:11" s="97" customFormat="1" ht="16.149999999999999" customHeight="1" x14ac:dyDescent="0.25">
      <c r="A46" s="132"/>
      <c r="B46" s="132" t="s">
        <v>59</v>
      </c>
      <c r="C46" s="132"/>
      <c r="D46" s="139" t="s">
        <v>205</v>
      </c>
      <c r="E46" s="132"/>
      <c r="F46" s="132"/>
      <c r="G46" s="132"/>
      <c r="H46" s="132"/>
      <c r="I46" s="132"/>
      <c r="J46" s="132"/>
    </row>
    <row r="47" spans="1:11" s="94" customFormat="1" ht="16.149999999999999" customHeight="1" x14ac:dyDescent="0.25">
      <c r="A47" s="129"/>
      <c r="B47" s="123" t="s">
        <v>315</v>
      </c>
      <c r="C47" s="129"/>
      <c r="D47" s="129"/>
      <c r="E47" s="129"/>
      <c r="F47" s="129"/>
      <c r="G47" s="129"/>
      <c r="H47" s="129"/>
      <c r="I47" s="129"/>
      <c r="J47" s="129"/>
    </row>
    <row r="48" spans="1:11" s="97" customFormat="1" ht="16.149999999999999" customHeight="1" x14ac:dyDescent="0.25">
      <c r="A48" s="132"/>
      <c r="B48" s="151" t="s">
        <v>339</v>
      </c>
      <c r="C48" s="132"/>
      <c r="D48" s="214" t="s">
        <v>269</v>
      </c>
      <c r="E48" s="214"/>
      <c r="F48" s="132" t="s">
        <v>317</v>
      </c>
      <c r="G48" s="153"/>
      <c r="H48" s="214" t="s">
        <v>285</v>
      </c>
      <c r="I48" s="214"/>
      <c r="J48" s="214"/>
    </row>
    <row r="49" spans="1:10" s="96" customFormat="1" ht="16.149999999999999" customHeight="1" x14ac:dyDescent="0.25">
      <c r="A49" s="120"/>
      <c r="B49" s="123" t="s">
        <v>393</v>
      </c>
      <c r="C49" s="120"/>
      <c r="D49" s="120"/>
      <c r="E49" s="120"/>
      <c r="F49" s="120" t="s">
        <v>316</v>
      </c>
      <c r="G49" s="167"/>
      <c r="H49" s="167"/>
      <c r="I49" s="120"/>
      <c r="J49" s="120"/>
    </row>
    <row r="50" spans="1:10" s="97" customFormat="1" ht="16.149999999999999" customHeight="1" x14ac:dyDescent="0.25">
      <c r="A50" s="83"/>
      <c r="B50" s="154" t="s">
        <v>406</v>
      </c>
      <c r="C50" s="155"/>
      <c r="D50" s="172"/>
      <c r="E50" s="222"/>
      <c r="F50" s="222"/>
      <c r="G50" s="222"/>
      <c r="H50" s="222"/>
      <c r="I50" s="222"/>
      <c r="J50" s="222"/>
    </row>
    <row r="51" spans="1:10" s="94" customFormat="1" ht="16.149999999999999" customHeight="1" x14ac:dyDescent="0.25">
      <c r="A51" s="134"/>
      <c r="B51" s="136" t="s">
        <v>407</v>
      </c>
      <c r="C51" s="135"/>
      <c r="D51" s="135"/>
      <c r="E51" s="137"/>
      <c r="F51" s="137"/>
      <c r="G51" s="137"/>
      <c r="H51" s="137"/>
      <c r="I51" s="137"/>
      <c r="J51" s="137"/>
    </row>
    <row r="52" spans="1:10" s="97" customFormat="1" ht="16.149999999999999" customHeight="1" x14ac:dyDescent="0.25">
      <c r="A52" s="83"/>
      <c r="B52" s="156" t="s">
        <v>337</v>
      </c>
      <c r="C52" s="83"/>
      <c r="D52" s="83"/>
      <c r="E52" s="83"/>
      <c r="F52" s="83"/>
      <c r="G52" s="83"/>
      <c r="H52" s="83"/>
      <c r="I52" s="83"/>
      <c r="J52" s="83"/>
    </row>
    <row r="53" spans="1:10" s="96" customFormat="1" ht="16.149999999999999" customHeight="1" x14ac:dyDescent="0.25">
      <c r="A53" s="138"/>
      <c r="B53" s="138" t="s">
        <v>336</v>
      </c>
      <c r="C53" s="138"/>
      <c r="D53" s="138"/>
      <c r="E53" s="138"/>
      <c r="F53" s="138"/>
      <c r="G53" s="138"/>
      <c r="H53" s="138"/>
      <c r="I53" s="138"/>
      <c r="J53" s="138"/>
    </row>
    <row r="54" spans="1:10" s="97" customFormat="1" ht="16.149999999999999" customHeight="1" x14ac:dyDescent="0.25">
      <c r="A54" s="139" t="s">
        <v>11</v>
      </c>
      <c r="B54" s="139" t="s">
        <v>60</v>
      </c>
      <c r="C54" s="132"/>
      <c r="D54" s="132"/>
      <c r="E54" s="132"/>
      <c r="F54" s="157"/>
      <c r="G54" s="132"/>
      <c r="H54" s="132"/>
      <c r="I54" s="132"/>
      <c r="J54" s="132"/>
    </row>
    <row r="55" spans="1:10" s="166" customFormat="1" ht="16.149999999999999" customHeight="1" x14ac:dyDescent="0.25">
      <c r="A55" s="165" t="s">
        <v>61</v>
      </c>
      <c r="B55" s="165" t="s">
        <v>62</v>
      </c>
      <c r="C55" s="165"/>
      <c r="D55" s="165"/>
      <c r="E55" s="165"/>
      <c r="F55" s="165"/>
      <c r="G55" s="165"/>
      <c r="H55" s="165"/>
      <c r="I55" s="165"/>
      <c r="J55" s="165"/>
    </row>
    <row r="56" spans="1:10" s="97" customFormat="1" ht="16.149999999999999" customHeight="1" x14ac:dyDescent="0.25">
      <c r="A56" s="132"/>
      <c r="B56" s="151" t="s">
        <v>304</v>
      </c>
      <c r="C56" s="132"/>
      <c r="D56" s="132"/>
      <c r="E56" s="132"/>
      <c r="F56" s="132" t="s">
        <v>287</v>
      </c>
      <c r="G56" s="132"/>
      <c r="H56" s="132" t="s">
        <v>286</v>
      </c>
      <c r="I56" s="132"/>
      <c r="J56" s="132"/>
    </row>
    <row r="57" spans="1:10" s="94" customFormat="1" ht="16.149999999999999" customHeight="1" x14ac:dyDescent="0.25">
      <c r="A57" s="129"/>
      <c r="B57" s="120" t="s">
        <v>305</v>
      </c>
      <c r="C57" s="129"/>
      <c r="D57" s="129"/>
      <c r="E57" s="129"/>
      <c r="F57" s="120" t="s">
        <v>291</v>
      </c>
      <c r="G57" s="129"/>
      <c r="H57" s="120" t="s">
        <v>288</v>
      </c>
      <c r="I57" s="129"/>
      <c r="J57" s="129"/>
    </row>
    <row r="58" spans="1:10" s="97" customFormat="1" ht="16.149999999999999" customHeight="1" x14ac:dyDescent="0.25">
      <c r="A58" s="132"/>
      <c r="B58" s="151" t="s">
        <v>366</v>
      </c>
      <c r="C58" s="132"/>
      <c r="D58" s="132"/>
      <c r="E58" s="132"/>
      <c r="F58" s="132" t="s">
        <v>289</v>
      </c>
      <c r="G58" s="132"/>
      <c r="H58" s="132" t="s">
        <v>309</v>
      </c>
      <c r="I58" s="132"/>
      <c r="J58" s="132"/>
    </row>
    <row r="59" spans="1:10" s="94" customFormat="1" ht="16.149999999999999" customHeight="1" x14ac:dyDescent="0.25">
      <c r="A59" s="129"/>
      <c r="B59" s="120" t="s">
        <v>290</v>
      </c>
      <c r="C59" s="129"/>
      <c r="D59" s="129"/>
      <c r="E59" s="129"/>
      <c r="F59" s="120" t="s">
        <v>292</v>
      </c>
      <c r="G59" s="129"/>
      <c r="H59" s="120" t="s">
        <v>310</v>
      </c>
      <c r="I59" s="129"/>
      <c r="J59" s="129"/>
    </row>
    <row r="60" spans="1:10" s="97" customFormat="1" ht="16.149999999999999" customHeight="1" x14ac:dyDescent="0.25">
      <c r="A60" s="132"/>
      <c r="B60" s="151" t="s">
        <v>367</v>
      </c>
      <c r="C60" s="132"/>
      <c r="D60" s="132"/>
      <c r="E60" s="132"/>
      <c r="F60" s="132" t="s">
        <v>297</v>
      </c>
      <c r="G60" s="132"/>
      <c r="H60" s="132"/>
      <c r="I60" s="132"/>
      <c r="J60" s="132"/>
    </row>
    <row r="61" spans="1:10" s="94" customFormat="1" ht="16.149999999999999" customHeight="1" x14ac:dyDescent="0.25">
      <c r="A61" s="129"/>
      <c r="B61" s="120" t="s">
        <v>306</v>
      </c>
      <c r="C61" s="129"/>
      <c r="D61" s="129"/>
      <c r="E61" s="129"/>
      <c r="F61" s="120" t="s">
        <v>311</v>
      </c>
      <c r="G61" s="129"/>
      <c r="H61" s="120"/>
      <c r="I61" s="129"/>
      <c r="J61" s="129"/>
    </row>
    <row r="62" spans="1:10" s="97" customFormat="1" ht="16.149999999999999" customHeight="1" x14ac:dyDescent="0.25">
      <c r="A62" s="132"/>
      <c r="B62" s="151" t="s">
        <v>368</v>
      </c>
      <c r="C62" s="132"/>
      <c r="D62" s="132"/>
      <c r="E62" s="132"/>
      <c r="F62" s="132" t="s">
        <v>307</v>
      </c>
      <c r="G62" s="132"/>
      <c r="H62" s="132"/>
      <c r="I62" s="132"/>
      <c r="J62" s="132"/>
    </row>
    <row r="63" spans="1:10" s="94" customFormat="1" ht="16.149999999999999" customHeight="1" x14ac:dyDescent="0.25">
      <c r="A63" s="129"/>
      <c r="B63" s="120" t="s">
        <v>293</v>
      </c>
      <c r="C63" s="129"/>
      <c r="D63" s="129"/>
      <c r="E63" s="129"/>
      <c r="F63" s="120" t="s">
        <v>308</v>
      </c>
      <c r="G63" s="129"/>
      <c r="H63" s="120"/>
      <c r="I63" s="129"/>
      <c r="J63" s="129"/>
    </row>
    <row r="64" spans="1:10" s="97" customFormat="1" ht="16.149999999999999" customHeight="1" x14ac:dyDescent="0.25">
      <c r="A64" s="132"/>
      <c r="B64" s="151" t="s">
        <v>369</v>
      </c>
      <c r="C64" s="132"/>
      <c r="D64" s="132"/>
      <c r="E64" s="132"/>
      <c r="F64" s="132" t="s">
        <v>294</v>
      </c>
      <c r="G64" s="132"/>
      <c r="H64" s="132"/>
      <c r="I64" s="132"/>
      <c r="J64" s="132"/>
    </row>
    <row r="65" spans="1:11" s="94" customFormat="1" ht="16.149999999999999" customHeight="1" x14ac:dyDescent="0.25">
      <c r="A65" s="129"/>
      <c r="B65" s="120" t="s">
        <v>295</v>
      </c>
      <c r="C65" s="129"/>
      <c r="D65" s="129"/>
      <c r="E65" s="129"/>
      <c r="F65" s="120" t="s">
        <v>296</v>
      </c>
      <c r="G65" s="129"/>
      <c r="H65" s="120"/>
      <c r="I65" s="129"/>
      <c r="J65" s="129"/>
    </row>
    <row r="66" spans="1:11" s="97" customFormat="1" ht="16.149999999999999" customHeight="1" x14ac:dyDescent="0.25">
      <c r="A66" s="139" t="s">
        <v>63</v>
      </c>
      <c r="B66" s="139" t="s">
        <v>64</v>
      </c>
      <c r="C66" s="132"/>
      <c r="D66" s="132"/>
      <c r="E66" s="132"/>
      <c r="F66" s="132"/>
      <c r="G66" s="132"/>
      <c r="H66" s="132"/>
      <c r="I66" s="132"/>
      <c r="J66" s="132"/>
    </row>
    <row r="67" spans="1:11" s="166" customFormat="1" ht="16.149999999999999" customHeight="1" x14ac:dyDescent="0.25">
      <c r="A67" s="165" t="s">
        <v>65</v>
      </c>
      <c r="B67" s="165" t="s">
        <v>66</v>
      </c>
      <c r="C67" s="165"/>
      <c r="D67" s="165"/>
      <c r="E67" s="165"/>
      <c r="F67" s="165"/>
      <c r="G67" s="165"/>
      <c r="H67" s="165"/>
      <c r="I67" s="165"/>
      <c r="J67" s="165"/>
    </row>
    <row r="68" spans="1:11" s="158" customFormat="1" ht="16.149999999999999" customHeight="1" x14ac:dyDescent="0.25">
      <c r="A68" s="139" t="s">
        <v>377</v>
      </c>
      <c r="B68" s="139"/>
      <c r="C68" s="139"/>
      <c r="D68" s="139"/>
      <c r="E68" s="139"/>
      <c r="F68" s="139"/>
      <c r="G68" s="139"/>
      <c r="H68" s="139"/>
      <c r="I68" s="139"/>
      <c r="J68" s="139"/>
    </row>
    <row r="69" spans="1:11" s="97" customFormat="1" ht="16.149999999999999" customHeight="1" x14ac:dyDescent="0.25">
      <c r="A69" s="83"/>
      <c r="B69" s="215" t="s">
        <v>405</v>
      </c>
      <c r="C69" s="216"/>
      <c r="D69" s="216"/>
      <c r="E69" s="216"/>
      <c r="F69" s="216"/>
      <c r="G69" s="217" t="s">
        <v>378</v>
      </c>
      <c r="H69" s="217"/>
      <c r="I69" s="217"/>
      <c r="J69" s="217"/>
      <c r="K69" s="159"/>
    </row>
    <row r="70" spans="1:11" s="97" customFormat="1" ht="16.149999999999999" customHeight="1" x14ac:dyDescent="0.25">
      <c r="A70" s="132"/>
      <c r="B70" s="151" t="s">
        <v>380</v>
      </c>
      <c r="C70" s="132"/>
      <c r="D70" s="132"/>
      <c r="E70" s="140"/>
      <c r="F70" s="132" t="s">
        <v>23</v>
      </c>
      <c r="G70" s="207">
        <v>0</v>
      </c>
      <c r="H70" s="207"/>
      <c r="I70" s="132" t="s">
        <v>67</v>
      </c>
      <c r="J70" s="132"/>
    </row>
    <row r="71" spans="1:11" s="97" customFormat="1" ht="16.149999999999999" customHeight="1" x14ac:dyDescent="0.25">
      <c r="A71" s="83"/>
      <c r="B71" s="156" t="s">
        <v>312</v>
      </c>
      <c r="C71" s="83"/>
      <c r="D71" s="83"/>
      <c r="E71" s="83"/>
      <c r="F71" s="83"/>
      <c r="G71" s="83" t="s">
        <v>379</v>
      </c>
      <c r="H71" s="83"/>
      <c r="I71" s="83"/>
      <c r="J71" s="83"/>
    </row>
    <row r="72" spans="1:11" s="97" customFormat="1" ht="16.149999999999999" customHeight="1" x14ac:dyDescent="0.25">
      <c r="A72" s="132"/>
      <c r="B72" s="151" t="s">
        <v>381</v>
      </c>
      <c r="C72" s="132"/>
      <c r="D72" s="132"/>
      <c r="E72" s="132"/>
      <c r="F72" s="132"/>
      <c r="G72" s="207" t="s">
        <v>276</v>
      </c>
      <c r="H72" s="207"/>
      <c r="I72" s="132" t="s">
        <v>313</v>
      </c>
      <c r="J72" s="132"/>
    </row>
    <row r="73" spans="1:11" s="97" customFormat="1" ht="16.149999999999999" customHeight="1" x14ac:dyDescent="0.25">
      <c r="A73" s="132"/>
      <c r="B73" s="151" t="s">
        <v>382</v>
      </c>
      <c r="C73" s="132"/>
      <c r="D73" s="132"/>
      <c r="E73" s="132"/>
      <c r="F73" s="132"/>
      <c r="G73" s="207">
        <v>0</v>
      </c>
      <c r="H73" s="207"/>
      <c r="I73" s="132" t="s">
        <v>67</v>
      </c>
      <c r="J73" s="132"/>
    </row>
    <row r="74" spans="1:11" s="97" customFormat="1" ht="16.149999999999999" customHeight="1" x14ac:dyDescent="0.25">
      <c r="A74" s="132"/>
      <c r="B74" s="151" t="s">
        <v>383</v>
      </c>
      <c r="C74" s="132"/>
      <c r="D74" s="132"/>
      <c r="E74" s="132"/>
      <c r="F74" s="132"/>
      <c r="G74" s="207" t="s">
        <v>276</v>
      </c>
      <c r="H74" s="207"/>
      <c r="I74" s="132" t="s">
        <v>67</v>
      </c>
      <c r="J74" s="132"/>
    </row>
    <row r="75" spans="1:11" s="97" customFormat="1" ht="16.149999999999999" customHeight="1" x14ac:dyDescent="0.25">
      <c r="A75" s="132"/>
      <c r="B75" s="151" t="s">
        <v>384</v>
      </c>
      <c r="C75" s="132"/>
      <c r="D75" s="140"/>
      <c r="E75" s="132"/>
      <c r="F75" s="132"/>
      <c r="G75" s="207" t="s">
        <v>276</v>
      </c>
      <c r="H75" s="207"/>
      <c r="I75" s="132" t="s">
        <v>67</v>
      </c>
      <c r="J75" s="132"/>
    </row>
    <row r="76" spans="1:11" s="97" customFormat="1" ht="16.149999999999999" customHeight="1" x14ac:dyDescent="0.25">
      <c r="A76" s="132"/>
      <c r="B76" s="151" t="s">
        <v>385</v>
      </c>
      <c r="C76" s="132"/>
      <c r="D76" s="140"/>
      <c r="E76" s="132"/>
      <c r="F76" s="132"/>
      <c r="G76" s="207" t="s">
        <v>276</v>
      </c>
      <c r="H76" s="207"/>
      <c r="I76" s="132" t="s">
        <v>67</v>
      </c>
      <c r="J76" s="132"/>
    </row>
    <row r="77" spans="1:11" s="97" customFormat="1" ht="16.149999999999999" customHeight="1" x14ac:dyDescent="0.25">
      <c r="A77" s="132"/>
      <c r="B77" s="151" t="s">
        <v>386</v>
      </c>
      <c r="C77" s="132"/>
      <c r="D77" s="140"/>
      <c r="E77" s="132"/>
      <c r="F77" s="132"/>
      <c r="G77" s="207" t="s">
        <v>276</v>
      </c>
      <c r="H77" s="207"/>
      <c r="I77" s="132" t="s">
        <v>67</v>
      </c>
      <c r="J77" s="132"/>
    </row>
    <row r="78" spans="1:11" s="97" customFormat="1" ht="16.149999999999999" customHeight="1" x14ac:dyDescent="0.25">
      <c r="A78" s="132"/>
      <c r="B78" s="151" t="s">
        <v>387</v>
      </c>
      <c r="C78" s="132"/>
      <c r="D78" s="140"/>
      <c r="E78" s="132"/>
      <c r="F78" s="132"/>
      <c r="G78" s="207" t="s">
        <v>277</v>
      </c>
      <c r="H78" s="207"/>
      <c r="I78" s="132" t="s">
        <v>67</v>
      </c>
      <c r="J78" s="132"/>
    </row>
    <row r="79" spans="1:11" s="97" customFormat="1" ht="16.149999999999999" customHeight="1" x14ac:dyDescent="0.25">
      <c r="A79" s="83"/>
      <c r="B79" s="156" t="s">
        <v>360</v>
      </c>
      <c r="C79" s="83"/>
      <c r="D79" s="141"/>
      <c r="E79" s="83"/>
      <c r="F79" s="83"/>
      <c r="G79" s="208">
        <v>0</v>
      </c>
      <c r="H79" s="208"/>
      <c r="I79" s="83" t="s">
        <v>67</v>
      </c>
      <c r="J79" s="83"/>
    </row>
    <row r="80" spans="1:11" s="97" customFormat="1" ht="16.149999999999999" customHeight="1" x14ac:dyDescent="0.25">
      <c r="A80" s="132"/>
      <c r="B80" s="151" t="s">
        <v>388</v>
      </c>
      <c r="C80" s="132"/>
      <c r="D80" s="140"/>
      <c r="E80" s="132"/>
      <c r="F80" s="132"/>
      <c r="G80" s="207" t="s">
        <v>276</v>
      </c>
      <c r="H80" s="207"/>
      <c r="I80" s="132" t="s">
        <v>67</v>
      </c>
      <c r="J80" s="132"/>
    </row>
    <row r="81" spans="1:10" s="97" customFormat="1" ht="16.149999999999999" customHeight="1" x14ac:dyDescent="0.25">
      <c r="A81" s="132"/>
      <c r="B81" s="151" t="s">
        <v>389</v>
      </c>
      <c r="C81" s="132"/>
      <c r="D81" s="140"/>
      <c r="E81" s="132"/>
      <c r="F81" s="132"/>
      <c r="G81" s="207" t="s">
        <v>276</v>
      </c>
      <c r="H81" s="207"/>
      <c r="I81" s="132" t="s">
        <v>67</v>
      </c>
      <c r="J81" s="132"/>
    </row>
    <row r="82" spans="1:10" s="97" customFormat="1" ht="16.149999999999999" customHeight="1" x14ac:dyDescent="0.25">
      <c r="A82" s="132"/>
      <c r="B82" s="151" t="s">
        <v>361</v>
      </c>
      <c r="C82" s="132"/>
      <c r="D82" s="132"/>
      <c r="E82" s="140"/>
      <c r="F82" s="132"/>
      <c r="G82" s="206" t="s">
        <v>390</v>
      </c>
      <c r="H82" s="206"/>
      <c r="I82" s="206"/>
      <c r="J82" s="206"/>
    </row>
    <row r="83" spans="1:10" s="97" customFormat="1" ht="16.149999999999999" customHeight="1" x14ac:dyDescent="0.25">
      <c r="A83" s="132"/>
      <c r="B83" s="151" t="s">
        <v>391</v>
      </c>
      <c r="C83" s="132"/>
      <c r="D83" s="132"/>
      <c r="E83" s="132"/>
      <c r="F83" s="132"/>
      <c r="G83" s="132"/>
      <c r="H83" s="160"/>
      <c r="I83" s="132"/>
      <c r="J83" s="132"/>
    </row>
    <row r="84" spans="1:10" s="96" customFormat="1" ht="16.149999999999999" customHeight="1" x14ac:dyDescent="0.25">
      <c r="A84" s="138"/>
      <c r="B84" s="133" t="s">
        <v>392</v>
      </c>
      <c r="C84" s="138"/>
      <c r="D84" s="138"/>
      <c r="E84" s="133"/>
      <c r="F84" s="138"/>
      <c r="G84" s="133"/>
      <c r="H84" s="168"/>
      <c r="I84" s="138"/>
      <c r="J84" s="138"/>
    </row>
    <row r="85" spans="1:10" s="97" customFormat="1" ht="16.149999999999999" customHeight="1" x14ac:dyDescent="0.25">
      <c r="A85" s="132"/>
      <c r="B85" s="151" t="s">
        <v>394</v>
      </c>
      <c r="C85" s="132"/>
      <c r="D85" s="132"/>
      <c r="E85" s="132"/>
      <c r="F85" s="140"/>
      <c r="G85" s="132"/>
      <c r="H85" s="132"/>
      <c r="I85" s="132"/>
      <c r="J85" s="132"/>
    </row>
    <row r="86" spans="1:10" s="94" customFormat="1" ht="16.149999999999999" customHeight="1" x14ac:dyDescent="0.25">
      <c r="A86" s="134"/>
      <c r="B86" s="156" t="s">
        <v>370</v>
      </c>
      <c r="C86" s="134"/>
      <c r="D86" s="134"/>
      <c r="E86" s="134"/>
      <c r="F86" s="138" t="s">
        <v>395</v>
      </c>
      <c r="G86" s="134"/>
      <c r="H86" s="134"/>
      <c r="I86" s="134"/>
      <c r="J86" s="134"/>
    </row>
    <row r="87" spans="1:10" s="97" customFormat="1" ht="16.149999999999999" customHeight="1" x14ac:dyDescent="0.25">
      <c r="A87" s="83"/>
      <c r="B87" s="83" t="s">
        <v>371</v>
      </c>
      <c r="C87" s="83"/>
      <c r="D87" s="83"/>
      <c r="E87" s="83"/>
      <c r="F87" s="141"/>
      <c r="G87" s="83"/>
      <c r="H87" s="83"/>
      <c r="I87" s="83"/>
      <c r="J87" s="83"/>
    </row>
    <row r="88" spans="1:10" s="97" customFormat="1" ht="16.149999999999999" customHeight="1" x14ac:dyDescent="0.25">
      <c r="A88" s="83"/>
      <c r="B88" s="83" t="s">
        <v>318</v>
      </c>
      <c r="C88" s="83"/>
      <c r="D88" s="83"/>
      <c r="E88" s="83"/>
      <c r="F88" s="141"/>
      <c r="G88" s="83"/>
      <c r="H88" s="83"/>
      <c r="I88" s="83"/>
      <c r="J88" s="83"/>
    </row>
    <row r="89" spans="1:10" s="96" customFormat="1" ht="16.149999999999999" customHeight="1" x14ac:dyDescent="0.25">
      <c r="A89" s="138"/>
      <c r="B89" s="138" t="s">
        <v>372</v>
      </c>
      <c r="C89" s="138"/>
      <c r="D89" s="138"/>
      <c r="E89" s="138"/>
      <c r="F89" s="133"/>
      <c r="G89" s="138"/>
      <c r="H89" s="138"/>
      <c r="I89" s="138"/>
      <c r="J89" s="138"/>
    </row>
    <row r="90" spans="1:10" s="96" customFormat="1" ht="16.149999999999999" customHeight="1" x14ac:dyDescent="0.25">
      <c r="A90" s="138"/>
      <c r="B90" s="138" t="s">
        <v>319</v>
      </c>
      <c r="C90" s="138"/>
      <c r="D90" s="138"/>
      <c r="E90" s="138"/>
      <c r="F90" s="133"/>
      <c r="G90" s="138"/>
      <c r="H90" s="138"/>
      <c r="I90" s="138"/>
      <c r="J90" s="138"/>
    </row>
    <row r="91" spans="1:10" s="94" customFormat="1" ht="16.149999999999999" customHeight="1" x14ac:dyDescent="0.25">
      <c r="A91" s="118"/>
      <c r="B91" s="122" t="s">
        <v>396</v>
      </c>
      <c r="C91" s="118"/>
      <c r="D91" s="118"/>
      <c r="E91" s="118" t="s">
        <v>397</v>
      </c>
      <c r="F91" s="116"/>
      <c r="G91" s="118"/>
      <c r="H91" s="118"/>
      <c r="I91" s="118"/>
      <c r="J91" s="118"/>
    </row>
    <row r="92" spans="1:10" s="94" customFormat="1" ht="16.149999999999999" customHeight="1" x14ac:dyDescent="0.25">
      <c r="A92" s="118"/>
      <c r="B92" s="122" t="s">
        <v>398</v>
      </c>
      <c r="C92" s="118"/>
      <c r="D92" s="118"/>
      <c r="E92" s="121" t="s">
        <v>399</v>
      </c>
      <c r="F92" s="116"/>
      <c r="G92" s="118"/>
      <c r="H92" s="118"/>
      <c r="I92" s="118"/>
      <c r="J92" s="118"/>
    </row>
    <row r="93" spans="1:10" s="97" customFormat="1" ht="16.149999999999999" customHeight="1" x14ac:dyDescent="0.25">
      <c r="A93" s="83"/>
      <c r="B93" s="156" t="s">
        <v>320</v>
      </c>
      <c r="C93" s="83"/>
      <c r="D93" s="83"/>
      <c r="E93" s="83"/>
      <c r="F93" s="83" t="s">
        <v>322</v>
      </c>
      <c r="G93" s="83"/>
      <c r="H93" s="83"/>
      <c r="I93" s="83"/>
      <c r="J93" s="83"/>
    </row>
    <row r="94" spans="1:10" s="96" customFormat="1" ht="16.149999999999999" customHeight="1" x14ac:dyDescent="0.25">
      <c r="A94" s="138"/>
      <c r="B94" s="213" t="s">
        <v>321</v>
      </c>
      <c r="C94" s="213"/>
      <c r="D94" s="213"/>
      <c r="E94" s="213"/>
      <c r="F94" s="96" t="s">
        <v>323</v>
      </c>
      <c r="G94" s="138"/>
      <c r="I94" s="138"/>
      <c r="J94" s="138"/>
    </row>
    <row r="95" spans="1:10" s="97" customFormat="1" ht="16.149999999999999" customHeight="1" x14ac:dyDescent="0.25">
      <c r="A95" s="83"/>
      <c r="B95" s="156" t="s">
        <v>373</v>
      </c>
      <c r="C95" s="83"/>
      <c r="D95" s="83"/>
      <c r="E95" s="212"/>
      <c r="F95" s="212"/>
      <c r="G95" s="212"/>
      <c r="H95" s="212"/>
      <c r="I95" s="212"/>
      <c r="J95" s="212"/>
    </row>
    <row r="96" spans="1:10" s="96" customFormat="1" ht="16.149999999999999" customHeight="1" x14ac:dyDescent="0.25">
      <c r="A96" s="138"/>
      <c r="B96" s="138" t="s">
        <v>332</v>
      </c>
      <c r="C96" s="138"/>
      <c r="D96" s="138"/>
      <c r="E96" s="138"/>
      <c r="F96" s="138"/>
      <c r="G96" s="138"/>
      <c r="H96" s="138"/>
      <c r="I96" s="138"/>
      <c r="J96" s="138"/>
    </row>
    <row r="97" spans="1:10" s="97" customFormat="1" ht="16.149999999999999" customHeight="1" x14ac:dyDescent="0.25">
      <c r="A97" s="132"/>
      <c r="B97" s="151" t="s">
        <v>324</v>
      </c>
      <c r="C97" s="132"/>
      <c r="D97" s="132"/>
      <c r="E97" s="132"/>
      <c r="F97" s="132" t="s">
        <v>330</v>
      </c>
      <c r="G97" s="132"/>
      <c r="H97" s="132"/>
      <c r="I97" s="132"/>
      <c r="J97" s="132"/>
    </row>
    <row r="98" spans="1:10" s="96" customFormat="1" ht="16.149999999999999" customHeight="1" x14ac:dyDescent="0.25">
      <c r="A98" s="120"/>
      <c r="B98" s="120" t="s">
        <v>325</v>
      </c>
      <c r="C98" s="120"/>
      <c r="D98" s="120"/>
      <c r="E98" s="120"/>
      <c r="F98" s="120"/>
      <c r="G98" s="120"/>
      <c r="H98" s="120"/>
      <c r="I98" s="120"/>
      <c r="J98" s="120"/>
    </row>
    <row r="99" spans="1:10" s="97" customFormat="1" ht="16.149999999999999" customHeight="1" x14ac:dyDescent="0.25">
      <c r="A99" s="132"/>
      <c r="B99" s="151" t="s">
        <v>358</v>
      </c>
      <c r="C99" s="132"/>
      <c r="D99" s="132"/>
      <c r="E99" s="132" t="s">
        <v>326</v>
      </c>
      <c r="G99" s="132"/>
      <c r="H99" s="132"/>
      <c r="I99" s="132"/>
      <c r="J99" s="132"/>
    </row>
    <row r="100" spans="1:10" s="96" customFormat="1" ht="16.149999999999999" customHeight="1" x14ac:dyDescent="0.25">
      <c r="A100" s="120"/>
      <c r="B100" s="169" t="s">
        <v>327</v>
      </c>
      <c r="C100" s="120"/>
      <c r="D100" s="120"/>
      <c r="E100" s="120" t="s">
        <v>328</v>
      </c>
      <c r="F100" s="120"/>
      <c r="G100" s="120"/>
      <c r="H100" s="120"/>
      <c r="I100" s="120"/>
      <c r="J100" s="120"/>
    </row>
    <row r="101" spans="1:10" s="97" customFormat="1" ht="16.149999999999999" customHeight="1" x14ac:dyDescent="0.25">
      <c r="A101" s="132"/>
      <c r="B101" s="151" t="s">
        <v>342</v>
      </c>
      <c r="C101" s="132"/>
      <c r="D101" s="132"/>
      <c r="E101" s="132"/>
      <c r="F101" s="132"/>
      <c r="G101" s="132"/>
      <c r="H101" s="132"/>
      <c r="I101" s="132"/>
      <c r="J101" s="132"/>
    </row>
    <row r="102" spans="1:10" s="96" customFormat="1" ht="16.149999999999999" customHeight="1" x14ac:dyDescent="0.25">
      <c r="A102" s="120"/>
      <c r="B102" s="120" t="s">
        <v>343</v>
      </c>
      <c r="C102" s="120"/>
      <c r="D102" s="120"/>
      <c r="E102" s="120"/>
      <c r="F102" s="120"/>
      <c r="G102" s="120"/>
      <c r="H102" s="120"/>
      <c r="I102" s="120"/>
      <c r="J102" s="120"/>
    </row>
    <row r="103" spans="1:10" s="97" customFormat="1" ht="16.149999999999999" customHeight="1" x14ac:dyDescent="0.25">
      <c r="A103" s="132"/>
      <c r="B103" s="132" t="s">
        <v>400</v>
      </c>
      <c r="C103" s="132"/>
      <c r="D103" s="132"/>
      <c r="E103" s="132"/>
      <c r="F103" s="132"/>
      <c r="G103" s="132"/>
      <c r="H103" s="132"/>
      <c r="I103" s="132"/>
      <c r="J103" s="132"/>
    </row>
    <row r="104" spans="1:10" s="97" customFormat="1" ht="16.149999999999999" customHeight="1" x14ac:dyDescent="0.25">
      <c r="A104" s="132"/>
      <c r="B104" s="151" t="s">
        <v>344</v>
      </c>
      <c r="C104" s="132"/>
      <c r="D104" s="132"/>
      <c r="E104" s="132"/>
      <c r="F104" s="132"/>
      <c r="G104" s="132"/>
      <c r="I104" s="132"/>
      <c r="J104" s="132"/>
    </row>
    <row r="105" spans="1:10" s="96" customFormat="1" ht="16.149999999999999" customHeight="1" x14ac:dyDescent="0.25">
      <c r="A105" s="120"/>
      <c r="B105" s="138" t="s">
        <v>345</v>
      </c>
      <c r="C105" s="120"/>
      <c r="D105" s="120"/>
      <c r="E105" s="120"/>
      <c r="F105" s="120"/>
      <c r="G105" s="120"/>
      <c r="I105" s="120"/>
      <c r="J105" s="120"/>
    </row>
    <row r="106" spans="1:10" s="127" customFormat="1" ht="16.149999999999999" customHeight="1" x14ac:dyDescent="0.25">
      <c r="A106" s="117" t="s">
        <v>401</v>
      </c>
      <c r="B106" s="117"/>
      <c r="C106" s="117"/>
      <c r="D106" s="117"/>
      <c r="E106" s="117"/>
      <c r="F106" s="117"/>
      <c r="G106" s="117"/>
      <c r="H106" s="117"/>
      <c r="I106" s="117"/>
      <c r="J106" s="117"/>
    </row>
    <row r="107" spans="1:10" s="97" customFormat="1" ht="16.149999999999999" customHeight="1" x14ac:dyDescent="0.25">
      <c r="A107" s="132"/>
      <c r="B107" s="132" t="s">
        <v>69</v>
      </c>
      <c r="C107" s="132"/>
      <c r="D107" s="132"/>
      <c r="E107" s="132"/>
      <c r="F107" s="132"/>
      <c r="G107" s="132"/>
      <c r="H107" s="132"/>
      <c r="I107" s="132"/>
      <c r="J107" s="132"/>
    </row>
    <row r="108" spans="1:10" s="96" customFormat="1" ht="16.149999999999999" customHeight="1" x14ac:dyDescent="0.25">
      <c r="A108" s="120"/>
      <c r="B108" s="120" t="s">
        <v>333</v>
      </c>
      <c r="C108" s="120"/>
      <c r="D108" s="120"/>
      <c r="E108" s="120"/>
      <c r="F108" s="120"/>
      <c r="G108" s="120"/>
      <c r="H108" s="120"/>
      <c r="I108" s="120"/>
      <c r="J108" s="120"/>
    </row>
    <row r="109" spans="1:10" s="97" customFormat="1" ht="16.149999999999999" customHeight="1" x14ac:dyDescent="0.25">
      <c r="A109" s="132"/>
      <c r="B109" s="132" t="s">
        <v>70</v>
      </c>
      <c r="C109" s="132"/>
      <c r="D109" s="132"/>
      <c r="E109" s="132"/>
      <c r="F109" s="132"/>
      <c r="G109" s="132"/>
      <c r="H109" s="132"/>
      <c r="I109" s="132"/>
      <c r="J109" s="132"/>
    </row>
    <row r="110" spans="1:10" s="96" customFormat="1" ht="16.149999999999999" customHeight="1" x14ac:dyDescent="0.25">
      <c r="A110" s="120"/>
      <c r="B110" s="120" t="s">
        <v>329</v>
      </c>
      <c r="C110" s="120"/>
      <c r="D110" s="120"/>
      <c r="E110" s="120"/>
      <c r="F110" s="120"/>
      <c r="G110" s="120"/>
      <c r="H110" s="120"/>
      <c r="I110" s="120"/>
      <c r="J110" s="120"/>
    </row>
    <row r="111" spans="1:10" s="97" customFormat="1" ht="16.149999999999999" customHeight="1" x14ac:dyDescent="0.25">
      <c r="A111" s="132"/>
      <c r="B111" s="151" t="s">
        <v>334</v>
      </c>
      <c r="C111" s="132"/>
      <c r="D111" s="132"/>
      <c r="E111" s="170"/>
      <c r="F111" s="132"/>
      <c r="G111" s="132"/>
      <c r="H111" s="132"/>
      <c r="I111" s="132"/>
      <c r="J111" s="132"/>
    </row>
    <row r="112" spans="1:10" s="94" customFormat="1" ht="16.149999999999999" customHeight="1" x14ac:dyDescent="0.25">
      <c r="A112" s="129"/>
      <c r="B112" s="120" t="s">
        <v>335</v>
      </c>
      <c r="C112" s="129"/>
      <c r="D112" s="129"/>
      <c r="E112" s="120"/>
      <c r="F112" s="129"/>
      <c r="G112" s="129"/>
      <c r="H112" s="129"/>
      <c r="I112" s="129"/>
      <c r="J112" s="129"/>
    </row>
    <row r="113" spans="1:10" s="170" customFormat="1" ht="16.149999999999999" customHeight="1" x14ac:dyDescent="0.25">
      <c r="A113" s="139" t="s">
        <v>71</v>
      </c>
      <c r="B113" s="139" t="s">
        <v>72</v>
      </c>
      <c r="C113" s="132"/>
      <c r="D113" s="132"/>
      <c r="E113" s="132"/>
      <c r="F113" s="132"/>
      <c r="G113" s="132"/>
      <c r="H113" s="132"/>
      <c r="I113" s="132"/>
      <c r="J113" s="132"/>
    </row>
    <row r="114" spans="1:10" s="128" customFormat="1" ht="16.149999999999999" customHeight="1" x14ac:dyDescent="0.25">
      <c r="A114" s="126" t="s">
        <v>73</v>
      </c>
      <c r="B114" s="126" t="s">
        <v>74</v>
      </c>
      <c r="C114" s="126"/>
      <c r="D114" s="126"/>
      <c r="E114" s="126"/>
      <c r="F114" s="126"/>
      <c r="G114" s="126"/>
      <c r="H114" s="126"/>
      <c r="I114" s="126"/>
      <c r="J114" s="126"/>
    </row>
    <row r="115" spans="1:10" s="171" customFormat="1" ht="16.149999999999999" customHeight="1" x14ac:dyDescent="0.25">
      <c r="A115" s="139" t="s">
        <v>402</v>
      </c>
      <c r="B115" s="139"/>
      <c r="C115" s="139"/>
      <c r="D115" s="139"/>
      <c r="E115" s="139"/>
      <c r="F115" s="139"/>
      <c r="G115" s="139"/>
      <c r="H115" s="139"/>
      <c r="I115" s="139"/>
      <c r="J115" s="139"/>
    </row>
    <row r="116" spans="1:10" s="97" customFormat="1" ht="16.149999999999999" customHeight="1" x14ac:dyDescent="0.25">
      <c r="A116" s="132"/>
      <c r="B116" s="132" t="s">
        <v>331</v>
      </c>
      <c r="C116" s="132"/>
      <c r="D116" s="132"/>
      <c r="E116" s="132"/>
      <c r="F116" s="132"/>
      <c r="G116" s="132"/>
      <c r="H116" s="132"/>
      <c r="I116" s="132"/>
      <c r="J116" s="132"/>
    </row>
    <row r="117" spans="1:10" s="96" customFormat="1" ht="16.149999999999999" customHeight="1" x14ac:dyDescent="0.25">
      <c r="A117" s="120"/>
      <c r="B117" s="120" t="s">
        <v>340</v>
      </c>
      <c r="C117" s="120"/>
      <c r="D117" s="120"/>
      <c r="E117" s="120"/>
      <c r="F117" s="120"/>
      <c r="G117" s="120"/>
      <c r="H117" s="120"/>
      <c r="I117" s="120"/>
      <c r="J117" s="120"/>
    </row>
    <row r="118" spans="1:10" s="158" customFormat="1" ht="16.149999999999999" customHeight="1" x14ac:dyDescent="0.25">
      <c r="A118" s="139" t="s">
        <v>403</v>
      </c>
      <c r="B118" s="139"/>
      <c r="C118" s="139"/>
      <c r="D118" s="139"/>
      <c r="E118" s="139"/>
      <c r="F118" s="139"/>
      <c r="G118" s="139"/>
      <c r="H118" s="139"/>
      <c r="I118" s="139"/>
      <c r="J118" s="139"/>
    </row>
    <row r="119" spans="1:10" s="97" customFormat="1" ht="16.149999999999999" customHeight="1" x14ac:dyDescent="0.25">
      <c r="A119" s="132"/>
      <c r="B119" s="132" t="s">
        <v>203</v>
      </c>
      <c r="C119" s="132"/>
      <c r="D119" s="132"/>
      <c r="E119" s="132"/>
      <c r="F119" s="132"/>
      <c r="G119" s="132"/>
      <c r="H119" s="132"/>
      <c r="I119" s="132"/>
      <c r="J119" s="132"/>
    </row>
    <row r="120" spans="1:10" s="96" customFormat="1" ht="16.149999999999999" customHeight="1" x14ac:dyDescent="0.25">
      <c r="A120" s="120"/>
      <c r="B120" s="120" t="s">
        <v>341</v>
      </c>
      <c r="C120" s="120"/>
      <c r="D120" s="120"/>
      <c r="E120" s="120"/>
      <c r="F120" s="120"/>
      <c r="G120" s="120"/>
      <c r="H120" s="120"/>
      <c r="I120" s="120"/>
      <c r="J120" s="120"/>
    </row>
    <row r="121" spans="1:10" s="97" customFormat="1" ht="16.149999999999999" customHeight="1" x14ac:dyDescent="0.25">
      <c r="A121" s="132"/>
      <c r="B121" s="132" t="s">
        <v>75</v>
      </c>
      <c r="C121" s="132"/>
      <c r="D121" s="132"/>
      <c r="E121" s="132"/>
      <c r="F121" s="132"/>
      <c r="G121" s="132"/>
      <c r="H121" s="132"/>
      <c r="I121" s="132"/>
      <c r="J121" s="132"/>
    </row>
    <row r="122" spans="1:10" s="97" customFormat="1" ht="16.149999999999999" customHeight="1" x14ac:dyDescent="0.25">
      <c r="A122" s="132"/>
      <c r="B122" s="132" t="s">
        <v>76</v>
      </c>
      <c r="C122" s="132"/>
      <c r="D122" s="132"/>
      <c r="E122" s="132"/>
      <c r="F122" s="132"/>
      <c r="G122" s="132"/>
      <c r="H122" s="132"/>
      <c r="I122" s="132"/>
      <c r="J122" s="132"/>
    </row>
    <row r="123" spans="1:10" s="94" customFormat="1" ht="16.149999999999999" customHeight="1" x14ac:dyDescent="0.25">
      <c r="A123" s="129"/>
      <c r="B123" s="120" t="s">
        <v>348</v>
      </c>
      <c r="C123" s="129"/>
      <c r="D123" s="129"/>
      <c r="E123" s="129"/>
      <c r="F123" s="129"/>
      <c r="G123" s="129"/>
      <c r="H123" s="129"/>
      <c r="I123" s="129"/>
      <c r="J123" s="129"/>
    </row>
    <row r="124" spans="1:10" s="96" customFormat="1" ht="16.149999999999999" customHeight="1" x14ac:dyDescent="0.25">
      <c r="A124" s="120"/>
      <c r="B124" s="120" t="s">
        <v>346</v>
      </c>
      <c r="C124" s="120"/>
      <c r="D124" s="120"/>
      <c r="E124" s="120"/>
      <c r="F124" s="120"/>
      <c r="G124" s="120"/>
      <c r="H124" s="120"/>
      <c r="I124" s="120"/>
      <c r="J124" s="120"/>
    </row>
    <row r="125" spans="1:10" s="97" customFormat="1" ht="16.149999999999999" customHeight="1" x14ac:dyDescent="0.25">
      <c r="A125" s="139" t="s">
        <v>77</v>
      </c>
      <c r="B125" s="139" t="s">
        <v>78</v>
      </c>
      <c r="C125" s="132"/>
      <c r="D125" s="132"/>
      <c r="E125" s="132"/>
      <c r="F125" s="132"/>
      <c r="G125" s="132"/>
      <c r="H125" s="132"/>
      <c r="I125" s="132"/>
      <c r="J125" s="132"/>
    </row>
    <row r="126" spans="1:10" s="166" customFormat="1" ht="16.149999999999999" customHeight="1" x14ac:dyDescent="0.25">
      <c r="A126" s="165" t="s">
        <v>79</v>
      </c>
      <c r="B126" s="165" t="s">
        <v>347</v>
      </c>
      <c r="C126" s="165"/>
      <c r="D126" s="165"/>
      <c r="E126" s="165"/>
      <c r="F126" s="165"/>
      <c r="G126" s="165"/>
      <c r="H126" s="165"/>
      <c r="I126" s="165"/>
      <c r="J126" s="165"/>
    </row>
    <row r="127" spans="1:10" s="83" customFormat="1" ht="16.149999999999999" customHeight="1" x14ac:dyDescent="0.25">
      <c r="A127" s="132"/>
      <c r="B127" s="132" t="s">
        <v>80</v>
      </c>
      <c r="C127" s="132"/>
      <c r="D127" s="132"/>
      <c r="E127" s="132"/>
      <c r="F127" s="132"/>
      <c r="G127" s="132"/>
      <c r="H127" s="132"/>
      <c r="I127" s="132"/>
      <c r="J127" s="132"/>
    </row>
    <row r="128" spans="1:10" s="83" customFormat="1" ht="16.149999999999999" customHeight="1" x14ac:dyDescent="0.25">
      <c r="A128" s="132"/>
      <c r="B128" s="132" t="s">
        <v>81</v>
      </c>
      <c r="C128" s="132"/>
      <c r="D128" s="132"/>
      <c r="E128" s="132"/>
      <c r="F128" s="132"/>
      <c r="G128" s="132"/>
      <c r="H128" s="132"/>
      <c r="I128" s="132"/>
      <c r="J128" s="132"/>
    </row>
    <row r="129" spans="1:11" s="138" customFormat="1" ht="16.149999999999999" customHeight="1" x14ac:dyDescent="0.25">
      <c r="A129" s="120"/>
      <c r="B129" s="120" t="s">
        <v>349</v>
      </c>
      <c r="C129" s="120"/>
      <c r="D129" s="120"/>
      <c r="E129" s="120"/>
      <c r="F129" s="120"/>
      <c r="G129" s="120"/>
      <c r="H129" s="120"/>
      <c r="I129" s="120"/>
      <c r="J129" s="120"/>
    </row>
    <row r="130" spans="1:11" s="138" customFormat="1" ht="16.149999999999999" customHeight="1" x14ac:dyDescent="0.25">
      <c r="A130" s="120"/>
      <c r="B130" s="120" t="s">
        <v>350</v>
      </c>
      <c r="C130" s="120"/>
      <c r="D130" s="120"/>
      <c r="E130" s="120"/>
      <c r="F130" s="120"/>
      <c r="G130" s="120"/>
      <c r="H130" s="120"/>
      <c r="I130" s="120"/>
      <c r="J130" s="120"/>
    </row>
    <row r="131" spans="1:11" s="83" customFormat="1" ht="16.149999999999999" customHeight="1" x14ac:dyDescent="0.25">
      <c r="A131" s="132"/>
      <c r="B131" s="151" t="s">
        <v>351</v>
      </c>
      <c r="C131" s="132"/>
      <c r="D131" s="132"/>
      <c r="E131" s="132"/>
      <c r="F131" s="132"/>
      <c r="G131" s="132"/>
      <c r="H131" s="132"/>
      <c r="I131" s="132"/>
      <c r="J131" s="132"/>
    </row>
    <row r="132" spans="1:11" s="83" customFormat="1" ht="16.149999999999999" customHeight="1" x14ac:dyDescent="0.25">
      <c r="A132" s="132"/>
      <c r="B132" s="132" t="s">
        <v>352</v>
      </c>
      <c r="C132" s="132"/>
      <c r="D132" s="132"/>
      <c r="E132" s="132"/>
      <c r="F132" s="132"/>
      <c r="G132" s="132"/>
      <c r="H132" s="132"/>
      <c r="I132" s="132"/>
      <c r="J132" s="132"/>
    </row>
    <row r="133" spans="1:11" s="83" customFormat="1" ht="16.149999999999999" customHeight="1" x14ac:dyDescent="0.25">
      <c r="A133" s="132"/>
      <c r="B133" s="132" t="s">
        <v>353</v>
      </c>
      <c r="C133" s="132"/>
      <c r="D133" s="132"/>
      <c r="E133" s="132"/>
      <c r="F133" s="132"/>
      <c r="G133" s="132"/>
      <c r="H133" s="132"/>
      <c r="I133" s="132"/>
      <c r="J133" s="132"/>
    </row>
    <row r="134" spans="1:11" s="138" customFormat="1" ht="16.149999999999999" customHeight="1" x14ac:dyDescent="0.25">
      <c r="A134" s="120"/>
      <c r="B134" s="120" t="s">
        <v>375</v>
      </c>
      <c r="C134" s="120"/>
      <c r="D134" s="120"/>
      <c r="E134" s="120"/>
      <c r="F134" s="120"/>
      <c r="G134" s="120"/>
      <c r="H134" s="120"/>
      <c r="I134" s="120"/>
      <c r="J134" s="120"/>
    </row>
    <row r="135" spans="1:11" s="138" customFormat="1" ht="16.149999999999999" customHeight="1" x14ac:dyDescent="0.25">
      <c r="A135" s="120"/>
      <c r="B135" s="120" t="s">
        <v>354</v>
      </c>
      <c r="C135" s="120"/>
      <c r="D135" s="120"/>
      <c r="E135" s="120"/>
      <c r="F135" s="120"/>
      <c r="G135" s="120"/>
      <c r="H135" s="120"/>
      <c r="I135" s="120"/>
      <c r="J135" s="120"/>
    </row>
    <row r="136" spans="1:11" s="83" customFormat="1" ht="16.149999999999999" customHeight="1" x14ac:dyDescent="0.25">
      <c r="A136" s="132"/>
      <c r="B136" s="132" t="s">
        <v>404</v>
      </c>
      <c r="C136" s="132"/>
      <c r="D136" s="132"/>
      <c r="E136" s="132"/>
      <c r="F136" s="132"/>
      <c r="G136" s="132"/>
      <c r="H136" s="132"/>
      <c r="I136" s="132"/>
      <c r="J136" s="132"/>
    </row>
    <row r="137" spans="1:11" s="134" customFormat="1" ht="16.149999999999999" customHeight="1" x14ac:dyDescent="0.25">
      <c r="A137" s="129"/>
      <c r="B137" s="120" t="s">
        <v>374</v>
      </c>
      <c r="C137" s="129"/>
      <c r="D137" s="129"/>
      <c r="E137" s="129"/>
      <c r="F137" s="129"/>
      <c r="G137" s="129"/>
      <c r="H137" s="129"/>
      <c r="I137" s="129"/>
      <c r="J137" s="129"/>
    </row>
    <row r="138" spans="1:11" s="94" customFormat="1" ht="16.5" customHeight="1" x14ac:dyDescent="0.25">
      <c r="A138" s="118"/>
      <c r="B138" s="118"/>
      <c r="C138" s="118"/>
      <c r="D138" s="118"/>
      <c r="E138" s="118"/>
      <c r="F138" s="211"/>
      <c r="G138" s="211"/>
      <c r="H138" s="211"/>
      <c r="I138" s="211"/>
      <c r="J138" s="211"/>
    </row>
    <row r="139" spans="1:11" s="94" customFormat="1" ht="15" customHeight="1" x14ac:dyDescent="0.25">
      <c r="A139" s="211" t="s">
        <v>82</v>
      </c>
      <c r="B139" s="211"/>
      <c r="C139" s="211"/>
      <c r="D139" s="211"/>
      <c r="E139" s="118"/>
      <c r="F139" s="211" t="s">
        <v>298</v>
      </c>
      <c r="G139" s="211"/>
      <c r="H139" s="211"/>
      <c r="I139" s="211"/>
      <c r="J139" s="211"/>
    </row>
    <row r="140" spans="1:11" s="94" customFormat="1" ht="15" customHeight="1" x14ac:dyDescent="0.25">
      <c r="A140" s="205" t="s">
        <v>83</v>
      </c>
      <c r="B140" s="205"/>
      <c r="C140" s="205"/>
      <c r="D140" s="205"/>
      <c r="E140" s="118"/>
      <c r="F140" s="205" t="s">
        <v>355</v>
      </c>
      <c r="G140" s="205"/>
      <c r="H140" s="205"/>
      <c r="I140" s="205"/>
      <c r="J140" s="205"/>
    </row>
    <row r="141" spans="1:11" s="94" customFormat="1" ht="18.75" customHeight="1" x14ac:dyDescent="0.25">
      <c r="A141" s="118"/>
      <c r="B141" s="123"/>
      <c r="C141" s="123"/>
      <c r="D141" s="118"/>
      <c r="E141" s="118"/>
      <c r="F141" s="123"/>
      <c r="G141" s="123"/>
      <c r="H141" s="123"/>
      <c r="I141" s="123"/>
      <c r="J141" s="123"/>
    </row>
    <row r="142" spans="1:11" s="94" customFormat="1" ht="35.450000000000003" customHeight="1" x14ac:dyDescent="0.25">
      <c r="A142" s="118"/>
      <c r="B142" s="123"/>
      <c r="C142" s="123"/>
      <c r="D142" s="118"/>
      <c r="E142" s="118"/>
      <c r="F142" s="123"/>
      <c r="G142" s="123"/>
      <c r="H142" s="123"/>
      <c r="I142" s="123"/>
      <c r="J142" s="123"/>
    </row>
    <row r="143" spans="1:11" s="94" customFormat="1" ht="18.75" customHeight="1" x14ac:dyDescent="0.25">
      <c r="A143" s="118"/>
      <c r="B143" s="123"/>
      <c r="C143" s="123"/>
      <c r="D143" s="118"/>
      <c r="E143" s="118"/>
      <c r="F143" s="123"/>
      <c r="G143" s="123"/>
      <c r="H143" s="123"/>
      <c r="I143" s="123"/>
      <c r="J143" s="123"/>
    </row>
    <row r="144" spans="1:11" s="30" customFormat="1" ht="15" customHeight="1" x14ac:dyDescent="0.25">
      <c r="A144" s="209" t="s">
        <v>272</v>
      </c>
      <c r="B144" s="209"/>
      <c r="C144" s="209"/>
      <c r="D144" s="209"/>
      <c r="E144" s="118"/>
      <c r="F144" s="210" t="s">
        <v>356</v>
      </c>
      <c r="G144" s="210"/>
      <c r="H144" s="210"/>
      <c r="I144" s="210"/>
      <c r="J144" s="210"/>
      <c r="K144" s="94"/>
    </row>
    <row r="145" spans="1:11" x14ac:dyDescent="0.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5"/>
    </row>
    <row r="146" spans="1:11" x14ac:dyDescent="0.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5"/>
    </row>
    <row r="147" spans="1:11" x14ac:dyDescent="0.2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5"/>
    </row>
    <row r="148" spans="1:11" x14ac:dyDescent="0.2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5"/>
    </row>
  </sheetData>
  <mergeCells count="52">
    <mergeCell ref="F1:J1"/>
    <mergeCell ref="F2:J2"/>
    <mergeCell ref="A3:E3"/>
    <mergeCell ref="F3:J3"/>
    <mergeCell ref="F4:J4"/>
    <mergeCell ref="B2:E2"/>
    <mergeCell ref="D31:J31"/>
    <mergeCell ref="D19:J19"/>
    <mergeCell ref="B5:C5"/>
    <mergeCell ref="F5:J6"/>
    <mergeCell ref="A8:J8"/>
    <mergeCell ref="A9:J9"/>
    <mergeCell ref="A10:J10"/>
    <mergeCell ref="A11:J11"/>
    <mergeCell ref="A12:J12"/>
    <mergeCell ref="D25:G25"/>
    <mergeCell ref="D27:F27"/>
    <mergeCell ref="D28:E28"/>
    <mergeCell ref="D29:F29"/>
    <mergeCell ref="G73:H73"/>
    <mergeCell ref="G74:H74"/>
    <mergeCell ref="F33:G33"/>
    <mergeCell ref="G41:J41"/>
    <mergeCell ref="D42:E42"/>
    <mergeCell ref="G42:H42"/>
    <mergeCell ref="D44:E44"/>
    <mergeCell ref="G44:H44"/>
    <mergeCell ref="E50:J50"/>
    <mergeCell ref="G45:H45"/>
    <mergeCell ref="G70:H70"/>
    <mergeCell ref="G72:H72"/>
    <mergeCell ref="H48:J48"/>
    <mergeCell ref="B69:F69"/>
    <mergeCell ref="G69:J69"/>
    <mergeCell ref="D48:E48"/>
    <mergeCell ref="A144:D144"/>
    <mergeCell ref="F144:J144"/>
    <mergeCell ref="G80:H80"/>
    <mergeCell ref="G81:H81"/>
    <mergeCell ref="F138:J138"/>
    <mergeCell ref="A139:D139"/>
    <mergeCell ref="E95:J95"/>
    <mergeCell ref="B94:E94"/>
    <mergeCell ref="F139:J139"/>
    <mergeCell ref="A140:D140"/>
    <mergeCell ref="F140:J140"/>
    <mergeCell ref="G82:J82"/>
    <mergeCell ref="G75:H75"/>
    <mergeCell ref="G76:H76"/>
    <mergeCell ref="G77:H77"/>
    <mergeCell ref="G78:H78"/>
    <mergeCell ref="G79:H79"/>
  </mergeCells>
  <conditionalFormatting sqref="B4">
    <cfRule type="expression" dxfId="1" priority="1" stopIfTrue="1">
      <formula>AND(COUNTIF($B$4:$B$4,B4)&gt;1,NOT(ISBLANK(B4)))</formula>
    </cfRule>
  </conditionalFormatting>
  <dataValidations count="1">
    <dataValidation type="list" allowBlank="1" showInputMessage="1" showErrorMessage="1" sqref="B4" xr:uid="{00000000-0002-0000-0000-000000000000}">
      <formula1>B</formula1>
    </dataValidation>
  </dataValidations>
  <pageMargins left="0" right="0" top="0" bottom="0" header="0" footer="0"/>
  <pageSetup paperSize="9" scale="90" orientation="portrait" r:id="rId1"/>
  <headerFooter scaleWithDoc="0" alignWithMargins="0">
    <oddFooter>&amp;CPage &amp;P of &amp;N</oddFooter>
  </headerFooter>
  <rowBreaks count="1" manualBreakCount="1">
    <brk id="144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37"/>
  <sheetViews>
    <sheetView tabSelected="1" topLeftCell="A106" zoomScaleNormal="100" workbookViewId="0">
      <selection activeCell="M111" sqref="M111:M112"/>
    </sheetView>
  </sheetViews>
  <sheetFormatPr defaultColWidth="9.140625" defaultRowHeight="13.5" x14ac:dyDescent="0.2"/>
  <cols>
    <col min="1" max="1" width="4" style="59" customWidth="1"/>
    <col min="2" max="2" width="8.28515625" style="58" customWidth="1"/>
    <col min="3" max="3" width="10.140625" style="58" customWidth="1"/>
    <col min="4" max="4" width="7" style="58" customWidth="1"/>
    <col min="5" max="5" width="16.28515625" style="58" customWidth="1"/>
    <col min="6" max="6" width="11.5703125" style="58" customWidth="1"/>
    <col min="7" max="7" width="10.5703125" style="58" customWidth="1"/>
    <col min="8" max="8" width="9.28515625" style="58" customWidth="1"/>
    <col min="9" max="9" width="13.140625" style="58" customWidth="1"/>
    <col min="10" max="10" width="3" style="58" customWidth="1"/>
    <col min="11" max="11" width="24.85546875" style="58" customWidth="1"/>
    <col min="12" max="16384" width="9.140625" style="115"/>
  </cols>
  <sheetData>
    <row r="1" spans="1:11" s="94" customFormat="1" ht="16.149999999999999" customHeight="1" collapsed="1" x14ac:dyDescent="0.25">
      <c r="A1" s="30"/>
      <c r="B1" s="203" t="s">
        <v>437</v>
      </c>
      <c r="C1" s="117"/>
      <c r="D1" s="129"/>
      <c r="E1" s="129"/>
      <c r="F1" s="129"/>
      <c r="G1" s="234" t="s">
        <v>0</v>
      </c>
      <c r="H1" s="234"/>
      <c r="I1" s="234"/>
      <c r="J1" s="234"/>
      <c r="K1" s="234"/>
    </row>
    <row r="2" spans="1:11" s="94" customFormat="1" ht="31.9" customHeight="1" x14ac:dyDescent="0.25">
      <c r="A2" s="30"/>
      <c r="B2" s="161" t="s">
        <v>201</v>
      </c>
      <c r="C2" s="238" t="s">
        <v>444</v>
      </c>
      <c r="D2" s="238"/>
      <c r="E2" s="238"/>
      <c r="F2" s="238"/>
      <c r="G2" s="235" t="s">
        <v>15</v>
      </c>
      <c r="H2" s="235"/>
      <c r="I2" s="235"/>
      <c r="J2" s="235"/>
      <c r="K2" s="235"/>
    </row>
    <row r="3" spans="1:11" s="94" customFormat="1" ht="16.149999999999999" customHeight="1" x14ac:dyDescent="0.25">
      <c r="A3" s="30"/>
      <c r="B3" s="236" t="s">
        <v>455</v>
      </c>
      <c r="C3" s="236"/>
      <c r="D3" s="236"/>
      <c r="E3" s="236"/>
      <c r="F3" s="236"/>
      <c r="G3" s="224" t="s">
        <v>17</v>
      </c>
      <c r="H3" s="224"/>
      <c r="I3" s="224"/>
      <c r="J3" s="224"/>
      <c r="K3" s="224"/>
    </row>
    <row r="4" spans="1:11" s="94" customFormat="1" ht="16.149999999999999" customHeight="1" x14ac:dyDescent="0.25">
      <c r="A4" s="30"/>
      <c r="B4" s="200" t="s">
        <v>362</v>
      </c>
      <c r="C4" s="228" t="s">
        <v>422</v>
      </c>
      <c r="D4" s="228"/>
      <c r="E4" s="163" t="s">
        <v>419</v>
      </c>
      <c r="F4" s="200"/>
      <c r="G4" s="196"/>
      <c r="H4" s="237" t="s">
        <v>18</v>
      </c>
      <c r="I4" s="237"/>
      <c r="J4" s="237"/>
      <c r="K4" s="237"/>
    </row>
    <row r="5" spans="1:11" s="94" customFormat="1" ht="16.149999999999999" customHeight="1" x14ac:dyDescent="0.25">
      <c r="A5" s="30"/>
      <c r="B5" s="162" t="s">
        <v>202</v>
      </c>
      <c r="C5" s="228" t="s">
        <v>428</v>
      </c>
      <c r="D5" s="228"/>
      <c r="E5" s="193" t="s">
        <v>421</v>
      </c>
      <c r="F5" s="200"/>
      <c r="G5" s="191"/>
      <c r="H5" s="191"/>
      <c r="I5" s="191"/>
      <c r="J5" s="191"/>
      <c r="K5" s="191"/>
    </row>
    <row r="6" spans="1:11" s="94" customFormat="1" ht="16.149999999999999" customHeight="1" x14ac:dyDescent="0.25">
      <c r="A6" s="30"/>
      <c r="B6" s="129"/>
      <c r="C6" s="129"/>
      <c r="D6" s="129"/>
      <c r="E6" s="129"/>
      <c r="F6" s="129"/>
      <c r="G6" s="191"/>
      <c r="H6" s="30"/>
      <c r="I6" s="248" t="s">
        <v>433</v>
      </c>
      <c r="J6" s="248"/>
      <c r="K6" s="250">
        <v>42469</v>
      </c>
    </row>
    <row r="7" spans="1:11" s="94" customFormat="1" ht="13.9" customHeight="1" x14ac:dyDescent="0.25">
      <c r="A7" s="30"/>
      <c r="B7" s="129"/>
      <c r="C7" s="129"/>
      <c r="D7" s="129"/>
      <c r="E7" s="129"/>
      <c r="F7" s="129"/>
      <c r="G7" s="130"/>
      <c r="H7" s="30"/>
      <c r="I7" s="249" t="s">
        <v>434</v>
      </c>
      <c r="J7" s="249"/>
      <c r="K7" s="250"/>
    </row>
    <row r="8" spans="1:11" s="94" customFormat="1" ht="27" customHeight="1" x14ac:dyDescent="0.25">
      <c r="B8" s="230" t="s">
        <v>107</v>
      </c>
      <c r="C8" s="230"/>
      <c r="D8" s="230"/>
      <c r="E8" s="230"/>
      <c r="F8" s="230"/>
      <c r="G8" s="230"/>
      <c r="H8" s="230"/>
      <c r="I8" s="230"/>
      <c r="J8" s="230"/>
      <c r="K8" s="230"/>
    </row>
    <row r="9" spans="1:11" s="94" customFormat="1" ht="15" customHeight="1" x14ac:dyDescent="0.35">
      <c r="B9" s="241" t="s">
        <v>435</v>
      </c>
      <c r="C9" s="241"/>
      <c r="D9" s="241"/>
      <c r="E9" s="241"/>
      <c r="F9" s="241"/>
      <c r="G9" s="241"/>
      <c r="H9" s="241"/>
      <c r="I9" s="241"/>
      <c r="J9" s="241"/>
      <c r="K9" s="241"/>
    </row>
    <row r="10" spans="1:11" s="97" customFormat="1" ht="16.149999999999999" customHeight="1" x14ac:dyDescent="0.25">
      <c r="B10" s="232" t="s">
        <v>86</v>
      </c>
      <c r="C10" s="232"/>
      <c r="D10" s="232"/>
      <c r="E10" s="232"/>
      <c r="F10" s="232"/>
      <c r="G10" s="232"/>
      <c r="H10" s="232"/>
      <c r="I10" s="232"/>
      <c r="J10" s="232"/>
      <c r="K10" s="232"/>
    </row>
    <row r="11" spans="1:11" s="95" customFormat="1" ht="16.149999999999999" customHeight="1" x14ac:dyDescent="0.25">
      <c r="B11" s="233" t="s">
        <v>359</v>
      </c>
      <c r="C11" s="233"/>
      <c r="D11" s="233"/>
      <c r="E11" s="233"/>
      <c r="F11" s="233"/>
      <c r="G11" s="233"/>
      <c r="H11" s="233"/>
      <c r="I11" s="233"/>
      <c r="J11" s="233"/>
      <c r="K11" s="233"/>
    </row>
    <row r="12" spans="1:11" s="95" customFormat="1" ht="16.149999999999999" customHeight="1" x14ac:dyDescent="0.2">
      <c r="B12" s="196"/>
      <c r="C12" s="196"/>
      <c r="D12" s="196"/>
      <c r="E12" s="196"/>
      <c r="F12" s="196"/>
      <c r="G12" s="196"/>
      <c r="H12" s="196"/>
      <c r="I12" s="196"/>
      <c r="J12" s="196"/>
      <c r="K12" s="196"/>
    </row>
    <row r="13" spans="1:11" s="97" customFormat="1" ht="16.149999999999999" customHeight="1" x14ac:dyDescent="0.25">
      <c r="B13" s="201" t="s">
        <v>22</v>
      </c>
      <c r="C13" s="200"/>
      <c r="D13" s="200" t="s">
        <v>23</v>
      </c>
      <c r="E13" s="173" t="s">
        <v>442</v>
      </c>
      <c r="F13" s="200"/>
      <c r="G13" s="200"/>
      <c r="H13" s="200"/>
      <c r="I13" s="200" t="s">
        <v>24</v>
      </c>
      <c r="J13" s="200" t="s">
        <v>23</v>
      </c>
      <c r="K13" s="173" t="s">
        <v>25</v>
      </c>
    </row>
    <row r="14" spans="1:11" s="94" customFormat="1" ht="16.149999999999999" customHeight="1" x14ac:dyDescent="0.25">
      <c r="B14" s="197" t="s">
        <v>26</v>
      </c>
      <c r="C14" s="129"/>
      <c r="D14" s="129"/>
      <c r="E14" s="129"/>
      <c r="F14" s="129"/>
      <c r="G14" s="129"/>
      <c r="H14" s="129"/>
      <c r="I14" s="197" t="s">
        <v>27</v>
      </c>
      <c r="J14" s="129"/>
      <c r="K14" s="197" t="s">
        <v>199</v>
      </c>
    </row>
    <row r="15" spans="1:11" s="97" customFormat="1" ht="16.149999999999999" customHeight="1" x14ac:dyDescent="0.25">
      <c r="B15" s="200" t="s">
        <v>41</v>
      </c>
      <c r="C15" s="200"/>
      <c r="D15" s="200"/>
      <c r="E15" s="174">
        <v>29349</v>
      </c>
      <c r="F15" s="200"/>
      <c r="G15" s="200"/>
      <c r="H15" s="200"/>
      <c r="I15" s="140" t="s">
        <v>167</v>
      </c>
      <c r="J15" s="200" t="s">
        <v>23</v>
      </c>
      <c r="K15" s="173" t="s">
        <v>441</v>
      </c>
    </row>
    <row r="16" spans="1:11" s="94" customFormat="1" ht="16.149999999999999" customHeight="1" x14ac:dyDescent="0.25">
      <c r="B16" s="197" t="s">
        <v>43</v>
      </c>
      <c r="C16" s="129"/>
      <c r="D16" s="129"/>
      <c r="E16" s="129"/>
      <c r="F16" s="129"/>
      <c r="G16" s="129"/>
      <c r="H16" s="129"/>
      <c r="I16" s="197" t="s">
        <v>281</v>
      </c>
      <c r="J16" s="129"/>
      <c r="K16" s="129"/>
    </row>
    <row r="17" spans="2:11" s="97" customFormat="1" ht="16.149999999999999" customHeight="1" x14ac:dyDescent="0.25">
      <c r="B17" s="200" t="s">
        <v>28</v>
      </c>
      <c r="C17" s="200"/>
      <c r="D17" s="200" t="s">
        <v>23</v>
      </c>
      <c r="E17" s="201" t="s">
        <v>363</v>
      </c>
      <c r="F17" s="200"/>
      <c r="G17" s="200"/>
      <c r="H17" s="200"/>
      <c r="I17" s="200"/>
      <c r="J17" s="200"/>
      <c r="K17" s="200"/>
    </row>
    <row r="18" spans="2:11" s="96" customFormat="1" ht="16.149999999999999" customHeight="1" x14ac:dyDescent="0.25">
      <c r="B18" s="197" t="s">
        <v>29</v>
      </c>
      <c r="C18" s="197"/>
      <c r="D18" s="197"/>
      <c r="E18" s="197" t="s">
        <v>280</v>
      </c>
      <c r="F18" s="197"/>
      <c r="G18" s="197"/>
      <c r="H18" s="197"/>
      <c r="I18" s="197"/>
      <c r="J18" s="197"/>
      <c r="K18" s="197"/>
    </row>
    <row r="19" spans="2:11" s="142" customFormat="1" ht="16.149999999999999" customHeight="1" x14ac:dyDescent="0.25">
      <c r="B19" s="140" t="s">
        <v>35</v>
      </c>
      <c r="C19" s="140"/>
      <c r="D19" s="178" t="s">
        <v>408</v>
      </c>
      <c r="E19" s="236" t="s">
        <v>443</v>
      </c>
      <c r="F19" s="236"/>
      <c r="G19" s="236"/>
      <c r="H19" s="236"/>
      <c r="I19" s="236"/>
      <c r="J19" s="236"/>
      <c r="K19" s="236"/>
    </row>
    <row r="20" spans="2:11" s="96" customFormat="1" ht="16.149999999999999" customHeight="1" x14ac:dyDescent="0.25">
      <c r="B20" s="197" t="s">
        <v>37</v>
      </c>
      <c r="C20" s="197"/>
      <c r="D20" s="179"/>
      <c r="E20" s="179"/>
      <c r="F20" s="179"/>
      <c r="G20" s="179"/>
      <c r="H20" s="179"/>
      <c r="I20" s="179"/>
      <c r="J20" s="179"/>
      <c r="K20" s="179"/>
    </row>
    <row r="21" spans="2:11" s="97" customFormat="1" ht="16.149999999999999" customHeight="1" x14ac:dyDescent="0.25">
      <c r="B21" s="200" t="s">
        <v>30</v>
      </c>
      <c r="C21" s="200"/>
      <c r="D21" s="200" t="s">
        <v>23</v>
      </c>
      <c r="E21" s="203" t="s">
        <v>437</v>
      </c>
      <c r="F21" s="200"/>
      <c r="G21" s="200"/>
      <c r="H21" s="200"/>
      <c r="I21" s="200" t="s">
        <v>283</v>
      </c>
      <c r="J21" s="200" t="s">
        <v>23</v>
      </c>
      <c r="K21" s="173" t="s">
        <v>440</v>
      </c>
    </row>
    <row r="22" spans="2:11" s="96" customFormat="1" ht="16.149999999999999" customHeight="1" x14ac:dyDescent="0.25">
      <c r="B22" s="197" t="s">
        <v>33</v>
      </c>
      <c r="C22" s="197"/>
      <c r="D22" s="197"/>
      <c r="E22" s="197"/>
      <c r="F22" s="197"/>
      <c r="G22" s="197"/>
      <c r="H22" s="197"/>
      <c r="I22" s="197" t="s">
        <v>34</v>
      </c>
      <c r="J22" s="197"/>
      <c r="K22" s="197"/>
    </row>
    <row r="23" spans="2:11" s="97" customFormat="1" ht="16.149999999999999" customHeight="1" x14ac:dyDescent="0.25">
      <c r="B23" s="200" t="s">
        <v>35</v>
      </c>
      <c r="C23" s="200"/>
      <c r="D23" s="200" t="s">
        <v>23</v>
      </c>
      <c r="E23" s="200" t="s">
        <v>444</v>
      </c>
      <c r="F23" s="200"/>
      <c r="G23" s="200"/>
      <c r="H23" s="200"/>
      <c r="I23" s="200"/>
      <c r="J23" s="200"/>
      <c r="K23" s="200"/>
    </row>
    <row r="24" spans="2:11" s="96" customFormat="1" ht="16.149999999999999" customHeight="1" x14ac:dyDescent="0.25">
      <c r="B24" s="197" t="s">
        <v>37</v>
      </c>
      <c r="C24" s="197"/>
      <c r="D24" s="197"/>
      <c r="E24" s="197"/>
      <c r="F24" s="197"/>
      <c r="G24" s="197"/>
      <c r="H24" s="197"/>
      <c r="I24" s="197"/>
      <c r="J24" s="197"/>
      <c r="K24" s="197"/>
    </row>
    <row r="25" spans="2:11" s="97" customFormat="1" ht="16.149999999999999" customHeight="1" x14ac:dyDescent="0.25">
      <c r="B25" s="201" t="s">
        <v>38</v>
      </c>
      <c r="C25" s="200"/>
      <c r="D25" s="200" t="s">
        <v>23</v>
      </c>
      <c r="E25" s="225" t="s">
        <v>423</v>
      </c>
      <c r="F25" s="225"/>
      <c r="G25" s="225"/>
      <c r="H25" s="225"/>
      <c r="I25" s="200" t="s">
        <v>39</v>
      </c>
      <c r="J25" s="200"/>
      <c r="K25" s="194" t="s">
        <v>364</v>
      </c>
    </row>
    <row r="26" spans="2:11" s="96" customFormat="1" ht="16.149999999999999" customHeight="1" x14ac:dyDescent="0.25">
      <c r="B26" s="197" t="s">
        <v>40</v>
      </c>
      <c r="C26" s="197"/>
      <c r="D26" s="197"/>
      <c r="E26" s="197"/>
      <c r="F26" s="197"/>
      <c r="G26" s="197"/>
      <c r="H26" s="197"/>
      <c r="I26" s="197" t="s">
        <v>27</v>
      </c>
      <c r="J26" s="197"/>
      <c r="K26" s="129"/>
    </row>
    <row r="27" spans="2:11" s="97" customFormat="1" ht="16.149999999999999" customHeight="1" x14ac:dyDescent="0.25">
      <c r="B27" s="200" t="s">
        <v>41</v>
      </c>
      <c r="C27" s="200"/>
      <c r="D27" s="200" t="s">
        <v>23</v>
      </c>
      <c r="E27" s="225">
        <v>33003</v>
      </c>
      <c r="F27" s="225"/>
      <c r="G27" s="225"/>
      <c r="H27" s="200"/>
      <c r="I27" s="200" t="s">
        <v>42</v>
      </c>
      <c r="J27" s="144"/>
      <c r="K27" s="145" t="s">
        <v>424</v>
      </c>
    </row>
    <row r="28" spans="2:11" s="96" customFormat="1" ht="16.149999999999999" customHeight="1" x14ac:dyDescent="0.25">
      <c r="B28" s="197" t="s">
        <v>43</v>
      </c>
      <c r="C28" s="197"/>
      <c r="D28" s="197"/>
      <c r="E28" s="226" t="s">
        <v>44</v>
      </c>
      <c r="F28" s="226"/>
      <c r="G28" s="197"/>
      <c r="H28" s="197"/>
      <c r="I28" s="197" t="s">
        <v>45</v>
      </c>
      <c r="J28" s="197"/>
      <c r="K28" s="197"/>
    </row>
    <row r="29" spans="2:11" s="97" customFormat="1" ht="16.149999999999999" customHeight="1" x14ac:dyDescent="0.25">
      <c r="B29" s="200" t="s">
        <v>46</v>
      </c>
      <c r="C29" s="200"/>
      <c r="D29" s="200" t="s">
        <v>23</v>
      </c>
      <c r="E29" s="219"/>
      <c r="F29" s="219"/>
      <c r="G29" s="219"/>
      <c r="H29" s="200"/>
      <c r="I29" s="200"/>
      <c r="J29" s="200"/>
      <c r="K29" s="200"/>
    </row>
    <row r="30" spans="2:11" s="96" customFormat="1" ht="16.149999999999999" customHeight="1" x14ac:dyDescent="0.25">
      <c r="B30" s="197" t="s">
        <v>47</v>
      </c>
      <c r="C30" s="197"/>
      <c r="D30" s="197"/>
      <c r="E30" s="197"/>
      <c r="F30" s="197"/>
      <c r="G30" s="197"/>
      <c r="H30" s="197"/>
      <c r="I30" s="197"/>
      <c r="J30" s="197"/>
      <c r="K30" s="197"/>
    </row>
    <row r="31" spans="2:11" s="97" customFormat="1" ht="16.149999999999999" customHeight="1" x14ac:dyDescent="0.25">
      <c r="B31" s="200" t="s">
        <v>48</v>
      </c>
      <c r="C31" s="200"/>
      <c r="D31" s="200" t="s">
        <v>23</v>
      </c>
      <c r="E31" s="225" t="s">
        <v>426</v>
      </c>
      <c r="F31" s="225"/>
      <c r="G31" s="225"/>
      <c r="H31" s="225"/>
      <c r="I31" s="225"/>
      <c r="J31" s="225"/>
      <c r="K31" s="225"/>
    </row>
    <row r="32" spans="2:11" s="96" customFormat="1" ht="16.149999999999999" customHeight="1" x14ac:dyDescent="0.25">
      <c r="B32" s="197" t="s">
        <v>49</v>
      </c>
      <c r="C32" s="197"/>
      <c r="D32" s="197"/>
      <c r="E32" s="197"/>
      <c r="F32" s="197"/>
      <c r="G32" s="197"/>
      <c r="H32" s="197"/>
      <c r="I32" s="197"/>
      <c r="J32" s="197"/>
      <c r="K32" s="197"/>
    </row>
    <row r="33" spans="2:11" s="97" customFormat="1" ht="16.149999999999999" customHeight="1" x14ac:dyDescent="0.25">
      <c r="B33" s="200" t="s">
        <v>50</v>
      </c>
      <c r="C33" s="200"/>
      <c r="D33" s="200" t="s">
        <v>23</v>
      </c>
      <c r="E33" s="147">
        <v>1899999</v>
      </c>
      <c r="F33" s="200" t="s">
        <v>300</v>
      </c>
      <c r="G33" s="220" t="s">
        <v>427</v>
      </c>
      <c r="H33" s="220"/>
      <c r="I33" s="200" t="s">
        <v>42</v>
      </c>
      <c r="J33" s="148"/>
      <c r="K33" s="149" t="s">
        <v>424</v>
      </c>
    </row>
    <row r="34" spans="2:11" s="96" customFormat="1" ht="16.149999999999999" customHeight="1" x14ac:dyDescent="0.25">
      <c r="B34" s="197" t="s">
        <v>51</v>
      </c>
      <c r="C34" s="197"/>
      <c r="D34" s="129"/>
      <c r="E34" s="164"/>
      <c r="F34" s="197" t="s">
        <v>52</v>
      </c>
      <c r="G34" s="197"/>
      <c r="H34" s="164"/>
      <c r="I34" s="197" t="s">
        <v>45</v>
      </c>
      <c r="J34" s="197"/>
      <c r="K34" s="197"/>
    </row>
    <row r="35" spans="2:11" s="142" customFormat="1" ht="16.149999999999999" customHeight="1" x14ac:dyDescent="0.25">
      <c r="B35" s="140" t="s">
        <v>299</v>
      </c>
      <c r="C35" s="140"/>
      <c r="D35" s="200" t="s">
        <v>302</v>
      </c>
      <c r="E35" s="180"/>
      <c r="F35" s="200" t="s">
        <v>300</v>
      </c>
      <c r="G35" s="140"/>
      <c r="H35" s="180"/>
      <c r="I35" s="200" t="s">
        <v>42</v>
      </c>
      <c r="J35" s="140"/>
      <c r="K35" s="140"/>
    </row>
    <row r="36" spans="2:11" s="96" customFormat="1" ht="16.149999999999999" customHeight="1" x14ac:dyDescent="0.25">
      <c r="B36" s="197" t="s">
        <v>301</v>
      </c>
      <c r="C36" s="197"/>
      <c r="D36" s="129"/>
      <c r="E36" s="164"/>
      <c r="F36" s="197" t="s">
        <v>52</v>
      </c>
      <c r="G36" s="197"/>
      <c r="H36" s="164"/>
      <c r="I36" s="197" t="s">
        <v>45</v>
      </c>
      <c r="J36" s="197"/>
      <c r="K36" s="197"/>
    </row>
    <row r="37" spans="2:11" s="97" customFormat="1" ht="16.149999999999999" customHeight="1" x14ac:dyDescent="0.25">
      <c r="B37" s="200" t="s">
        <v>200</v>
      </c>
      <c r="C37" s="200"/>
      <c r="D37" s="200"/>
      <c r="E37" s="200"/>
      <c r="F37" s="200"/>
      <c r="G37" s="200"/>
      <c r="H37" s="200"/>
      <c r="I37" s="200"/>
      <c r="J37" s="200"/>
      <c r="K37" s="200"/>
    </row>
    <row r="38" spans="2:11" s="96" customFormat="1" ht="16.149999999999999" customHeight="1" x14ac:dyDescent="0.25">
      <c r="B38" s="197" t="s">
        <v>338</v>
      </c>
      <c r="C38" s="197"/>
      <c r="D38" s="197"/>
      <c r="E38" s="197"/>
      <c r="F38" s="197"/>
      <c r="G38" s="197"/>
      <c r="H38" s="197"/>
      <c r="I38" s="197"/>
      <c r="J38" s="197"/>
      <c r="K38" s="197"/>
    </row>
    <row r="39" spans="2:11" s="97" customFormat="1" ht="16.149999999999999" customHeight="1" x14ac:dyDescent="0.25">
      <c r="B39" s="201" t="s">
        <v>8</v>
      </c>
      <c r="C39" s="201" t="s">
        <v>284</v>
      </c>
      <c r="D39" s="200"/>
      <c r="E39" s="200"/>
      <c r="F39" s="200"/>
      <c r="G39" s="200"/>
      <c r="H39" s="200"/>
      <c r="I39" s="200"/>
      <c r="J39" s="200"/>
      <c r="K39" s="200"/>
    </row>
    <row r="40" spans="2:11" s="166" customFormat="1" ht="16.149999999999999" customHeight="1" x14ac:dyDescent="0.25">
      <c r="B40" s="165" t="s">
        <v>53</v>
      </c>
      <c r="C40" s="165" t="s">
        <v>303</v>
      </c>
      <c r="D40" s="165"/>
      <c r="E40" s="165"/>
      <c r="F40" s="165"/>
      <c r="G40" s="165"/>
      <c r="H40" s="165"/>
      <c r="I40" s="165"/>
      <c r="J40" s="165"/>
      <c r="K40" s="165"/>
    </row>
    <row r="41" spans="2:11" s="97" customFormat="1" ht="16.149999999999999" customHeight="1" x14ac:dyDescent="0.25">
      <c r="B41" s="200"/>
      <c r="C41" s="151" t="s">
        <v>376</v>
      </c>
      <c r="D41" s="200"/>
      <c r="E41" s="200"/>
      <c r="F41" s="200"/>
      <c r="G41" s="198"/>
      <c r="H41" s="219" t="s">
        <v>438</v>
      </c>
      <c r="I41" s="219"/>
      <c r="J41" s="219"/>
      <c r="K41" s="219"/>
    </row>
    <row r="42" spans="2:11" s="97" customFormat="1" ht="16.149999999999999" customHeight="1" x14ac:dyDescent="0.25">
      <c r="B42" s="200"/>
      <c r="C42" s="200" t="s">
        <v>54</v>
      </c>
      <c r="D42" s="200"/>
      <c r="E42" s="220">
        <v>42469</v>
      </c>
      <c r="F42" s="220"/>
      <c r="G42" s="198" t="s">
        <v>55</v>
      </c>
      <c r="H42" s="218">
        <v>42833</v>
      </c>
      <c r="I42" s="218"/>
      <c r="J42" s="200"/>
      <c r="K42" s="200"/>
    </row>
    <row r="43" spans="2:11" s="96" customFormat="1" ht="16.149999999999999" customHeight="1" x14ac:dyDescent="0.25">
      <c r="B43" s="197"/>
      <c r="C43" s="197" t="s">
        <v>314</v>
      </c>
      <c r="D43" s="197"/>
      <c r="E43" s="197"/>
      <c r="F43" s="197"/>
      <c r="G43" s="199" t="s">
        <v>57</v>
      </c>
      <c r="H43" s="197"/>
      <c r="I43" s="197"/>
      <c r="J43" s="197"/>
      <c r="K43" s="197"/>
    </row>
    <row r="44" spans="2:11" s="97" customFormat="1" ht="16.149999999999999" customHeight="1" x14ac:dyDescent="0.25">
      <c r="B44" s="200"/>
      <c r="C44" s="200" t="s">
        <v>109</v>
      </c>
      <c r="D44" s="200"/>
      <c r="E44" s="251">
        <v>42072</v>
      </c>
      <c r="F44" s="251"/>
      <c r="G44" s="198" t="s">
        <v>55</v>
      </c>
      <c r="H44" s="202">
        <v>42102</v>
      </c>
      <c r="I44" s="202"/>
      <c r="J44" s="200"/>
      <c r="K44" s="200"/>
    </row>
    <row r="45" spans="2:11" s="96" customFormat="1" ht="16.149999999999999" customHeight="1" x14ac:dyDescent="0.25">
      <c r="B45" s="197"/>
      <c r="C45" s="197" t="s">
        <v>58</v>
      </c>
      <c r="D45" s="197"/>
      <c r="E45" s="197"/>
      <c r="F45" s="197"/>
      <c r="G45" s="199" t="s">
        <v>57</v>
      </c>
      <c r="H45" s="223"/>
      <c r="I45" s="223"/>
      <c r="J45" s="197"/>
      <c r="K45" s="197"/>
    </row>
    <row r="46" spans="2:11" s="97" customFormat="1" ht="16.149999999999999" customHeight="1" x14ac:dyDescent="0.25">
      <c r="B46" s="200"/>
      <c r="C46" s="236" t="s">
        <v>59</v>
      </c>
      <c r="D46" s="236"/>
      <c r="E46" s="236"/>
      <c r="F46" s="242" t="s">
        <v>437</v>
      </c>
      <c r="G46" s="242"/>
      <c r="H46" s="242"/>
      <c r="I46" s="242"/>
      <c r="J46" s="200"/>
      <c r="K46" s="200"/>
    </row>
    <row r="47" spans="2:11" s="94" customFormat="1" ht="16.149999999999999" customHeight="1" x14ac:dyDescent="0.25">
      <c r="B47" s="129"/>
      <c r="C47" s="199" t="s">
        <v>315</v>
      </c>
      <c r="D47" s="129"/>
      <c r="E47" s="129"/>
      <c r="F47" s="129"/>
      <c r="G47" s="129"/>
      <c r="H47" s="129"/>
      <c r="I47" s="129"/>
      <c r="J47" s="129"/>
      <c r="K47" s="129"/>
    </row>
    <row r="48" spans="2:11" s="97" customFormat="1" ht="16.149999999999999" customHeight="1" x14ac:dyDescent="0.25">
      <c r="B48" s="200"/>
      <c r="C48" s="151" t="s">
        <v>339</v>
      </c>
      <c r="D48" s="200"/>
      <c r="E48" s="214" t="s">
        <v>420</v>
      </c>
      <c r="F48" s="214"/>
      <c r="G48" s="200" t="s">
        <v>317</v>
      </c>
      <c r="H48" s="153"/>
      <c r="I48" s="214" t="s">
        <v>425</v>
      </c>
      <c r="J48" s="214"/>
      <c r="K48" s="214"/>
    </row>
    <row r="49" spans="2:11" s="96" customFormat="1" ht="16.149999999999999" customHeight="1" x14ac:dyDescent="0.25">
      <c r="B49" s="197"/>
      <c r="C49" s="199" t="s">
        <v>393</v>
      </c>
      <c r="D49" s="197"/>
      <c r="E49" s="197"/>
      <c r="F49" s="197"/>
      <c r="G49" s="197" t="s">
        <v>316</v>
      </c>
      <c r="H49" s="167"/>
      <c r="I49" s="240"/>
      <c r="J49" s="240"/>
      <c r="K49" s="240"/>
    </row>
    <row r="50" spans="2:11" s="97" customFormat="1" ht="48.6" customHeight="1" x14ac:dyDescent="0.25">
      <c r="B50" s="200"/>
      <c r="C50" s="244" t="s">
        <v>406</v>
      </c>
      <c r="D50" s="244"/>
      <c r="E50" s="244"/>
      <c r="F50" s="246" t="s">
        <v>436</v>
      </c>
      <c r="G50" s="246"/>
      <c r="H50" s="246"/>
      <c r="I50" s="246"/>
      <c r="J50" s="246"/>
      <c r="K50" s="246"/>
    </row>
    <row r="51" spans="2:11" s="94" customFormat="1" ht="16.149999999999999" customHeight="1" x14ac:dyDescent="0.25">
      <c r="B51" s="129"/>
      <c r="C51" s="181" t="s">
        <v>407</v>
      </c>
      <c r="D51" s="182"/>
      <c r="E51" s="182"/>
      <c r="F51" s="239"/>
      <c r="G51" s="239"/>
      <c r="H51" s="239"/>
      <c r="I51" s="239"/>
      <c r="J51" s="183"/>
      <c r="K51" s="183"/>
    </row>
    <row r="52" spans="2:11" s="97" customFormat="1" ht="16.149999999999999" customHeight="1" x14ac:dyDescent="0.25">
      <c r="B52" s="200"/>
      <c r="C52" s="151" t="s">
        <v>431</v>
      </c>
      <c r="D52" s="200"/>
      <c r="E52" s="200"/>
      <c r="F52" s="200"/>
      <c r="G52" s="200"/>
      <c r="H52" s="200"/>
      <c r="I52" s="200"/>
      <c r="J52" s="200"/>
      <c r="K52" s="200"/>
    </row>
    <row r="53" spans="2:11" s="96" customFormat="1" ht="16.149999999999999" customHeight="1" x14ac:dyDescent="0.25">
      <c r="B53" s="197"/>
      <c r="C53" s="197" t="s">
        <v>432</v>
      </c>
      <c r="D53" s="197"/>
      <c r="E53" s="197"/>
      <c r="F53" s="197"/>
      <c r="G53" s="197"/>
      <c r="H53" s="197"/>
      <c r="I53" s="197"/>
      <c r="J53" s="197"/>
      <c r="K53" s="197"/>
    </row>
    <row r="54" spans="2:11" s="97" customFormat="1" ht="16.149999999999999" customHeight="1" x14ac:dyDescent="0.25">
      <c r="B54" s="201" t="s">
        <v>11</v>
      </c>
      <c r="C54" s="201" t="s">
        <v>60</v>
      </c>
      <c r="D54" s="200"/>
      <c r="E54" s="200"/>
      <c r="F54" s="200"/>
      <c r="G54" s="195"/>
      <c r="H54" s="200"/>
      <c r="I54" s="200"/>
      <c r="J54" s="200"/>
      <c r="K54" s="200"/>
    </row>
    <row r="55" spans="2:11" s="166" customFormat="1" ht="16.149999999999999" customHeight="1" x14ac:dyDescent="0.25">
      <c r="B55" s="165" t="s">
        <v>61</v>
      </c>
      <c r="C55" s="165" t="s">
        <v>62</v>
      </c>
      <c r="D55" s="165"/>
      <c r="E55" s="165"/>
      <c r="F55" s="165"/>
      <c r="G55" s="165"/>
      <c r="H55" s="165"/>
      <c r="I55" s="165"/>
      <c r="J55" s="165"/>
      <c r="K55" s="165"/>
    </row>
    <row r="56" spans="2:11" s="97" customFormat="1" ht="16.149999999999999" customHeight="1" x14ac:dyDescent="0.25">
      <c r="B56" s="200"/>
      <c r="C56" s="151" t="s">
        <v>304</v>
      </c>
      <c r="D56" s="200"/>
      <c r="E56" s="200"/>
      <c r="F56" s="200"/>
      <c r="G56" s="200" t="s">
        <v>287</v>
      </c>
      <c r="H56" s="200"/>
      <c r="I56" s="200" t="s">
        <v>286</v>
      </c>
      <c r="J56" s="200"/>
      <c r="K56" s="200"/>
    </row>
    <row r="57" spans="2:11" s="94" customFormat="1" ht="16.149999999999999" customHeight="1" x14ac:dyDescent="0.25">
      <c r="B57" s="129"/>
      <c r="C57" s="197" t="s">
        <v>305</v>
      </c>
      <c r="D57" s="129"/>
      <c r="E57" s="129"/>
      <c r="F57" s="129"/>
      <c r="G57" s="197" t="s">
        <v>291</v>
      </c>
      <c r="H57" s="129"/>
      <c r="I57" s="197" t="s">
        <v>288</v>
      </c>
      <c r="J57" s="129"/>
      <c r="K57" s="129"/>
    </row>
    <row r="58" spans="2:11" s="97" customFormat="1" ht="16.149999999999999" customHeight="1" x14ac:dyDescent="0.25">
      <c r="B58" s="200"/>
      <c r="C58" s="151" t="s">
        <v>366</v>
      </c>
      <c r="D58" s="200"/>
      <c r="E58" s="200"/>
      <c r="F58" s="200"/>
      <c r="G58" s="200" t="s">
        <v>289</v>
      </c>
      <c r="H58" s="200"/>
      <c r="I58" s="200" t="s">
        <v>309</v>
      </c>
      <c r="J58" s="200"/>
      <c r="K58" s="200"/>
    </row>
    <row r="59" spans="2:11" s="94" customFormat="1" ht="16.149999999999999" customHeight="1" x14ac:dyDescent="0.25">
      <c r="B59" s="129"/>
      <c r="C59" s="197" t="s">
        <v>290</v>
      </c>
      <c r="D59" s="129"/>
      <c r="E59" s="129"/>
      <c r="F59" s="129"/>
      <c r="G59" s="197" t="s">
        <v>292</v>
      </c>
      <c r="H59" s="129"/>
      <c r="I59" s="197" t="s">
        <v>310</v>
      </c>
      <c r="J59" s="129"/>
      <c r="K59" s="129"/>
    </row>
    <row r="60" spans="2:11" s="97" customFormat="1" ht="16.149999999999999" customHeight="1" x14ac:dyDescent="0.25">
      <c r="B60" s="200"/>
      <c r="C60" s="151" t="s">
        <v>367</v>
      </c>
      <c r="D60" s="200"/>
      <c r="E60" s="200"/>
      <c r="F60" s="200"/>
      <c r="G60" s="200" t="s">
        <v>429</v>
      </c>
      <c r="H60" s="200"/>
      <c r="I60" s="200"/>
      <c r="J60" s="200"/>
      <c r="K60" s="200"/>
    </row>
    <row r="61" spans="2:11" s="94" customFormat="1" ht="16.149999999999999" customHeight="1" x14ac:dyDescent="0.25">
      <c r="B61" s="129"/>
      <c r="C61" s="197" t="s">
        <v>306</v>
      </c>
      <c r="D61" s="129"/>
      <c r="E61" s="129"/>
      <c r="F61" s="129"/>
      <c r="G61" s="197" t="s">
        <v>311</v>
      </c>
      <c r="H61" s="129"/>
      <c r="I61" s="197"/>
      <c r="J61" s="129"/>
      <c r="K61" s="129"/>
    </row>
    <row r="62" spans="2:11" s="97" customFormat="1" ht="16.149999999999999" customHeight="1" x14ac:dyDescent="0.25">
      <c r="B62" s="200"/>
      <c r="C62" s="151" t="s">
        <v>368</v>
      </c>
      <c r="D62" s="200"/>
      <c r="E62" s="200"/>
      <c r="F62" s="200"/>
      <c r="G62" s="200" t="s">
        <v>307</v>
      </c>
      <c r="H62" s="200"/>
      <c r="I62" s="200"/>
      <c r="J62" s="200"/>
      <c r="K62" s="200"/>
    </row>
    <row r="63" spans="2:11" s="94" customFormat="1" ht="16.149999999999999" customHeight="1" x14ac:dyDescent="0.25">
      <c r="B63" s="129"/>
      <c r="C63" s="197" t="s">
        <v>293</v>
      </c>
      <c r="D63" s="129"/>
      <c r="E63" s="129"/>
      <c r="F63" s="129"/>
      <c r="G63" s="197" t="s">
        <v>418</v>
      </c>
      <c r="H63" s="129"/>
      <c r="I63" s="197"/>
      <c r="J63" s="129"/>
      <c r="K63" s="129"/>
    </row>
    <row r="64" spans="2:11" s="97" customFormat="1" ht="16.149999999999999" customHeight="1" x14ac:dyDescent="0.25">
      <c r="B64" s="200"/>
      <c r="C64" s="151" t="s">
        <v>369</v>
      </c>
      <c r="D64" s="200"/>
      <c r="E64" s="200"/>
      <c r="F64" s="200"/>
      <c r="G64" s="200" t="s">
        <v>294</v>
      </c>
      <c r="H64" s="200"/>
      <c r="I64" s="200"/>
      <c r="J64" s="200"/>
      <c r="K64" s="200"/>
    </row>
    <row r="65" spans="2:11" s="94" customFormat="1" ht="16.149999999999999" customHeight="1" x14ac:dyDescent="0.25">
      <c r="B65" s="129"/>
      <c r="C65" s="197" t="s">
        <v>295</v>
      </c>
      <c r="D65" s="129"/>
      <c r="E65" s="129"/>
      <c r="F65" s="129"/>
      <c r="G65" s="197" t="s">
        <v>296</v>
      </c>
      <c r="H65" s="129"/>
      <c r="I65" s="197"/>
      <c r="J65" s="129"/>
      <c r="K65" s="129"/>
    </row>
    <row r="66" spans="2:11" s="97" customFormat="1" ht="16.149999999999999" customHeight="1" x14ac:dyDescent="0.25">
      <c r="B66" s="201" t="s">
        <v>63</v>
      </c>
      <c r="C66" s="201" t="s">
        <v>64</v>
      </c>
      <c r="D66" s="200"/>
      <c r="E66" s="200"/>
      <c r="F66" s="200"/>
      <c r="G66" s="200"/>
      <c r="H66" s="200"/>
      <c r="I66" s="200"/>
      <c r="J66" s="200"/>
      <c r="K66" s="200"/>
    </row>
    <row r="67" spans="2:11" s="166" customFormat="1" ht="16.149999999999999" customHeight="1" x14ac:dyDescent="0.25">
      <c r="B67" s="165" t="s">
        <v>65</v>
      </c>
      <c r="C67" s="165" t="s">
        <v>66</v>
      </c>
      <c r="D67" s="165"/>
      <c r="E67" s="165"/>
      <c r="F67" s="165"/>
      <c r="G67" s="165"/>
      <c r="H67" s="165"/>
      <c r="I67" s="165"/>
      <c r="J67" s="165"/>
      <c r="K67" s="165"/>
    </row>
    <row r="68" spans="2:11" s="158" customFormat="1" ht="16.149999999999999" customHeight="1" x14ac:dyDescent="0.25">
      <c r="B68" s="201" t="s">
        <v>377</v>
      </c>
      <c r="C68" s="201"/>
      <c r="D68" s="201"/>
      <c r="E68" s="201"/>
      <c r="F68" s="201"/>
      <c r="G68" s="201"/>
      <c r="H68" s="201"/>
      <c r="I68" s="201"/>
      <c r="J68" s="201"/>
      <c r="K68" s="201"/>
    </row>
    <row r="69" spans="2:11" s="97" customFormat="1" ht="16.149999999999999" customHeight="1" x14ac:dyDescent="0.25">
      <c r="B69" s="200"/>
      <c r="C69" s="244" t="s">
        <v>405</v>
      </c>
      <c r="D69" s="247"/>
      <c r="E69" s="247"/>
      <c r="F69" s="247"/>
      <c r="G69" s="247"/>
      <c r="H69" s="238" t="s">
        <v>378</v>
      </c>
      <c r="I69" s="238"/>
      <c r="J69" s="238"/>
      <c r="K69" s="238"/>
    </row>
    <row r="70" spans="2:11" s="97" customFormat="1" ht="16.149999999999999" customHeight="1" x14ac:dyDescent="0.25">
      <c r="B70" s="200"/>
      <c r="C70" s="151" t="s">
        <v>312</v>
      </c>
      <c r="D70" s="200"/>
      <c r="E70" s="200"/>
      <c r="F70" s="200"/>
      <c r="G70" s="200"/>
      <c r="H70" s="200" t="s">
        <v>379</v>
      </c>
      <c r="I70" s="200"/>
      <c r="J70" s="200"/>
      <c r="K70" s="200"/>
    </row>
    <row r="71" spans="2:11" s="97" customFormat="1" ht="16.149999999999999" customHeight="1" x14ac:dyDescent="0.25">
      <c r="B71" s="200"/>
      <c r="C71" s="151" t="s">
        <v>430</v>
      </c>
      <c r="D71" s="200"/>
      <c r="E71" s="200"/>
      <c r="F71" s="200"/>
      <c r="G71" s="200"/>
      <c r="H71" s="200"/>
      <c r="I71" s="200"/>
      <c r="J71" s="200"/>
      <c r="K71" s="200"/>
    </row>
    <row r="72" spans="2:11" s="158" customFormat="1" ht="16.149999999999999" customHeight="1" x14ac:dyDescent="0.25">
      <c r="B72" s="201" t="s">
        <v>413</v>
      </c>
      <c r="C72" s="176"/>
      <c r="D72" s="201"/>
      <c r="E72" s="201"/>
      <c r="F72" s="201"/>
      <c r="G72" s="201"/>
      <c r="H72" s="201"/>
      <c r="I72" s="201"/>
      <c r="J72" s="201"/>
      <c r="K72" s="201"/>
    </row>
    <row r="73" spans="2:11" s="97" customFormat="1" ht="16.149999999999999" customHeight="1" x14ac:dyDescent="0.25">
      <c r="B73" s="200"/>
      <c r="C73" s="151" t="s">
        <v>410</v>
      </c>
      <c r="D73" s="200"/>
      <c r="E73" s="200"/>
      <c r="F73" s="200"/>
      <c r="G73" s="200"/>
      <c r="H73" s="184"/>
      <c r="I73" s="192">
        <v>4050000</v>
      </c>
      <c r="J73" s="200" t="s">
        <v>313</v>
      </c>
      <c r="K73" s="200"/>
    </row>
    <row r="74" spans="2:11" s="158" customFormat="1" ht="16.149999999999999" customHeight="1" x14ac:dyDescent="0.25">
      <c r="B74" s="201" t="s">
        <v>446</v>
      </c>
      <c r="C74" s="176"/>
      <c r="D74" s="201"/>
      <c r="E74" s="201"/>
      <c r="F74" s="201"/>
      <c r="G74" s="201"/>
      <c r="H74" s="184"/>
      <c r="I74" s="185"/>
      <c r="J74" s="201"/>
      <c r="K74" s="201"/>
    </row>
    <row r="75" spans="2:11" s="97" customFormat="1" ht="16.149999999999999" customHeight="1" x14ac:dyDescent="0.25">
      <c r="B75" s="200"/>
      <c r="C75" s="151" t="s">
        <v>453</v>
      </c>
      <c r="D75" s="200"/>
      <c r="E75" s="200"/>
      <c r="F75" s="200"/>
      <c r="G75" s="200"/>
      <c r="H75" s="245">
        <v>0</v>
      </c>
      <c r="I75" s="245"/>
      <c r="J75" s="200" t="s">
        <v>313</v>
      </c>
      <c r="K75" s="200"/>
    </row>
    <row r="76" spans="2:11" s="97" customFormat="1" ht="15" customHeight="1" x14ac:dyDescent="0.25">
      <c r="B76" s="201" t="s">
        <v>445</v>
      </c>
      <c r="C76" s="151"/>
      <c r="D76" s="200"/>
      <c r="E76" s="200"/>
      <c r="F76" s="200"/>
      <c r="G76" s="200"/>
      <c r="H76" s="200"/>
      <c r="I76" s="160"/>
      <c r="J76" s="200"/>
      <c r="K76" s="200"/>
    </row>
    <row r="77" spans="2:11" s="127" customFormat="1" ht="15" customHeight="1" x14ac:dyDescent="0.25">
      <c r="B77" s="186" t="s">
        <v>412</v>
      </c>
      <c r="C77" s="187"/>
      <c r="D77" s="117"/>
      <c r="E77" s="117"/>
      <c r="F77" s="186"/>
      <c r="G77" s="117"/>
      <c r="H77" s="186"/>
      <c r="I77" s="188"/>
      <c r="J77" s="117"/>
      <c r="K77" s="117"/>
    </row>
    <row r="78" spans="2:11" s="177" customFormat="1" ht="16.149999999999999" customHeight="1" x14ac:dyDescent="0.25">
      <c r="B78" s="189"/>
      <c r="C78" s="190" t="s">
        <v>416</v>
      </c>
      <c r="D78" s="189"/>
      <c r="E78" s="189"/>
      <c r="F78" s="189"/>
      <c r="G78" s="189"/>
      <c r="H78" s="189"/>
      <c r="I78" s="189" t="s">
        <v>417</v>
      </c>
      <c r="J78" s="189"/>
      <c r="K78" s="189"/>
    </row>
    <row r="79" spans="2:11" s="177" customFormat="1" ht="16.149999999999999" customHeight="1" x14ac:dyDescent="0.25">
      <c r="B79" s="189"/>
      <c r="C79" s="190" t="s">
        <v>454</v>
      </c>
      <c r="D79" s="189"/>
      <c r="E79" s="189"/>
      <c r="F79" s="189"/>
      <c r="G79" s="189"/>
      <c r="H79" s="189"/>
      <c r="I79" s="189" t="s">
        <v>417</v>
      </c>
      <c r="J79" s="189"/>
      <c r="K79" s="189"/>
    </row>
    <row r="80" spans="2:11" s="97" customFormat="1" ht="16.149999999999999" customHeight="1" x14ac:dyDescent="0.25">
      <c r="B80" s="200"/>
      <c r="C80" s="151" t="s">
        <v>394</v>
      </c>
      <c r="D80" s="200"/>
      <c r="E80" s="200"/>
      <c r="F80" s="200"/>
      <c r="G80" s="140"/>
      <c r="H80" s="200"/>
      <c r="I80" s="200"/>
      <c r="J80" s="200"/>
      <c r="K80" s="200"/>
    </row>
    <row r="81" spans="2:11" s="94" customFormat="1" ht="16.149999999999999" customHeight="1" x14ac:dyDescent="0.25">
      <c r="B81" s="129"/>
      <c r="C81" s="151" t="s">
        <v>447</v>
      </c>
      <c r="D81" s="129"/>
      <c r="E81" s="129"/>
      <c r="F81" s="129"/>
      <c r="G81" s="197" t="s">
        <v>448</v>
      </c>
      <c r="H81" s="129"/>
      <c r="I81" s="129"/>
      <c r="J81" s="129"/>
      <c r="K81" s="129"/>
    </row>
    <row r="82" spans="2:11" s="97" customFormat="1" ht="16.149999999999999" customHeight="1" x14ac:dyDescent="0.25">
      <c r="B82" s="200"/>
      <c r="C82" s="200" t="s">
        <v>449</v>
      </c>
      <c r="D82" s="200"/>
      <c r="E82" s="200"/>
      <c r="F82" s="200"/>
      <c r="G82" s="140"/>
      <c r="H82" s="200"/>
      <c r="I82" s="200"/>
      <c r="J82" s="200"/>
      <c r="K82" s="200"/>
    </row>
    <row r="83" spans="2:11" s="97" customFormat="1" ht="16.149999999999999" customHeight="1" x14ac:dyDescent="0.25">
      <c r="B83" s="200"/>
      <c r="C83" s="200" t="s">
        <v>318</v>
      </c>
      <c r="D83" s="200"/>
      <c r="E83" s="200"/>
      <c r="F83" s="200"/>
      <c r="G83" s="140"/>
      <c r="H83" s="200"/>
      <c r="I83" s="200"/>
      <c r="J83" s="200"/>
      <c r="K83" s="200"/>
    </row>
    <row r="84" spans="2:11" s="96" customFormat="1" ht="16.149999999999999" customHeight="1" x14ac:dyDescent="0.25">
      <c r="B84" s="197"/>
      <c r="C84" s="197" t="s">
        <v>450</v>
      </c>
      <c r="D84" s="197"/>
      <c r="E84" s="197"/>
      <c r="F84" s="197"/>
      <c r="G84" s="131"/>
      <c r="H84" s="197"/>
      <c r="I84" s="197"/>
      <c r="J84" s="197"/>
      <c r="K84" s="197"/>
    </row>
    <row r="85" spans="2:11" s="96" customFormat="1" ht="16.149999999999999" customHeight="1" x14ac:dyDescent="0.25">
      <c r="B85" s="197"/>
      <c r="C85" s="197" t="s">
        <v>411</v>
      </c>
      <c r="D85" s="197"/>
      <c r="E85" s="197"/>
      <c r="F85" s="197"/>
      <c r="G85" s="131"/>
      <c r="H85" s="197"/>
      <c r="I85" s="197"/>
      <c r="J85" s="197"/>
      <c r="K85" s="197"/>
    </row>
    <row r="86" spans="2:11" s="94" customFormat="1" ht="16.149999999999999" customHeight="1" x14ac:dyDescent="0.25">
      <c r="B86" s="129"/>
      <c r="C86" s="122" t="s">
        <v>414</v>
      </c>
      <c r="D86" s="129"/>
      <c r="E86" s="129"/>
      <c r="F86" s="129"/>
      <c r="G86" s="129" t="s">
        <v>415</v>
      </c>
      <c r="I86" s="129"/>
      <c r="J86" s="129"/>
      <c r="K86" s="129"/>
    </row>
    <row r="87" spans="2:11" s="94" customFormat="1" ht="16.149999999999999" customHeight="1" x14ac:dyDescent="0.25">
      <c r="B87" s="129"/>
      <c r="C87" s="122" t="s">
        <v>398</v>
      </c>
      <c r="D87" s="129"/>
      <c r="E87" s="129"/>
      <c r="F87" s="131" t="s">
        <v>399</v>
      </c>
      <c r="G87" s="116"/>
      <c r="H87" s="129"/>
      <c r="I87" s="129"/>
      <c r="J87" s="129"/>
      <c r="K87" s="129"/>
    </row>
    <row r="88" spans="2:11" s="97" customFormat="1" ht="16.149999999999999" customHeight="1" x14ac:dyDescent="0.25">
      <c r="B88" s="200"/>
      <c r="C88" s="151" t="s">
        <v>320</v>
      </c>
      <c r="D88" s="200"/>
      <c r="E88" s="200"/>
      <c r="F88" s="200"/>
      <c r="G88" s="200" t="s">
        <v>322</v>
      </c>
      <c r="H88" s="200"/>
      <c r="I88" s="200"/>
      <c r="J88" s="200"/>
      <c r="K88" s="200"/>
    </row>
    <row r="89" spans="2:11" s="96" customFormat="1" ht="16.149999999999999" customHeight="1" x14ac:dyDescent="0.25">
      <c r="B89" s="197"/>
      <c r="C89" s="226" t="s">
        <v>321</v>
      </c>
      <c r="D89" s="226"/>
      <c r="E89" s="226"/>
      <c r="F89" s="226"/>
      <c r="G89" s="164" t="s">
        <v>323</v>
      </c>
      <c r="H89" s="197"/>
      <c r="I89" s="164"/>
      <c r="J89" s="197"/>
      <c r="K89" s="197"/>
    </row>
    <row r="90" spans="2:11" s="97" customFormat="1" ht="16.149999999999999" customHeight="1" x14ac:dyDescent="0.25">
      <c r="B90" s="200"/>
      <c r="C90" s="151" t="s">
        <v>324</v>
      </c>
      <c r="D90" s="200"/>
      <c r="E90" s="200"/>
      <c r="F90" s="200"/>
      <c r="G90" s="200" t="s">
        <v>330</v>
      </c>
      <c r="H90" s="200"/>
      <c r="I90" s="200"/>
      <c r="J90" s="200"/>
      <c r="K90" s="200"/>
    </row>
    <row r="91" spans="2:11" s="96" customFormat="1" ht="16.149999999999999" customHeight="1" x14ac:dyDescent="0.25">
      <c r="B91" s="197"/>
      <c r="C91" s="197" t="s">
        <v>325</v>
      </c>
      <c r="D91" s="197"/>
      <c r="E91" s="197"/>
      <c r="F91" s="197"/>
      <c r="G91" s="197"/>
      <c r="H91" s="197"/>
      <c r="I91" s="197"/>
      <c r="J91" s="197"/>
      <c r="K91" s="197"/>
    </row>
    <row r="92" spans="2:11" s="97" customFormat="1" ht="16.149999999999999" customHeight="1" x14ac:dyDescent="0.25">
      <c r="B92" s="200"/>
      <c r="C92" s="151" t="s">
        <v>358</v>
      </c>
      <c r="D92" s="200"/>
      <c r="E92" s="200"/>
      <c r="F92" s="200" t="s">
        <v>326</v>
      </c>
      <c r="G92" s="170"/>
      <c r="H92" s="200"/>
      <c r="I92" s="200"/>
      <c r="J92" s="200"/>
      <c r="K92" s="200"/>
    </row>
    <row r="93" spans="2:11" s="96" customFormat="1" ht="16.149999999999999" customHeight="1" x14ac:dyDescent="0.25">
      <c r="B93" s="197"/>
      <c r="C93" s="169" t="s">
        <v>327</v>
      </c>
      <c r="D93" s="197"/>
      <c r="E93" s="197"/>
      <c r="F93" s="197" t="s">
        <v>328</v>
      </c>
      <c r="G93" s="197"/>
      <c r="H93" s="197"/>
      <c r="I93" s="197"/>
      <c r="J93" s="197"/>
      <c r="K93" s="197"/>
    </row>
    <row r="94" spans="2:11" s="97" customFormat="1" ht="16.149999999999999" customHeight="1" x14ac:dyDescent="0.25">
      <c r="B94" s="200"/>
      <c r="C94" s="151" t="s">
        <v>342</v>
      </c>
      <c r="D94" s="200"/>
      <c r="E94" s="200"/>
      <c r="F94" s="200"/>
      <c r="G94" s="200"/>
      <c r="H94" s="200"/>
      <c r="I94" s="200"/>
      <c r="J94" s="200"/>
      <c r="K94" s="200"/>
    </row>
    <row r="95" spans="2:11" s="96" customFormat="1" ht="16.149999999999999" customHeight="1" x14ac:dyDescent="0.25">
      <c r="B95" s="197"/>
      <c r="C95" s="197" t="s">
        <v>343</v>
      </c>
      <c r="D95" s="197"/>
      <c r="E95" s="197"/>
      <c r="F95" s="197"/>
      <c r="G95" s="197"/>
      <c r="H95" s="197"/>
      <c r="I95" s="197"/>
      <c r="J95" s="197"/>
      <c r="K95" s="197"/>
    </row>
    <row r="96" spans="2:11" s="97" customFormat="1" ht="16.149999999999999" customHeight="1" x14ac:dyDescent="0.25">
      <c r="B96" s="200"/>
      <c r="C96" s="200" t="s">
        <v>400</v>
      </c>
      <c r="D96" s="200"/>
      <c r="E96" s="200"/>
      <c r="F96" s="200"/>
      <c r="G96" s="200"/>
      <c r="H96" s="200"/>
      <c r="I96" s="200"/>
      <c r="J96" s="200"/>
      <c r="K96" s="200"/>
    </row>
    <row r="97" spans="1:11" s="97" customFormat="1" ht="16.149999999999999" customHeight="1" x14ac:dyDescent="0.25">
      <c r="B97" s="200"/>
      <c r="C97" s="151" t="s">
        <v>344</v>
      </c>
      <c r="D97" s="200"/>
      <c r="E97" s="200"/>
      <c r="F97" s="200"/>
      <c r="G97" s="200"/>
      <c r="H97" s="200"/>
      <c r="I97" s="170"/>
      <c r="J97" s="200"/>
      <c r="K97" s="200"/>
    </row>
    <row r="98" spans="1:11" s="96" customFormat="1" ht="16.149999999999999" customHeight="1" x14ac:dyDescent="0.25">
      <c r="B98" s="197"/>
      <c r="C98" s="197" t="s">
        <v>345</v>
      </c>
      <c r="D98" s="197"/>
      <c r="E98" s="197"/>
      <c r="F98" s="197"/>
      <c r="G98" s="197"/>
      <c r="H98" s="197"/>
      <c r="I98" s="164"/>
      <c r="J98" s="197"/>
      <c r="K98" s="197"/>
    </row>
    <row r="99" spans="1:11" s="127" customFormat="1" ht="16.149999999999999" customHeight="1" x14ac:dyDescent="0.25">
      <c r="B99" s="117" t="s">
        <v>401</v>
      </c>
      <c r="C99" s="117"/>
      <c r="D99" s="117"/>
      <c r="E99" s="117"/>
      <c r="F99" s="117"/>
      <c r="G99" s="117"/>
      <c r="H99" s="117"/>
      <c r="I99" s="117"/>
      <c r="J99" s="117"/>
      <c r="K99" s="117"/>
    </row>
    <row r="100" spans="1:11" s="97" customFormat="1" ht="16.149999999999999" customHeight="1" x14ac:dyDescent="0.25">
      <c r="B100" s="200"/>
      <c r="C100" s="200" t="s">
        <v>69</v>
      </c>
      <c r="D100" s="200"/>
      <c r="E100" s="200"/>
      <c r="F100" s="200"/>
      <c r="G100" s="200"/>
      <c r="H100" s="200"/>
      <c r="I100" s="200"/>
      <c r="J100" s="200"/>
      <c r="K100" s="200"/>
    </row>
    <row r="101" spans="1:11" s="96" customFormat="1" ht="16.149999999999999" customHeight="1" x14ac:dyDescent="0.25">
      <c r="B101" s="197"/>
      <c r="C101" s="197" t="s">
        <v>333</v>
      </c>
      <c r="D101" s="197"/>
      <c r="E101" s="197"/>
      <c r="F101" s="197"/>
      <c r="G101" s="197"/>
      <c r="H101" s="197"/>
      <c r="I101" s="197"/>
      <c r="J101" s="197"/>
      <c r="K101" s="197"/>
    </row>
    <row r="102" spans="1:11" s="97" customFormat="1" ht="16.149999999999999" customHeight="1" x14ac:dyDescent="0.25">
      <c r="B102" s="200"/>
      <c r="C102" s="200" t="s">
        <v>70</v>
      </c>
      <c r="D102" s="200"/>
      <c r="E102" s="200"/>
      <c r="F102" s="200"/>
      <c r="G102" s="200"/>
      <c r="H102" s="200"/>
      <c r="I102" s="200"/>
      <c r="J102" s="200"/>
      <c r="K102" s="200"/>
    </row>
    <row r="103" spans="1:11" s="96" customFormat="1" ht="16.149999999999999" customHeight="1" x14ac:dyDescent="0.25">
      <c r="B103" s="197"/>
      <c r="C103" s="197" t="s">
        <v>329</v>
      </c>
      <c r="D103" s="197"/>
      <c r="E103" s="197"/>
      <c r="F103" s="197"/>
      <c r="G103" s="197"/>
      <c r="H103" s="197"/>
      <c r="I103" s="197"/>
      <c r="J103" s="197"/>
      <c r="K103" s="197"/>
    </row>
    <row r="104" spans="1:11" s="97" customFormat="1" ht="16.149999999999999" customHeight="1" x14ac:dyDescent="0.25">
      <c r="B104" s="200"/>
      <c r="C104" s="151" t="s">
        <v>334</v>
      </c>
      <c r="D104" s="200"/>
      <c r="E104" s="200"/>
      <c r="F104" s="170"/>
      <c r="G104" s="200"/>
      <c r="H104" s="200"/>
      <c r="I104" s="200"/>
      <c r="J104" s="200"/>
      <c r="K104" s="200"/>
    </row>
    <row r="105" spans="1:11" s="94" customFormat="1" ht="16.149999999999999" customHeight="1" x14ac:dyDescent="0.25">
      <c r="B105" s="129"/>
      <c r="C105" s="197" t="s">
        <v>335</v>
      </c>
      <c r="D105" s="129"/>
      <c r="E105" s="129"/>
      <c r="F105" s="197"/>
      <c r="G105" s="129"/>
      <c r="H105" s="129"/>
      <c r="I105" s="129"/>
      <c r="J105" s="129"/>
      <c r="K105" s="129"/>
    </row>
    <row r="106" spans="1:11" s="97" customFormat="1" ht="16.149999999999999" customHeight="1" x14ac:dyDescent="0.25">
      <c r="A106" s="170"/>
      <c r="B106" s="201" t="s">
        <v>71</v>
      </c>
      <c r="C106" s="201" t="s">
        <v>72</v>
      </c>
      <c r="D106" s="200"/>
      <c r="E106" s="200"/>
      <c r="F106" s="200"/>
      <c r="G106" s="200"/>
      <c r="H106" s="200"/>
      <c r="I106" s="200"/>
      <c r="J106" s="200"/>
      <c r="K106" s="200"/>
    </row>
    <row r="107" spans="1:11" s="204" customFormat="1" ht="16.149999999999999" customHeight="1" x14ac:dyDescent="0.25">
      <c r="A107" s="128"/>
      <c r="B107" s="126" t="s">
        <v>73</v>
      </c>
      <c r="C107" s="126" t="s">
        <v>74</v>
      </c>
      <c r="D107" s="126"/>
      <c r="E107" s="126"/>
      <c r="F107" s="126"/>
      <c r="G107" s="126"/>
      <c r="H107" s="126"/>
      <c r="I107" s="126"/>
      <c r="J107" s="126"/>
      <c r="K107" s="126"/>
    </row>
    <row r="108" spans="1:11" s="158" customFormat="1" ht="16.149999999999999" customHeight="1" x14ac:dyDescent="0.25">
      <c r="A108" s="171"/>
      <c r="B108" s="201" t="s">
        <v>402</v>
      </c>
      <c r="C108" s="201"/>
      <c r="D108" s="201"/>
      <c r="E108" s="201"/>
      <c r="F108" s="201"/>
      <c r="G108" s="201"/>
      <c r="H108" s="201"/>
      <c r="I108" s="201"/>
      <c r="J108" s="201"/>
      <c r="K108" s="201"/>
    </row>
    <row r="109" spans="1:11" s="97" customFormat="1" ht="16.149999999999999" customHeight="1" x14ac:dyDescent="0.25">
      <c r="B109" s="200"/>
      <c r="C109" s="200" t="s">
        <v>331</v>
      </c>
      <c r="D109" s="200"/>
      <c r="E109" s="200"/>
      <c r="F109" s="200"/>
      <c r="G109" s="200"/>
      <c r="H109" s="200"/>
      <c r="I109" s="200"/>
      <c r="J109" s="200"/>
      <c r="K109" s="200"/>
    </row>
    <row r="110" spans="1:11" s="96" customFormat="1" ht="16.149999999999999" customHeight="1" x14ac:dyDescent="0.25">
      <c r="B110" s="197"/>
      <c r="C110" s="197" t="s">
        <v>340</v>
      </c>
      <c r="D110" s="197"/>
      <c r="E110" s="197"/>
      <c r="F110" s="197"/>
      <c r="G110" s="197"/>
      <c r="H110" s="197"/>
      <c r="I110" s="197"/>
      <c r="J110" s="197"/>
      <c r="K110" s="197"/>
    </row>
    <row r="111" spans="1:11" s="158" customFormat="1" ht="16.149999999999999" customHeight="1" x14ac:dyDescent="0.25">
      <c r="B111" s="201" t="s">
        <v>403</v>
      </c>
      <c r="C111" s="201"/>
      <c r="D111" s="201"/>
      <c r="E111" s="201"/>
      <c r="F111" s="201"/>
      <c r="G111" s="201"/>
      <c r="H111" s="201"/>
      <c r="I111" s="201"/>
      <c r="J111" s="201"/>
      <c r="K111" s="201"/>
    </row>
    <row r="112" spans="1:11" s="97" customFormat="1" ht="16.149999999999999" customHeight="1" x14ac:dyDescent="0.25">
      <c r="B112" s="200"/>
      <c r="C112" s="200" t="s">
        <v>203</v>
      </c>
      <c r="D112" s="200"/>
      <c r="E112" s="200"/>
      <c r="F112" s="200"/>
      <c r="G112" s="200"/>
      <c r="H112" s="200"/>
      <c r="I112" s="200"/>
      <c r="J112" s="200"/>
      <c r="K112" s="200"/>
    </row>
    <row r="113" spans="2:11" s="96" customFormat="1" ht="16.149999999999999" customHeight="1" x14ac:dyDescent="0.25">
      <c r="B113" s="197"/>
      <c r="C113" s="197" t="s">
        <v>341</v>
      </c>
      <c r="D113" s="197"/>
      <c r="E113" s="197"/>
      <c r="F113" s="197"/>
      <c r="G113" s="197"/>
      <c r="H113" s="197"/>
      <c r="I113" s="197"/>
      <c r="J113" s="197"/>
      <c r="K113" s="197"/>
    </row>
    <row r="114" spans="2:11" s="97" customFormat="1" ht="16.149999999999999" customHeight="1" x14ac:dyDescent="0.25">
      <c r="B114" s="200"/>
      <c r="C114" s="200" t="s">
        <v>75</v>
      </c>
      <c r="D114" s="200"/>
      <c r="E114" s="200"/>
      <c r="F114" s="200"/>
      <c r="G114" s="200"/>
      <c r="H114" s="200"/>
      <c r="I114" s="200"/>
      <c r="J114" s="200"/>
      <c r="K114" s="200"/>
    </row>
    <row r="115" spans="2:11" s="97" customFormat="1" ht="16.149999999999999" customHeight="1" x14ac:dyDescent="0.25">
      <c r="B115" s="200"/>
      <c r="C115" s="200" t="s">
        <v>76</v>
      </c>
      <c r="D115" s="200"/>
      <c r="E115" s="200"/>
      <c r="F115" s="200"/>
      <c r="G115" s="200"/>
      <c r="H115" s="200"/>
      <c r="I115" s="200"/>
      <c r="J115" s="200"/>
      <c r="K115" s="200"/>
    </row>
    <row r="116" spans="2:11" s="94" customFormat="1" ht="16.149999999999999" customHeight="1" x14ac:dyDescent="0.25">
      <c r="B116" s="129"/>
      <c r="C116" s="197" t="s">
        <v>348</v>
      </c>
      <c r="D116" s="129"/>
      <c r="E116" s="129"/>
      <c r="F116" s="129"/>
      <c r="G116" s="129"/>
      <c r="H116" s="129"/>
      <c r="I116" s="129"/>
      <c r="J116" s="129"/>
      <c r="K116" s="129"/>
    </row>
    <row r="117" spans="2:11" s="96" customFormat="1" ht="16.149999999999999" customHeight="1" x14ac:dyDescent="0.25">
      <c r="B117" s="197"/>
      <c r="C117" s="197" t="s">
        <v>346</v>
      </c>
      <c r="D117" s="197"/>
      <c r="E117" s="197"/>
      <c r="F117" s="197"/>
      <c r="G117" s="197"/>
      <c r="H117" s="197"/>
      <c r="I117" s="197"/>
      <c r="J117" s="197"/>
      <c r="K117" s="197"/>
    </row>
    <row r="118" spans="2:11" s="97" customFormat="1" ht="16.149999999999999" customHeight="1" x14ac:dyDescent="0.25">
      <c r="B118" s="201" t="s">
        <v>77</v>
      </c>
      <c r="C118" s="201" t="s">
        <v>78</v>
      </c>
      <c r="D118" s="200"/>
      <c r="E118" s="200"/>
      <c r="F118" s="200"/>
      <c r="G118" s="200"/>
      <c r="H118" s="200"/>
      <c r="I118" s="200"/>
      <c r="J118" s="200"/>
      <c r="K118" s="200"/>
    </row>
    <row r="119" spans="2:11" s="166" customFormat="1" ht="16.149999999999999" customHeight="1" x14ac:dyDescent="0.25">
      <c r="B119" s="165" t="s">
        <v>79</v>
      </c>
      <c r="C119" s="165" t="s">
        <v>347</v>
      </c>
      <c r="D119" s="165"/>
      <c r="E119" s="165"/>
      <c r="F119" s="165"/>
      <c r="G119" s="165"/>
      <c r="H119" s="165"/>
      <c r="I119" s="165"/>
      <c r="J119" s="165"/>
      <c r="K119" s="165"/>
    </row>
    <row r="120" spans="2:11" s="83" customFormat="1" ht="16.149999999999999" customHeight="1" x14ac:dyDescent="0.25">
      <c r="B120" s="200"/>
      <c r="C120" s="200" t="s">
        <v>80</v>
      </c>
      <c r="D120" s="200"/>
      <c r="E120" s="200"/>
      <c r="F120" s="200"/>
      <c r="G120" s="200"/>
      <c r="H120" s="200"/>
      <c r="I120" s="200"/>
      <c r="J120" s="200"/>
      <c r="K120" s="200"/>
    </row>
    <row r="121" spans="2:11" s="83" customFormat="1" ht="16.149999999999999" customHeight="1" x14ac:dyDescent="0.25">
      <c r="B121" s="200"/>
      <c r="C121" s="200" t="s">
        <v>81</v>
      </c>
      <c r="D121" s="200"/>
      <c r="E121" s="200"/>
      <c r="F121" s="200"/>
      <c r="G121" s="200"/>
      <c r="H121" s="200"/>
      <c r="I121" s="200"/>
      <c r="J121" s="200"/>
      <c r="K121" s="200"/>
    </row>
    <row r="122" spans="2:11" s="138" customFormat="1" ht="16.149999999999999" customHeight="1" x14ac:dyDescent="0.25">
      <c r="B122" s="197"/>
      <c r="C122" s="197" t="s">
        <v>349</v>
      </c>
      <c r="D122" s="197"/>
      <c r="E122" s="197"/>
      <c r="F122" s="197"/>
      <c r="G122" s="197"/>
      <c r="H122" s="197"/>
      <c r="I122" s="197"/>
      <c r="J122" s="197"/>
      <c r="K122" s="197"/>
    </row>
    <row r="123" spans="2:11" s="138" customFormat="1" ht="16.149999999999999" customHeight="1" x14ac:dyDescent="0.25">
      <c r="B123" s="197"/>
      <c r="C123" s="197" t="s">
        <v>350</v>
      </c>
      <c r="D123" s="197"/>
      <c r="E123" s="197"/>
      <c r="F123" s="197"/>
      <c r="G123" s="197"/>
      <c r="H123" s="197"/>
      <c r="I123" s="197"/>
      <c r="J123" s="197"/>
      <c r="K123" s="197"/>
    </row>
    <row r="124" spans="2:11" s="83" customFormat="1" ht="16.149999999999999" customHeight="1" x14ac:dyDescent="0.25">
      <c r="B124" s="200"/>
      <c r="C124" s="151" t="s">
        <v>351</v>
      </c>
      <c r="D124" s="200"/>
      <c r="E124" s="200"/>
      <c r="F124" s="200"/>
      <c r="G124" s="200"/>
      <c r="H124" s="200"/>
      <c r="I124" s="200"/>
      <c r="J124" s="200"/>
      <c r="K124" s="200"/>
    </row>
    <row r="125" spans="2:11" s="83" customFormat="1" ht="16.149999999999999" customHeight="1" x14ac:dyDescent="0.25">
      <c r="B125" s="200"/>
      <c r="C125" s="200" t="s">
        <v>352</v>
      </c>
      <c r="D125" s="200"/>
      <c r="E125" s="200"/>
      <c r="F125" s="200"/>
      <c r="G125" s="200"/>
      <c r="H125" s="200"/>
      <c r="I125" s="200"/>
      <c r="J125" s="200"/>
      <c r="K125" s="200"/>
    </row>
    <row r="126" spans="2:11" s="83" customFormat="1" ht="16.149999999999999" customHeight="1" x14ac:dyDescent="0.25">
      <c r="B126" s="200"/>
      <c r="C126" s="200" t="s">
        <v>353</v>
      </c>
      <c r="D126" s="200"/>
      <c r="E126" s="200"/>
      <c r="F126" s="200"/>
      <c r="G126" s="200"/>
      <c r="H126" s="200"/>
      <c r="I126" s="200"/>
      <c r="J126" s="200"/>
      <c r="K126" s="200"/>
    </row>
    <row r="127" spans="2:11" s="138" customFormat="1" ht="16.149999999999999" customHeight="1" x14ac:dyDescent="0.25">
      <c r="B127" s="197"/>
      <c r="C127" s="197" t="s">
        <v>375</v>
      </c>
      <c r="D127" s="197"/>
      <c r="E127" s="197"/>
      <c r="F127" s="197"/>
      <c r="G127" s="197"/>
      <c r="H127" s="197"/>
      <c r="I127" s="197"/>
      <c r="J127" s="197"/>
      <c r="K127" s="197"/>
    </row>
    <row r="128" spans="2:11" s="138" customFormat="1" ht="16.149999999999999" customHeight="1" x14ac:dyDescent="0.25">
      <c r="B128" s="197"/>
      <c r="C128" s="197" t="s">
        <v>354</v>
      </c>
      <c r="D128" s="197"/>
      <c r="E128" s="197"/>
      <c r="F128" s="197"/>
      <c r="G128" s="197"/>
      <c r="H128" s="197"/>
      <c r="I128" s="197"/>
      <c r="J128" s="197"/>
      <c r="K128" s="197"/>
    </row>
    <row r="129" spans="1:11" s="83" customFormat="1" ht="16.149999999999999" customHeight="1" x14ac:dyDescent="0.25">
      <c r="B129" s="200"/>
      <c r="C129" s="151" t="s">
        <v>451</v>
      </c>
      <c r="D129" s="200"/>
      <c r="E129" s="200"/>
      <c r="F129" s="200"/>
      <c r="G129" s="200"/>
      <c r="H129" s="200"/>
      <c r="I129" s="200"/>
      <c r="J129" s="200"/>
      <c r="K129" s="200"/>
    </row>
    <row r="130" spans="1:11" s="134" customFormat="1" ht="16.149999999999999" customHeight="1" x14ac:dyDescent="0.25">
      <c r="B130" s="129"/>
      <c r="C130" s="197" t="s">
        <v>452</v>
      </c>
      <c r="D130" s="129"/>
      <c r="E130" s="129"/>
      <c r="F130" s="129"/>
      <c r="G130" s="129"/>
      <c r="H130" s="129"/>
      <c r="I130" s="129"/>
      <c r="J130" s="129"/>
      <c r="K130" s="129"/>
    </row>
    <row r="131" spans="1:11" s="94" customFormat="1" ht="16.5" customHeight="1" x14ac:dyDescent="0.25">
      <c r="B131" s="129"/>
      <c r="C131" s="129"/>
      <c r="D131" s="129"/>
      <c r="E131" s="129"/>
      <c r="F131" s="129"/>
      <c r="G131" s="211"/>
      <c r="H131" s="211"/>
      <c r="I131" s="211"/>
      <c r="J131" s="211"/>
      <c r="K131" s="211"/>
    </row>
    <row r="132" spans="1:11" s="94" customFormat="1" ht="15" customHeight="1" x14ac:dyDescent="0.25">
      <c r="B132" s="211" t="s">
        <v>82</v>
      </c>
      <c r="C132" s="211"/>
      <c r="D132" s="211"/>
      <c r="E132" s="211"/>
      <c r="F132" s="129"/>
      <c r="G132" s="211" t="s">
        <v>439</v>
      </c>
      <c r="H132" s="211"/>
      <c r="I132" s="211"/>
      <c r="J132" s="211"/>
      <c r="K132" s="211"/>
    </row>
    <row r="133" spans="1:11" s="94" customFormat="1" ht="15" customHeight="1" x14ac:dyDescent="0.25">
      <c r="B133" s="205" t="s">
        <v>83</v>
      </c>
      <c r="C133" s="205"/>
      <c r="D133" s="205"/>
      <c r="E133" s="205"/>
      <c r="F133" s="129"/>
      <c r="G133" s="205" t="s">
        <v>355</v>
      </c>
      <c r="H133" s="205"/>
      <c r="I133" s="205"/>
      <c r="J133" s="205"/>
      <c r="K133" s="205"/>
    </row>
    <row r="134" spans="1:11" s="94" customFormat="1" ht="18.75" customHeight="1" x14ac:dyDescent="0.25">
      <c r="B134" s="129"/>
      <c r="C134" s="199"/>
      <c r="D134" s="199"/>
      <c r="E134" s="129"/>
      <c r="F134" s="129"/>
      <c r="G134" s="199"/>
      <c r="H134" s="199"/>
      <c r="I134" s="199"/>
      <c r="J134" s="199"/>
      <c r="K134" s="199"/>
    </row>
    <row r="135" spans="1:11" s="94" customFormat="1" ht="35.450000000000003" customHeight="1" x14ac:dyDescent="0.25">
      <c r="B135" s="129"/>
      <c r="C135" s="199"/>
      <c r="D135" s="199"/>
      <c r="E135" s="129"/>
      <c r="F135" s="129"/>
      <c r="G135" s="199"/>
      <c r="H135" s="199"/>
      <c r="I135" s="199"/>
      <c r="J135" s="199"/>
      <c r="K135" s="199"/>
    </row>
    <row r="136" spans="1:11" s="94" customFormat="1" ht="18.75" customHeight="1" x14ac:dyDescent="0.25">
      <c r="B136" s="129"/>
      <c r="C136" s="199"/>
      <c r="D136" s="199"/>
      <c r="E136" s="129"/>
      <c r="F136" s="129"/>
      <c r="G136" s="199"/>
      <c r="H136" s="199"/>
      <c r="I136" s="199"/>
      <c r="J136" s="199"/>
      <c r="K136" s="199"/>
    </row>
    <row r="137" spans="1:11" s="94" customFormat="1" ht="15" customHeight="1" x14ac:dyDescent="0.25">
      <c r="A137" s="30"/>
      <c r="B137" s="243" t="s">
        <v>423</v>
      </c>
      <c r="C137" s="209"/>
      <c r="D137" s="209"/>
      <c r="E137" s="209"/>
      <c r="F137" s="129"/>
      <c r="G137" s="210" t="s">
        <v>442</v>
      </c>
      <c r="H137" s="210"/>
      <c r="I137" s="210"/>
      <c r="J137" s="210"/>
      <c r="K137" s="210"/>
    </row>
  </sheetData>
  <mergeCells count="46">
    <mergeCell ref="E42:F42"/>
    <mergeCell ref="H42:I42"/>
    <mergeCell ref="E44:F44"/>
    <mergeCell ref="B137:E137"/>
    <mergeCell ref="G137:K137"/>
    <mergeCell ref="C50:E50"/>
    <mergeCell ref="H75:I75"/>
    <mergeCell ref="G132:K132"/>
    <mergeCell ref="F50:K50"/>
    <mergeCell ref="C69:G69"/>
    <mergeCell ref="B132:E132"/>
    <mergeCell ref="B133:E133"/>
    <mergeCell ref="G133:K133"/>
    <mergeCell ref="C89:F89"/>
    <mergeCell ref="G131:K131"/>
    <mergeCell ref="H69:K69"/>
    <mergeCell ref="F51:I51"/>
    <mergeCell ref="I49:K49"/>
    <mergeCell ref="H41:K41"/>
    <mergeCell ref="B8:K8"/>
    <mergeCell ref="B9:K9"/>
    <mergeCell ref="B10:K10"/>
    <mergeCell ref="B11:K11"/>
    <mergeCell ref="E48:F48"/>
    <mergeCell ref="H45:I45"/>
    <mergeCell ref="I48:K48"/>
    <mergeCell ref="F46:I46"/>
    <mergeCell ref="C46:E46"/>
    <mergeCell ref="E29:G29"/>
    <mergeCell ref="E31:K31"/>
    <mergeCell ref="G33:H33"/>
    <mergeCell ref="G1:K1"/>
    <mergeCell ref="C2:F2"/>
    <mergeCell ref="G2:K2"/>
    <mergeCell ref="B3:F3"/>
    <mergeCell ref="G3:K3"/>
    <mergeCell ref="E19:K19"/>
    <mergeCell ref="E25:H25"/>
    <mergeCell ref="E27:G27"/>
    <mergeCell ref="E28:F28"/>
    <mergeCell ref="C4:D4"/>
    <mergeCell ref="H4:K4"/>
    <mergeCell ref="C5:D5"/>
    <mergeCell ref="I6:J6"/>
    <mergeCell ref="I7:J7"/>
    <mergeCell ref="K6:K7"/>
  </mergeCells>
  <pageMargins left="0.32" right="0" top="0.45" bottom="0.43" header="0" footer="0"/>
  <pageSetup paperSize="9" orientation="portrait" r:id="rId1"/>
  <headerFooter scaleWithDoc="0" alignWithMargins="0">
    <oddFooter>&amp;CPage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topLeftCell="A7" zoomScaleNormal="100" workbookViewId="0">
      <selection activeCell="D15" sqref="D15"/>
    </sheetView>
  </sheetViews>
  <sheetFormatPr defaultColWidth="9.140625" defaultRowHeight="13.5" x14ac:dyDescent="0.2"/>
  <cols>
    <col min="1" max="1" width="8.42578125" style="14" customWidth="1"/>
    <col min="2" max="2" width="10.5703125" style="14" customWidth="1"/>
    <col min="3" max="3" width="10.42578125" style="14" customWidth="1"/>
    <col min="4" max="4" width="15.85546875" style="14" customWidth="1"/>
    <col min="5" max="5" width="9.85546875" style="14" customWidth="1"/>
    <col min="6" max="6" width="16.140625" style="14" customWidth="1"/>
    <col min="7" max="7" width="5" style="14" customWidth="1"/>
    <col min="8" max="8" width="7.28515625" style="14" customWidth="1"/>
    <col min="9" max="9" width="9.140625" style="14"/>
    <col min="10" max="10" width="14.42578125" style="14" customWidth="1"/>
    <col min="11" max="16384" width="9.140625" style="15"/>
  </cols>
  <sheetData>
    <row r="1" spans="1:10" s="7" customFormat="1" ht="14.25" collapsed="1" x14ac:dyDescent="0.2">
      <c r="B1" s="8" t="s">
        <v>13</v>
      </c>
      <c r="C1" s="9"/>
      <c r="D1" s="9"/>
      <c r="E1" s="9"/>
      <c r="F1" s="268" t="s">
        <v>0</v>
      </c>
      <c r="G1" s="268"/>
      <c r="H1" s="268"/>
      <c r="I1" s="268"/>
      <c r="J1" s="268"/>
    </row>
    <row r="2" spans="1:10" s="7" customFormat="1" ht="14.25" x14ac:dyDescent="0.2">
      <c r="B2" s="9" t="s">
        <v>14</v>
      </c>
      <c r="C2" s="9"/>
      <c r="D2" s="9"/>
      <c r="E2" s="9"/>
      <c r="F2" s="268" t="s">
        <v>15</v>
      </c>
      <c r="G2" s="268"/>
      <c r="H2" s="268"/>
      <c r="I2" s="268"/>
      <c r="J2" s="268"/>
    </row>
    <row r="3" spans="1:10" s="7" customFormat="1" ht="14.25" x14ac:dyDescent="0.2">
      <c r="B3" s="9" t="s">
        <v>16</v>
      </c>
      <c r="C3" s="9"/>
      <c r="D3" s="9"/>
      <c r="E3" s="9"/>
      <c r="F3" s="253" t="s">
        <v>17</v>
      </c>
      <c r="G3" s="253"/>
      <c r="H3" s="253"/>
      <c r="I3" s="253"/>
      <c r="J3" s="253"/>
    </row>
    <row r="4" spans="1:10" s="7" customFormat="1" ht="14.25" x14ac:dyDescent="0.2">
      <c r="A4" s="60"/>
      <c r="B4" s="10"/>
      <c r="C4" s="9"/>
      <c r="D4" s="11"/>
      <c r="E4" s="9"/>
      <c r="F4" s="269" t="s">
        <v>18</v>
      </c>
      <c r="G4" s="269"/>
      <c r="H4" s="269"/>
      <c r="I4" s="269"/>
      <c r="J4" s="269"/>
    </row>
    <row r="5" spans="1:10" s="7" customFormat="1" ht="15" customHeight="1" x14ac:dyDescent="0.2">
      <c r="A5" s="61"/>
      <c r="B5" s="9"/>
      <c r="C5" s="62"/>
      <c r="D5" s="9"/>
      <c r="E5" s="9"/>
      <c r="F5" s="9"/>
      <c r="G5" s="268" t="s">
        <v>19</v>
      </c>
      <c r="H5" s="268"/>
      <c r="I5" s="270">
        <v>41609</v>
      </c>
      <c r="J5" s="270"/>
    </row>
    <row r="6" spans="1:10" s="7" customFormat="1" ht="4.5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s="69" customFormat="1" ht="18.75" customHeight="1" x14ac:dyDescent="0.3">
      <c r="A7" s="263" t="s">
        <v>84</v>
      </c>
      <c r="B7" s="263"/>
      <c r="C7" s="263"/>
      <c r="D7" s="263"/>
      <c r="E7" s="263"/>
      <c r="F7" s="263"/>
      <c r="G7" s="263"/>
      <c r="H7" s="263"/>
      <c r="I7" s="263"/>
      <c r="J7" s="263"/>
    </row>
    <row r="8" spans="1:10" s="69" customFormat="1" ht="15" customHeight="1" x14ac:dyDescent="0.2">
      <c r="A8" s="264" t="s">
        <v>85</v>
      </c>
      <c r="B8" s="264"/>
      <c r="C8" s="264"/>
      <c r="D8" s="264"/>
      <c r="E8" s="264"/>
      <c r="F8" s="264"/>
      <c r="G8" s="264"/>
      <c r="H8" s="264"/>
      <c r="I8" s="264"/>
      <c r="J8" s="264"/>
    </row>
    <row r="9" spans="1:10" s="69" customFormat="1" ht="14.25" x14ac:dyDescent="0.2">
      <c r="A9" s="265" t="s">
        <v>86</v>
      </c>
      <c r="B9" s="265"/>
      <c r="C9" s="265"/>
      <c r="D9" s="265"/>
      <c r="E9" s="265"/>
      <c r="F9" s="265"/>
      <c r="G9" s="265"/>
      <c r="H9" s="265"/>
      <c r="I9" s="265"/>
      <c r="J9" s="265"/>
    </row>
    <row r="10" spans="1:10" s="70" customFormat="1" ht="12.75" x14ac:dyDescent="0.2">
      <c r="A10" s="266" t="s">
        <v>20</v>
      </c>
      <c r="B10" s="266"/>
      <c r="C10" s="266"/>
      <c r="D10" s="266"/>
      <c r="E10" s="266"/>
      <c r="F10" s="266"/>
      <c r="G10" s="266"/>
      <c r="H10" s="266"/>
      <c r="I10" s="266"/>
      <c r="J10" s="266"/>
    </row>
    <row r="11" spans="1:10" s="70" customFormat="1" ht="12.75" x14ac:dyDescent="0.2">
      <c r="A11" s="266" t="s">
        <v>21</v>
      </c>
      <c r="B11" s="266"/>
      <c r="C11" s="266"/>
      <c r="D11" s="266"/>
      <c r="E11" s="266"/>
      <c r="F11" s="266"/>
      <c r="G11" s="266"/>
      <c r="H11" s="266"/>
      <c r="I11" s="266"/>
      <c r="J11" s="266"/>
    </row>
    <row r="12" spans="1:10" s="69" customFormat="1" ht="6.75" customHeight="1" x14ac:dyDescent="0.2">
      <c r="A12" s="71"/>
      <c r="B12" s="71"/>
      <c r="C12" s="71"/>
      <c r="D12" s="71"/>
      <c r="E12" s="71"/>
      <c r="F12" s="71"/>
      <c r="G12" s="71"/>
      <c r="H12" s="71"/>
      <c r="I12" s="71"/>
      <c r="J12" s="71"/>
    </row>
    <row r="13" spans="1:10" s="69" customFormat="1" ht="14.25" x14ac:dyDescent="0.2">
      <c r="A13" s="72" t="s">
        <v>22</v>
      </c>
      <c r="B13" s="71"/>
      <c r="C13" s="71" t="s">
        <v>23</v>
      </c>
      <c r="D13" s="72" t="s">
        <v>164</v>
      </c>
      <c r="E13" s="71"/>
      <c r="F13" s="71"/>
      <c r="G13" s="71"/>
      <c r="H13" s="71" t="s">
        <v>24</v>
      </c>
      <c r="I13" s="71"/>
      <c r="J13" s="71" t="s">
        <v>25</v>
      </c>
    </row>
    <row r="14" spans="1:10" s="75" customFormat="1" ht="11.25" customHeight="1" x14ac:dyDescent="0.2">
      <c r="A14" s="73" t="s">
        <v>26</v>
      </c>
      <c r="B14" s="74"/>
      <c r="C14" s="74"/>
      <c r="D14" s="74"/>
      <c r="E14" s="74"/>
      <c r="F14" s="74"/>
      <c r="G14" s="74"/>
      <c r="H14" s="73" t="s">
        <v>27</v>
      </c>
      <c r="I14" s="74"/>
      <c r="J14" s="74"/>
    </row>
    <row r="15" spans="1:10" s="69" customFormat="1" ht="14.25" x14ac:dyDescent="0.2">
      <c r="A15" s="71" t="s">
        <v>28</v>
      </c>
      <c r="B15" s="71"/>
      <c r="C15" s="71" t="s">
        <v>23</v>
      </c>
      <c r="D15" s="71" t="s">
        <v>165</v>
      </c>
      <c r="E15" s="71"/>
      <c r="F15" s="71"/>
      <c r="G15" s="71"/>
      <c r="H15" s="71"/>
      <c r="I15" s="71"/>
      <c r="J15" s="71"/>
    </row>
    <row r="16" spans="1:10" s="70" customFormat="1" ht="12.75" x14ac:dyDescent="0.2">
      <c r="A16" s="73" t="s">
        <v>29</v>
      </c>
      <c r="B16" s="73"/>
      <c r="C16" s="73"/>
      <c r="D16" s="73" t="s">
        <v>166</v>
      </c>
      <c r="E16" s="73"/>
      <c r="F16" s="73"/>
      <c r="G16" s="73"/>
      <c r="H16" s="73"/>
      <c r="I16" s="73"/>
      <c r="J16" s="73"/>
    </row>
    <row r="17" spans="1:10" s="69" customFormat="1" ht="14.25" x14ac:dyDescent="0.2">
      <c r="A17" s="71" t="s">
        <v>30</v>
      </c>
      <c r="B17" s="71"/>
      <c r="C17" s="71" t="s">
        <v>23</v>
      </c>
      <c r="D17" s="72" t="s">
        <v>31</v>
      </c>
      <c r="E17" s="71"/>
      <c r="F17" s="71"/>
      <c r="G17" s="71"/>
      <c r="H17" s="71" t="s">
        <v>32</v>
      </c>
      <c r="I17" s="71"/>
      <c r="J17" s="71"/>
    </row>
    <row r="18" spans="1:10" s="70" customFormat="1" ht="10.5" customHeight="1" x14ac:dyDescent="0.2">
      <c r="A18" s="73" t="s">
        <v>33</v>
      </c>
      <c r="B18" s="73"/>
      <c r="C18" s="73"/>
      <c r="D18" s="73"/>
      <c r="E18" s="73"/>
      <c r="F18" s="73"/>
      <c r="G18" s="73"/>
      <c r="H18" s="73" t="s">
        <v>34</v>
      </c>
      <c r="I18" s="73"/>
      <c r="J18" s="73"/>
    </row>
    <row r="19" spans="1:10" s="69" customFormat="1" ht="14.25" x14ac:dyDescent="0.2">
      <c r="A19" s="71" t="s">
        <v>35</v>
      </c>
      <c r="B19" s="71"/>
      <c r="C19" s="71" t="s">
        <v>23</v>
      </c>
      <c r="D19" s="71" t="s">
        <v>36</v>
      </c>
      <c r="E19" s="71"/>
      <c r="F19" s="71"/>
      <c r="G19" s="71"/>
      <c r="H19" s="71"/>
      <c r="I19" s="71"/>
      <c r="J19" s="71"/>
    </row>
    <row r="20" spans="1:10" s="70" customFormat="1" ht="11.25" customHeight="1" x14ac:dyDescent="0.2">
      <c r="A20" s="73" t="s">
        <v>37</v>
      </c>
      <c r="B20" s="73"/>
      <c r="C20" s="73"/>
      <c r="D20" s="73"/>
      <c r="E20" s="73"/>
      <c r="F20" s="73"/>
      <c r="G20" s="73"/>
      <c r="H20" s="73"/>
      <c r="I20" s="73"/>
      <c r="J20" s="73"/>
    </row>
    <row r="21" spans="1:10" s="69" customFormat="1" ht="14.25" x14ac:dyDescent="0.2">
      <c r="A21" s="72" t="s">
        <v>38</v>
      </c>
      <c r="B21" s="71"/>
      <c r="C21" s="71" t="s">
        <v>23</v>
      </c>
      <c r="D21" s="72" t="s">
        <v>156</v>
      </c>
      <c r="E21" s="76"/>
      <c r="F21" s="71"/>
      <c r="G21" s="71"/>
      <c r="H21" s="71" t="s">
        <v>39</v>
      </c>
      <c r="I21" s="71"/>
      <c r="J21" s="71" t="s">
        <v>25</v>
      </c>
    </row>
    <row r="22" spans="1:10" s="70" customFormat="1" ht="11.25" customHeight="1" x14ac:dyDescent="0.2">
      <c r="A22" s="73" t="s">
        <v>40</v>
      </c>
      <c r="B22" s="73"/>
      <c r="C22" s="73"/>
      <c r="D22" s="73"/>
      <c r="E22" s="73"/>
      <c r="F22" s="73"/>
      <c r="G22" s="73"/>
      <c r="H22" s="73" t="s">
        <v>27</v>
      </c>
      <c r="I22" s="73"/>
      <c r="J22" s="73"/>
    </row>
    <row r="23" spans="1:10" s="69" customFormat="1" ht="14.25" x14ac:dyDescent="0.2">
      <c r="A23" s="71" t="s">
        <v>41</v>
      </c>
      <c r="B23" s="71"/>
      <c r="C23" s="71" t="s">
        <v>23</v>
      </c>
      <c r="D23" s="267" t="s">
        <v>163</v>
      </c>
      <c r="E23" s="267"/>
      <c r="F23" s="71"/>
      <c r="G23" s="71"/>
      <c r="H23" s="71" t="s">
        <v>42</v>
      </c>
      <c r="J23" s="78" t="s">
        <v>25</v>
      </c>
    </row>
    <row r="24" spans="1:10" s="70" customFormat="1" ht="12.75" x14ac:dyDescent="0.2">
      <c r="A24" s="73" t="s">
        <v>43</v>
      </c>
      <c r="B24" s="73"/>
      <c r="C24" s="73"/>
      <c r="D24" s="259" t="s">
        <v>44</v>
      </c>
      <c r="E24" s="259"/>
      <c r="F24" s="73"/>
      <c r="G24" s="73"/>
      <c r="H24" s="73" t="s">
        <v>45</v>
      </c>
      <c r="I24" s="73"/>
      <c r="J24" s="73"/>
    </row>
    <row r="25" spans="1:10" s="69" customFormat="1" ht="14.25" x14ac:dyDescent="0.2">
      <c r="A25" s="71" t="s">
        <v>48</v>
      </c>
      <c r="B25" s="71"/>
      <c r="C25" s="71" t="s">
        <v>23</v>
      </c>
      <c r="D25" s="71" t="s">
        <v>129</v>
      </c>
      <c r="E25" s="71"/>
      <c r="F25" s="71"/>
      <c r="G25" s="71"/>
      <c r="H25" s="71"/>
      <c r="I25" s="71"/>
      <c r="J25" s="71"/>
    </row>
    <row r="26" spans="1:10" s="70" customFormat="1" ht="12.75" x14ac:dyDescent="0.2">
      <c r="A26" s="73" t="s">
        <v>49</v>
      </c>
      <c r="B26" s="73"/>
      <c r="C26" s="73"/>
      <c r="D26" s="73"/>
      <c r="E26" s="73"/>
      <c r="F26" s="73"/>
      <c r="G26" s="73"/>
      <c r="H26" s="73"/>
      <c r="I26" s="73"/>
      <c r="J26" s="73"/>
    </row>
    <row r="27" spans="1:10" s="69" customFormat="1" ht="17.25" customHeight="1" x14ac:dyDescent="0.2">
      <c r="A27" s="71" t="s">
        <v>167</v>
      </c>
      <c r="B27" s="71"/>
      <c r="C27" s="71" t="s">
        <v>23</v>
      </c>
      <c r="D27" s="260" t="s">
        <v>176</v>
      </c>
      <c r="E27" s="260"/>
      <c r="F27" s="261">
        <v>39895</v>
      </c>
      <c r="G27" s="261"/>
      <c r="H27" s="77" t="s">
        <v>42</v>
      </c>
      <c r="J27" s="78" t="s">
        <v>25</v>
      </c>
    </row>
    <row r="28" spans="1:10" s="12" customFormat="1" ht="12.75" x14ac:dyDescent="0.2">
      <c r="A28" s="62" t="s">
        <v>168</v>
      </c>
      <c r="B28" s="62"/>
      <c r="C28" s="13"/>
      <c r="E28" s="61" t="s">
        <v>52</v>
      </c>
      <c r="H28" s="61" t="s">
        <v>45</v>
      </c>
      <c r="I28" s="62"/>
      <c r="J28" s="62"/>
    </row>
    <row r="29" spans="1:10" s="21" customFormat="1" ht="14.25" x14ac:dyDescent="0.2">
      <c r="A29" s="16" t="s">
        <v>172</v>
      </c>
      <c r="C29" s="19"/>
      <c r="D29" s="67"/>
      <c r="E29" s="67"/>
      <c r="F29" s="68"/>
      <c r="G29" s="19"/>
      <c r="H29" s="19"/>
      <c r="I29" s="19"/>
      <c r="J29" s="19"/>
    </row>
    <row r="30" spans="1:10" s="21" customFormat="1" ht="14.25" x14ac:dyDescent="0.2">
      <c r="A30" s="16" t="s">
        <v>87</v>
      </c>
      <c r="C30" s="19"/>
      <c r="D30" s="19"/>
      <c r="E30" s="19"/>
      <c r="G30" s="19"/>
      <c r="H30" s="19"/>
      <c r="I30" s="19"/>
      <c r="J30" s="19"/>
    </row>
    <row r="31" spans="1:10" s="21" customFormat="1" ht="12.75" x14ac:dyDescent="0.2">
      <c r="A31" s="19" t="s">
        <v>160</v>
      </c>
      <c r="C31" s="19"/>
      <c r="D31" s="19"/>
      <c r="E31" s="19"/>
      <c r="G31" s="19"/>
      <c r="H31" s="19"/>
      <c r="I31" s="19"/>
      <c r="J31" s="19"/>
    </row>
    <row r="32" spans="1:10" s="21" customFormat="1" ht="12.75" x14ac:dyDescent="0.2">
      <c r="A32" s="19" t="s">
        <v>88</v>
      </c>
      <c r="C32" s="19"/>
      <c r="D32" s="19"/>
      <c r="E32" s="19"/>
      <c r="G32" s="19"/>
      <c r="H32" s="19"/>
      <c r="I32" s="19"/>
      <c r="J32" s="19"/>
    </row>
    <row r="33" spans="1:10" s="18" customFormat="1" ht="15.75" customHeight="1" x14ac:dyDescent="0.2">
      <c r="A33" s="24" t="s">
        <v>89</v>
      </c>
      <c r="B33" s="24"/>
      <c r="C33" s="16"/>
      <c r="D33" s="16"/>
      <c r="E33" s="16"/>
      <c r="F33" s="16"/>
      <c r="G33" s="16"/>
      <c r="H33" s="16"/>
      <c r="I33" s="16"/>
      <c r="J33" s="16"/>
    </row>
    <row r="34" spans="1:10" s="18" customFormat="1" ht="15.75" customHeight="1" x14ac:dyDescent="0.2">
      <c r="A34" s="19" t="s">
        <v>91</v>
      </c>
      <c r="B34" s="24"/>
      <c r="C34" s="16"/>
      <c r="D34" s="16"/>
      <c r="E34" s="16"/>
      <c r="F34" s="16"/>
      <c r="G34" s="16"/>
      <c r="H34" s="16"/>
      <c r="I34" s="16"/>
      <c r="J34" s="16"/>
    </row>
    <row r="35" spans="1:10" s="18" customFormat="1" ht="15.75" customHeight="1" x14ac:dyDescent="0.2">
      <c r="A35" s="24" t="s">
        <v>63</v>
      </c>
      <c r="B35" s="24" t="s">
        <v>64</v>
      </c>
      <c r="C35" s="16"/>
      <c r="D35" s="16"/>
      <c r="E35" s="16"/>
      <c r="F35" s="16"/>
      <c r="G35" s="16"/>
      <c r="H35" s="16"/>
      <c r="I35" s="16"/>
      <c r="J35" s="16"/>
    </row>
    <row r="36" spans="1:10" s="21" customFormat="1" ht="12.75" x14ac:dyDescent="0.2">
      <c r="A36" s="19" t="s">
        <v>65</v>
      </c>
      <c r="B36" s="19" t="s">
        <v>66</v>
      </c>
      <c r="C36" s="19"/>
      <c r="D36" s="19"/>
      <c r="E36" s="19"/>
      <c r="F36" s="19"/>
      <c r="G36" s="19"/>
      <c r="H36" s="19"/>
      <c r="I36" s="19"/>
      <c r="J36" s="19"/>
    </row>
    <row r="37" spans="1:10" s="18" customFormat="1" ht="14.25" x14ac:dyDescent="0.2">
      <c r="A37" s="24" t="s">
        <v>90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s="18" customFormat="1" ht="14.25" x14ac:dyDescent="0.2">
      <c r="A38" s="19" t="s">
        <v>92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s="18" customFormat="1" ht="14.25" x14ac:dyDescent="0.2">
      <c r="A39" s="25" t="s">
        <v>9</v>
      </c>
      <c r="B39" s="16" t="s">
        <v>112</v>
      </c>
      <c r="E39" s="20"/>
      <c r="F39" s="16" t="s">
        <v>23</v>
      </c>
      <c r="H39" s="20" t="s">
        <v>169</v>
      </c>
      <c r="J39" s="16"/>
    </row>
    <row r="40" spans="1:10" s="18" customFormat="1" ht="14.25" x14ac:dyDescent="0.2">
      <c r="A40" s="25" t="s">
        <v>9</v>
      </c>
      <c r="B40" s="16" t="s">
        <v>113</v>
      </c>
      <c r="E40" s="20"/>
      <c r="F40" s="16"/>
      <c r="H40" s="20"/>
      <c r="J40" s="16"/>
    </row>
    <row r="41" spans="1:10" s="18" customFormat="1" ht="14.25" x14ac:dyDescent="0.2">
      <c r="A41" s="26" t="s">
        <v>100</v>
      </c>
      <c r="B41" s="16"/>
      <c r="E41" s="20"/>
      <c r="F41" s="16"/>
      <c r="H41" s="20"/>
      <c r="J41" s="16"/>
    </row>
    <row r="42" spans="1:10" s="18" customFormat="1" ht="15" customHeight="1" x14ac:dyDescent="0.2">
      <c r="A42" s="25" t="s">
        <v>9</v>
      </c>
      <c r="B42" s="16" t="s">
        <v>114</v>
      </c>
      <c r="C42" s="16"/>
      <c r="D42" s="16"/>
      <c r="E42" s="19"/>
      <c r="F42" s="16" t="s">
        <v>23</v>
      </c>
      <c r="G42" s="262">
        <v>1700</v>
      </c>
      <c r="H42" s="262"/>
      <c r="I42" s="16" t="s">
        <v>157</v>
      </c>
      <c r="J42" s="16"/>
    </row>
    <row r="43" spans="1:10" s="18" customFormat="1" ht="16.5" customHeight="1" x14ac:dyDescent="0.2">
      <c r="A43" s="25" t="s">
        <v>9</v>
      </c>
      <c r="B43" s="16" t="s">
        <v>115</v>
      </c>
      <c r="C43" s="16"/>
      <c r="D43" s="16"/>
      <c r="E43" s="16"/>
      <c r="F43" s="16"/>
      <c r="G43" s="16"/>
      <c r="H43" s="16"/>
      <c r="I43" s="16"/>
      <c r="J43" s="16"/>
    </row>
    <row r="44" spans="1:10" s="18" customFormat="1" ht="15" customHeight="1" x14ac:dyDescent="0.2">
      <c r="A44" s="25" t="s">
        <v>9</v>
      </c>
      <c r="B44" s="16" t="s">
        <v>175</v>
      </c>
      <c r="C44" s="16"/>
      <c r="D44" s="16"/>
      <c r="E44" s="16"/>
      <c r="F44" s="16"/>
      <c r="G44" s="255"/>
      <c r="H44" s="255"/>
      <c r="I44" s="16" t="s">
        <v>174</v>
      </c>
      <c r="J44" s="16"/>
    </row>
    <row r="45" spans="1:10" s="18" customFormat="1" ht="15" customHeight="1" x14ac:dyDescent="0.2">
      <c r="A45" s="25" t="s">
        <v>9</v>
      </c>
      <c r="B45" s="16" t="s">
        <v>116</v>
      </c>
      <c r="C45" s="16"/>
      <c r="D45" s="16"/>
      <c r="E45" s="16"/>
      <c r="F45" s="16"/>
      <c r="G45" s="255"/>
      <c r="H45" s="255"/>
      <c r="I45" s="16" t="s">
        <v>67</v>
      </c>
      <c r="J45" s="16"/>
    </row>
    <row r="46" spans="1:10" s="18" customFormat="1" ht="15" customHeight="1" x14ac:dyDescent="0.2">
      <c r="A46" s="25" t="s">
        <v>9</v>
      </c>
      <c r="B46" s="16" t="s">
        <v>117</v>
      </c>
      <c r="C46" s="16"/>
      <c r="D46" s="16"/>
      <c r="E46" s="16"/>
      <c r="F46" s="16"/>
      <c r="G46" s="255"/>
      <c r="H46" s="255"/>
      <c r="I46" s="16" t="s">
        <v>67</v>
      </c>
      <c r="J46" s="16"/>
    </row>
    <row r="47" spans="1:10" s="18" customFormat="1" ht="15" customHeight="1" x14ac:dyDescent="0.2">
      <c r="A47" s="25" t="s">
        <v>9</v>
      </c>
      <c r="B47" s="16" t="s">
        <v>118</v>
      </c>
      <c r="C47" s="16"/>
      <c r="D47" s="19"/>
      <c r="E47" s="16"/>
      <c r="F47" s="16"/>
      <c r="G47" s="255"/>
      <c r="H47" s="255"/>
      <c r="I47" s="16" t="s">
        <v>67</v>
      </c>
      <c r="J47" s="16"/>
    </row>
    <row r="48" spans="1:10" s="18" customFormat="1" ht="15" customHeight="1" x14ac:dyDescent="0.2">
      <c r="A48" s="25" t="s">
        <v>9</v>
      </c>
      <c r="B48" s="16" t="s">
        <v>119</v>
      </c>
      <c r="C48" s="16"/>
      <c r="D48" s="19"/>
      <c r="E48" s="16"/>
      <c r="F48" s="16"/>
      <c r="G48" s="255"/>
      <c r="H48" s="255"/>
      <c r="I48" s="16" t="s">
        <v>67</v>
      </c>
      <c r="J48" s="16"/>
    </row>
    <row r="49" spans="1:10" s="18" customFormat="1" ht="15" customHeight="1" x14ac:dyDescent="0.2">
      <c r="A49" s="25" t="s">
        <v>9</v>
      </c>
      <c r="B49" s="16" t="s">
        <v>120</v>
      </c>
      <c r="C49" s="16"/>
      <c r="D49" s="19"/>
      <c r="E49" s="16"/>
      <c r="F49" s="16"/>
      <c r="G49" s="255"/>
      <c r="H49" s="255"/>
      <c r="I49" s="16" t="s">
        <v>67</v>
      </c>
      <c r="J49" s="16"/>
    </row>
    <row r="50" spans="1:10" s="18" customFormat="1" ht="15" customHeight="1" x14ac:dyDescent="0.2">
      <c r="A50" s="25" t="s">
        <v>9</v>
      </c>
      <c r="B50" s="16" t="s">
        <v>121</v>
      </c>
      <c r="C50" s="16"/>
      <c r="D50" s="19"/>
      <c r="E50" s="16"/>
      <c r="F50" s="16"/>
      <c r="G50" s="255"/>
      <c r="H50" s="255"/>
      <c r="I50" s="16" t="s">
        <v>67</v>
      </c>
      <c r="J50" s="16"/>
    </row>
    <row r="51" spans="1:10" s="18" customFormat="1" ht="14.25" x14ac:dyDescent="0.2">
      <c r="A51" s="25" t="s">
        <v>9</v>
      </c>
      <c r="B51" s="16" t="s">
        <v>95</v>
      </c>
      <c r="C51" s="16"/>
      <c r="D51" s="16"/>
      <c r="E51" s="16"/>
      <c r="F51" s="16"/>
      <c r="G51" s="16" t="s">
        <v>93</v>
      </c>
      <c r="H51" s="16"/>
      <c r="I51" s="16"/>
      <c r="J51" s="16"/>
    </row>
    <row r="52" spans="1:10" s="23" customFormat="1" ht="14.25" x14ac:dyDescent="0.2">
      <c r="A52" s="22"/>
      <c r="B52" s="19" t="s">
        <v>68</v>
      </c>
      <c r="C52" s="22"/>
      <c r="D52" s="22"/>
      <c r="E52" s="22"/>
      <c r="F52" s="22"/>
      <c r="G52" s="19" t="s">
        <v>94</v>
      </c>
      <c r="H52" s="22"/>
      <c r="I52" s="22"/>
      <c r="J52" s="22"/>
    </row>
    <row r="53" spans="1:10" s="18" customFormat="1" ht="14.25" x14ac:dyDescent="0.2">
      <c r="A53" s="24" t="s">
        <v>96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s="18" customFormat="1" ht="14.25" x14ac:dyDescent="0.2">
      <c r="A54" s="19" t="s">
        <v>97</v>
      </c>
      <c r="B54" s="16"/>
      <c r="C54" s="16"/>
      <c r="D54" s="16"/>
      <c r="E54" s="16"/>
      <c r="F54" s="16"/>
      <c r="G54" s="16"/>
      <c r="H54" s="16"/>
      <c r="I54" s="16"/>
      <c r="J54" s="16"/>
    </row>
    <row r="55" spans="1:10" s="18" customFormat="1" ht="14.25" x14ac:dyDescent="0.2">
      <c r="A55" s="25" t="s">
        <v>9</v>
      </c>
      <c r="B55" s="16" t="s">
        <v>112</v>
      </c>
      <c r="E55" s="20"/>
      <c r="F55" s="16" t="s">
        <v>23</v>
      </c>
      <c r="H55" s="20" t="str">
        <f>H39:I39</f>
        <v>P.Tổng giám đốc</v>
      </c>
      <c r="J55" s="16"/>
    </row>
    <row r="56" spans="1:10" s="18" customFormat="1" ht="14.25" x14ac:dyDescent="0.2">
      <c r="A56" s="25" t="s">
        <v>9</v>
      </c>
      <c r="B56" s="16" t="s">
        <v>113</v>
      </c>
      <c r="E56" s="20"/>
      <c r="F56" s="16"/>
      <c r="H56" s="20"/>
      <c r="J56" s="16"/>
    </row>
    <row r="57" spans="1:10" s="18" customFormat="1" ht="14.25" x14ac:dyDescent="0.2">
      <c r="A57" s="26" t="s">
        <v>100</v>
      </c>
      <c r="B57" s="16"/>
      <c r="E57" s="20"/>
      <c r="F57" s="16"/>
      <c r="H57" s="20"/>
      <c r="J57" s="16"/>
    </row>
    <row r="58" spans="1:10" s="18" customFormat="1" ht="15" customHeight="1" x14ac:dyDescent="0.2">
      <c r="A58" s="25" t="s">
        <v>9</v>
      </c>
      <c r="B58" s="16" t="s">
        <v>114</v>
      </c>
      <c r="C58" s="16"/>
      <c r="D58" s="16"/>
      <c r="E58" s="19"/>
      <c r="F58" s="16" t="s">
        <v>23</v>
      </c>
      <c r="G58" s="255">
        <v>1900</v>
      </c>
      <c r="H58" s="255"/>
      <c r="I58" s="16" t="s">
        <v>157</v>
      </c>
      <c r="J58" s="16"/>
    </row>
    <row r="59" spans="1:10" s="18" customFormat="1" ht="16.5" customHeight="1" x14ac:dyDescent="0.2">
      <c r="A59" s="25" t="s">
        <v>9</v>
      </c>
      <c r="B59" s="16" t="s">
        <v>115</v>
      </c>
      <c r="C59" s="16"/>
      <c r="D59" s="16"/>
      <c r="E59" s="16"/>
      <c r="F59" s="16"/>
      <c r="G59" s="16"/>
      <c r="H59" s="16"/>
      <c r="I59" s="16"/>
      <c r="J59" s="16"/>
    </row>
    <row r="60" spans="1:10" s="18" customFormat="1" ht="15" customHeight="1" x14ac:dyDescent="0.2">
      <c r="A60" s="25" t="s">
        <v>9</v>
      </c>
      <c r="B60" s="16" t="s">
        <v>122</v>
      </c>
      <c r="C60" s="16"/>
      <c r="D60" s="16"/>
      <c r="E60" s="16"/>
      <c r="F60" s="16" t="s">
        <v>23</v>
      </c>
      <c r="G60" s="255"/>
      <c r="H60" s="255"/>
      <c r="I60" s="16" t="s">
        <v>67</v>
      </c>
      <c r="J60" s="16"/>
    </row>
    <row r="61" spans="1:10" s="18" customFormat="1" ht="15" customHeight="1" x14ac:dyDescent="0.2">
      <c r="A61" s="25" t="s">
        <v>9</v>
      </c>
      <c r="B61" s="16" t="s">
        <v>123</v>
      </c>
      <c r="C61" s="16"/>
      <c r="D61" s="16"/>
      <c r="E61" s="16"/>
      <c r="F61" s="16"/>
      <c r="G61" s="255"/>
      <c r="H61" s="255"/>
      <c r="I61" s="16" t="s">
        <v>67</v>
      </c>
      <c r="J61" s="16"/>
    </row>
    <row r="62" spans="1:10" s="18" customFormat="1" ht="15" customHeight="1" x14ac:dyDescent="0.2">
      <c r="A62" s="25" t="s">
        <v>9</v>
      </c>
      <c r="B62" s="16" t="s">
        <v>117</v>
      </c>
      <c r="C62" s="16"/>
      <c r="D62" s="16"/>
      <c r="E62" s="16"/>
      <c r="F62" s="16" t="s">
        <v>23</v>
      </c>
      <c r="G62" s="255"/>
      <c r="H62" s="255"/>
      <c r="I62" s="16" t="s">
        <v>67</v>
      </c>
      <c r="J62" s="16"/>
    </row>
    <row r="63" spans="1:10" s="18" customFormat="1" ht="15" customHeight="1" x14ac:dyDescent="0.2">
      <c r="A63" s="25" t="s">
        <v>9</v>
      </c>
      <c r="B63" s="16" t="s">
        <v>118</v>
      </c>
      <c r="C63" s="16"/>
      <c r="D63" s="19"/>
      <c r="E63" s="16"/>
      <c r="F63" s="16" t="s">
        <v>23</v>
      </c>
      <c r="G63" s="255"/>
      <c r="H63" s="255"/>
      <c r="I63" s="16" t="s">
        <v>67</v>
      </c>
      <c r="J63" s="16"/>
    </row>
    <row r="64" spans="1:10" s="18" customFormat="1" ht="15" customHeight="1" x14ac:dyDescent="0.2">
      <c r="A64" s="25" t="s">
        <v>9</v>
      </c>
      <c r="B64" s="16" t="s">
        <v>119</v>
      </c>
      <c r="C64" s="16"/>
      <c r="D64" s="19"/>
      <c r="E64" s="16"/>
      <c r="F64" s="16" t="s">
        <v>23</v>
      </c>
      <c r="G64" s="255"/>
      <c r="H64" s="255"/>
      <c r="I64" s="16" t="s">
        <v>67</v>
      </c>
      <c r="J64" s="16"/>
    </row>
    <row r="65" spans="1:10" s="18" customFormat="1" ht="15" customHeight="1" x14ac:dyDescent="0.2">
      <c r="A65" s="25" t="s">
        <v>9</v>
      </c>
      <c r="B65" s="16" t="s">
        <v>120</v>
      </c>
      <c r="C65" s="16"/>
      <c r="D65" s="19"/>
      <c r="E65" s="16"/>
      <c r="F65" s="16" t="s">
        <v>23</v>
      </c>
      <c r="G65" s="255"/>
      <c r="H65" s="255"/>
      <c r="I65" s="16" t="s">
        <v>67</v>
      </c>
      <c r="J65" s="16"/>
    </row>
    <row r="66" spans="1:10" s="18" customFormat="1" ht="15" customHeight="1" x14ac:dyDescent="0.2">
      <c r="A66" s="25" t="s">
        <v>9</v>
      </c>
      <c r="B66" s="16" t="s">
        <v>121</v>
      </c>
      <c r="C66" s="16"/>
      <c r="D66" s="19"/>
      <c r="E66" s="16"/>
      <c r="F66" s="16" t="s">
        <v>23</v>
      </c>
      <c r="G66" s="255"/>
      <c r="H66" s="255"/>
      <c r="I66" s="16" t="s">
        <v>67</v>
      </c>
      <c r="J66" s="16"/>
    </row>
    <row r="67" spans="1:10" s="18" customFormat="1" ht="15" customHeight="1" x14ac:dyDescent="0.2">
      <c r="A67" s="25" t="s">
        <v>9</v>
      </c>
      <c r="B67" s="16" t="s">
        <v>124</v>
      </c>
      <c r="C67" s="16"/>
      <c r="D67" s="19"/>
      <c r="E67" s="16"/>
      <c r="F67" s="16"/>
      <c r="G67" s="255"/>
      <c r="H67" s="255"/>
      <c r="I67" s="16" t="s">
        <v>67</v>
      </c>
      <c r="J67" s="16"/>
    </row>
    <row r="68" spans="1:10" s="18" customFormat="1" ht="14.25" x14ac:dyDescent="0.2">
      <c r="A68" s="25" t="s">
        <v>9</v>
      </c>
      <c r="B68" s="16" t="s">
        <v>95</v>
      </c>
      <c r="C68" s="16"/>
      <c r="D68" s="16"/>
      <c r="E68" s="16"/>
      <c r="F68" s="16"/>
      <c r="G68" s="16" t="s">
        <v>93</v>
      </c>
      <c r="H68" s="16"/>
      <c r="I68" s="16"/>
      <c r="J68" s="16"/>
    </row>
    <row r="69" spans="1:10" s="23" customFormat="1" ht="14.25" x14ac:dyDescent="0.2">
      <c r="A69" s="22"/>
      <c r="B69" s="19" t="s">
        <v>68</v>
      </c>
      <c r="C69" s="22"/>
      <c r="D69" s="22"/>
      <c r="E69" s="22"/>
      <c r="F69" s="22"/>
      <c r="G69" s="19" t="s">
        <v>94</v>
      </c>
      <c r="H69" s="22"/>
      <c r="I69" s="22"/>
      <c r="J69" s="22"/>
    </row>
    <row r="70" spans="1:10" s="18" customFormat="1" ht="15.75" customHeight="1" x14ac:dyDescent="0.2">
      <c r="A70" s="24" t="s">
        <v>98</v>
      </c>
      <c r="B70" s="24"/>
      <c r="C70" s="16"/>
      <c r="D70" s="16"/>
      <c r="E70" s="16"/>
      <c r="F70" s="16"/>
      <c r="G70" s="16"/>
      <c r="H70" s="16"/>
      <c r="I70" s="16"/>
      <c r="J70" s="16"/>
    </row>
    <row r="71" spans="1:10" s="18" customFormat="1" ht="15.75" customHeight="1" x14ac:dyDescent="0.2">
      <c r="A71" s="19" t="s">
        <v>99</v>
      </c>
      <c r="B71" s="24"/>
      <c r="C71" s="16"/>
      <c r="D71" s="16"/>
      <c r="E71" s="16"/>
      <c r="F71" s="16"/>
      <c r="G71" s="16"/>
      <c r="H71" s="16"/>
      <c r="I71" s="16"/>
      <c r="J71" s="16"/>
    </row>
    <row r="72" spans="1:10" s="18" customFormat="1" ht="15.75" customHeight="1" x14ac:dyDescent="0.2">
      <c r="A72" s="25" t="s">
        <v>9</v>
      </c>
      <c r="B72" s="16" t="s">
        <v>101</v>
      </c>
      <c r="C72" s="16"/>
      <c r="D72" s="16"/>
      <c r="E72" s="16"/>
      <c r="F72" s="16" t="s">
        <v>23</v>
      </c>
      <c r="G72" s="256">
        <v>1</v>
      </c>
      <c r="H72" s="256"/>
      <c r="I72" s="16" t="s">
        <v>158</v>
      </c>
      <c r="J72" s="16"/>
    </row>
    <row r="73" spans="1:10" s="18" customFormat="1" ht="15.75" customHeight="1" x14ac:dyDescent="0.2">
      <c r="A73" s="25"/>
      <c r="B73" s="19" t="s">
        <v>102</v>
      </c>
      <c r="C73" s="16"/>
      <c r="D73" s="16"/>
      <c r="E73" s="16"/>
      <c r="F73" s="16"/>
      <c r="G73" s="16"/>
      <c r="H73" s="16"/>
      <c r="I73" s="19" t="s">
        <v>159</v>
      </c>
      <c r="J73" s="16"/>
    </row>
    <row r="74" spans="1:10" s="18" customFormat="1" ht="15.75" customHeight="1" x14ac:dyDescent="0.2">
      <c r="A74" s="25" t="s">
        <v>9</v>
      </c>
      <c r="B74" s="16" t="s">
        <v>103</v>
      </c>
      <c r="C74" s="16"/>
      <c r="D74" s="257">
        <v>41609</v>
      </c>
      <c r="E74" s="257"/>
      <c r="F74" s="65" t="s">
        <v>55</v>
      </c>
      <c r="G74" s="257">
        <v>41974</v>
      </c>
      <c r="H74" s="257"/>
      <c r="I74" s="16"/>
      <c r="J74" s="16"/>
    </row>
    <row r="75" spans="1:10" s="21" customFormat="1" ht="15.75" customHeight="1" x14ac:dyDescent="0.2">
      <c r="A75" s="19"/>
      <c r="B75" s="19" t="s">
        <v>56</v>
      </c>
      <c r="C75" s="19"/>
      <c r="D75" s="19"/>
      <c r="E75" s="19"/>
      <c r="F75" s="17" t="s">
        <v>57</v>
      </c>
      <c r="G75" s="19"/>
      <c r="H75" s="19"/>
      <c r="I75" s="19"/>
      <c r="J75" s="19"/>
    </row>
    <row r="76" spans="1:10" s="18" customFormat="1" ht="15.75" customHeight="1" x14ac:dyDescent="0.2">
      <c r="A76" s="16" t="s">
        <v>170</v>
      </c>
      <c r="B76" s="24"/>
      <c r="C76" s="16"/>
      <c r="D76" s="16"/>
      <c r="E76" s="16"/>
      <c r="F76" s="16"/>
      <c r="G76" s="16"/>
      <c r="H76" s="16"/>
      <c r="I76" s="16"/>
      <c r="J76" s="16"/>
    </row>
    <row r="77" spans="1:10" s="18" customFormat="1" ht="16.5" customHeight="1" x14ac:dyDescent="0.2">
      <c r="A77" s="16" t="s">
        <v>104</v>
      </c>
      <c r="B77" s="16"/>
      <c r="C77" s="16"/>
      <c r="D77" s="16"/>
      <c r="E77" s="16"/>
      <c r="F77" s="258"/>
      <c r="G77" s="258"/>
      <c r="H77" s="258"/>
      <c r="I77" s="258"/>
      <c r="J77" s="258"/>
    </row>
    <row r="78" spans="1:10" s="18" customFormat="1" ht="16.5" customHeight="1" x14ac:dyDescent="0.2">
      <c r="A78" s="19" t="s">
        <v>171</v>
      </c>
      <c r="B78" s="16"/>
      <c r="C78" s="16"/>
      <c r="D78" s="16"/>
      <c r="E78" s="16"/>
      <c r="F78" s="63"/>
      <c r="G78" s="63"/>
      <c r="H78" s="63"/>
      <c r="I78" s="63"/>
      <c r="J78" s="63"/>
    </row>
    <row r="79" spans="1:10" s="18" customFormat="1" ht="16.5" customHeight="1" x14ac:dyDescent="0.2">
      <c r="A79" s="16" t="s">
        <v>161</v>
      </c>
      <c r="B79" s="16"/>
      <c r="C79" s="16"/>
      <c r="D79" s="16"/>
      <c r="E79" s="16"/>
      <c r="F79" s="63"/>
      <c r="G79" s="63"/>
      <c r="H79" s="63"/>
      <c r="I79" s="63"/>
      <c r="J79" s="63"/>
    </row>
    <row r="80" spans="1:10" s="18" customFormat="1" ht="16.5" customHeight="1" x14ac:dyDescent="0.2">
      <c r="A80" s="16" t="s">
        <v>105</v>
      </c>
      <c r="B80" s="16"/>
      <c r="C80" s="16"/>
      <c r="D80" s="16"/>
      <c r="E80" s="16"/>
      <c r="F80" s="63"/>
      <c r="G80" s="63"/>
      <c r="H80" s="63"/>
      <c r="I80" s="63"/>
      <c r="J80" s="63"/>
    </row>
    <row r="81" spans="1:10" s="18" customFormat="1" ht="16.5" customHeight="1" x14ac:dyDescent="0.2">
      <c r="A81" s="19" t="s">
        <v>162</v>
      </c>
      <c r="B81" s="16"/>
      <c r="C81" s="16"/>
      <c r="D81" s="16"/>
      <c r="E81" s="16"/>
      <c r="F81" s="63"/>
      <c r="G81" s="63"/>
      <c r="H81" s="63"/>
      <c r="I81" s="63"/>
      <c r="J81" s="63"/>
    </row>
    <row r="82" spans="1:10" s="18" customFormat="1" ht="16.5" customHeight="1" x14ac:dyDescent="0.2">
      <c r="A82" s="19" t="s">
        <v>106</v>
      </c>
      <c r="B82" s="16"/>
      <c r="C82" s="16"/>
      <c r="D82" s="16"/>
      <c r="E82" s="16"/>
      <c r="F82" s="63"/>
      <c r="G82" s="63"/>
      <c r="H82" s="63"/>
      <c r="I82" s="63"/>
      <c r="J82" s="63"/>
    </row>
    <row r="83" spans="1:10" s="7" customFormat="1" ht="16.5" customHeight="1" x14ac:dyDescent="0.2">
      <c r="A83" s="9"/>
      <c r="B83" s="9"/>
      <c r="C83" s="9"/>
      <c r="D83" s="9"/>
      <c r="E83" s="9"/>
      <c r="F83" s="64"/>
      <c r="G83" s="64"/>
      <c r="H83" s="64"/>
      <c r="I83" s="64"/>
      <c r="J83" s="64"/>
    </row>
    <row r="84" spans="1:10" s="7" customFormat="1" ht="14.25" x14ac:dyDescent="0.2">
      <c r="A84" s="9"/>
      <c r="B84" s="252" t="s">
        <v>82</v>
      </c>
      <c r="C84" s="252"/>
      <c r="D84" s="9"/>
      <c r="E84" s="9"/>
      <c r="F84" s="252" t="s">
        <v>173</v>
      </c>
      <c r="G84" s="252"/>
      <c r="H84" s="252"/>
      <c r="I84" s="252"/>
      <c r="J84" s="252"/>
    </row>
    <row r="85" spans="1:10" s="7" customFormat="1" ht="18.75" customHeight="1" x14ac:dyDescent="0.2">
      <c r="A85" s="9"/>
      <c r="B85" s="253" t="s">
        <v>83</v>
      </c>
      <c r="C85" s="253"/>
      <c r="D85" s="9"/>
      <c r="E85" s="9"/>
      <c r="F85" s="253" t="s">
        <v>166</v>
      </c>
      <c r="G85" s="253"/>
      <c r="H85" s="253"/>
      <c r="I85" s="253"/>
      <c r="J85" s="253"/>
    </row>
    <row r="86" spans="1:10" s="7" customFormat="1" ht="14.25" x14ac:dyDescent="0.2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s="7" customFormat="1" ht="14.25" x14ac:dyDescent="0.2">
      <c r="A87" s="9"/>
      <c r="B87" s="9"/>
      <c r="C87" s="9"/>
      <c r="D87" s="9"/>
      <c r="E87" s="9"/>
      <c r="F87" s="9"/>
      <c r="G87" s="9"/>
      <c r="H87" s="9"/>
      <c r="I87" s="9"/>
      <c r="J87" s="9"/>
    </row>
    <row r="91" spans="1:10" ht="15" customHeight="1" x14ac:dyDescent="0.2">
      <c r="B91" s="254" t="str">
        <f>D21</f>
        <v>KWANG KYUNG WON</v>
      </c>
      <c r="C91" s="254"/>
      <c r="G91" s="254" t="str">
        <f>D13</f>
        <v>SIN MIN GON</v>
      </c>
      <c r="H91" s="254"/>
      <c r="I91" s="254"/>
      <c r="J91" s="66"/>
    </row>
  </sheetData>
  <mergeCells count="42">
    <mergeCell ref="D23:E23"/>
    <mergeCell ref="F1:J1"/>
    <mergeCell ref="F2:J2"/>
    <mergeCell ref="F3:J3"/>
    <mergeCell ref="F4:J4"/>
    <mergeCell ref="G5:H5"/>
    <mergeCell ref="I5:J5"/>
    <mergeCell ref="A7:J7"/>
    <mergeCell ref="A8:J8"/>
    <mergeCell ref="A9:J9"/>
    <mergeCell ref="A10:J10"/>
    <mergeCell ref="A11:J11"/>
    <mergeCell ref="G58:H58"/>
    <mergeCell ref="D24:E24"/>
    <mergeCell ref="D27:E27"/>
    <mergeCell ref="F27:G27"/>
    <mergeCell ref="G42:H42"/>
    <mergeCell ref="G44:H44"/>
    <mergeCell ref="G45:H45"/>
    <mergeCell ref="G46:H46"/>
    <mergeCell ref="G47:H47"/>
    <mergeCell ref="G48:H48"/>
    <mergeCell ref="G49:H49"/>
    <mergeCell ref="G50:H50"/>
    <mergeCell ref="F77:J77"/>
    <mergeCell ref="G60:H60"/>
    <mergeCell ref="G61:H61"/>
    <mergeCell ref="G62:H62"/>
    <mergeCell ref="G63:H63"/>
    <mergeCell ref="G64:H64"/>
    <mergeCell ref="G65:H65"/>
    <mergeCell ref="G66:H66"/>
    <mergeCell ref="G67:H67"/>
    <mergeCell ref="G72:H72"/>
    <mergeCell ref="D74:E74"/>
    <mergeCell ref="G74:H74"/>
    <mergeCell ref="B84:C84"/>
    <mergeCell ref="F84:J84"/>
    <mergeCell ref="B85:C85"/>
    <mergeCell ref="F85:J85"/>
    <mergeCell ref="B91:C91"/>
    <mergeCell ref="G91:I91"/>
  </mergeCells>
  <printOptions horizontalCentered="1"/>
  <pageMargins left="0.5" right="0.5" top="0.25" bottom="0" header="0" footer="0"/>
  <pageSetup paperSize="512" scale="90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"/>
  <sheetViews>
    <sheetView zoomScaleNormal="100" workbookViewId="0">
      <selection activeCell="O6" sqref="O6"/>
    </sheetView>
  </sheetViews>
  <sheetFormatPr defaultColWidth="9.140625" defaultRowHeight="15" x14ac:dyDescent="0.25"/>
  <cols>
    <col min="1" max="1" width="5.7109375" style="38" customWidth="1"/>
    <col min="2" max="2" width="9.7109375" style="38" customWidth="1"/>
    <col min="3" max="3" width="31.28515625" style="39" customWidth="1"/>
    <col min="4" max="4" width="10.7109375" style="56" customWidth="1"/>
    <col min="5" max="6" width="10.7109375" style="38" customWidth="1"/>
    <col min="7" max="7" width="12.7109375" style="38" hidden="1" customWidth="1"/>
    <col min="8" max="8" width="13.5703125" style="38" customWidth="1"/>
    <col min="9" max="9" width="11.7109375" style="38" hidden="1" customWidth="1"/>
    <col min="10" max="10" width="2.140625" style="38" hidden="1" customWidth="1"/>
    <col min="11" max="11" width="11.7109375" style="38" customWidth="1"/>
    <col min="12" max="12" width="14.85546875" style="38" customWidth="1"/>
    <col min="13" max="16384" width="9.140625" style="36"/>
  </cols>
  <sheetData>
    <row r="1" spans="1:12" ht="22.5" collapsed="1" x14ac:dyDescent="0.3">
      <c r="A1" s="271" t="s">
        <v>152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</row>
    <row r="2" spans="1:12" ht="18.75" x14ac:dyDescent="0.25">
      <c r="A2" s="272" t="s">
        <v>132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</row>
    <row r="3" spans="1:12" x14ac:dyDescent="0.25">
      <c r="A3" s="37" t="s">
        <v>133</v>
      </c>
    </row>
    <row r="4" spans="1:12" x14ac:dyDescent="0.25">
      <c r="A4" s="37" t="s">
        <v>153</v>
      </c>
    </row>
    <row r="6" spans="1:12" s="43" customFormat="1" ht="36" customHeight="1" x14ac:dyDescent="0.25">
      <c r="A6" s="40" t="s">
        <v>134</v>
      </c>
      <c r="B6" s="40" t="s">
        <v>135</v>
      </c>
      <c r="C6" s="41" t="s">
        <v>136</v>
      </c>
      <c r="D6" s="42" t="s">
        <v>137</v>
      </c>
      <c r="E6" s="273" t="s">
        <v>138</v>
      </c>
      <c r="F6" s="274"/>
      <c r="G6" s="275" t="s">
        <v>139</v>
      </c>
      <c r="H6" s="275"/>
      <c r="I6" s="275"/>
      <c r="J6" s="275"/>
      <c r="K6" s="46" t="s">
        <v>154</v>
      </c>
      <c r="L6" s="40" t="s">
        <v>140</v>
      </c>
    </row>
    <row r="7" spans="1:12" s="43" customFormat="1" ht="27.75" customHeight="1" x14ac:dyDescent="0.25">
      <c r="A7" s="44" t="s">
        <v>141</v>
      </c>
      <c r="B7" s="44" t="s">
        <v>142</v>
      </c>
      <c r="C7" s="45" t="s">
        <v>143</v>
      </c>
      <c r="D7" s="45" t="s">
        <v>144</v>
      </c>
      <c r="E7" s="46" t="s">
        <v>145</v>
      </c>
      <c r="F7" s="47" t="s">
        <v>146</v>
      </c>
      <c r="G7" s="48" t="s">
        <v>147</v>
      </c>
      <c r="H7" s="48" t="s">
        <v>267</v>
      </c>
      <c r="I7" s="48" t="s">
        <v>148</v>
      </c>
      <c r="J7" s="48" t="s">
        <v>149</v>
      </c>
      <c r="K7" s="55" t="s">
        <v>155</v>
      </c>
      <c r="L7" s="44" t="s">
        <v>150</v>
      </c>
    </row>
    <row r="8" spans="1:12" s="51" customFormat="1" ht="12.95" customHeight="1" x14ac:dyDescent="0.25">
      <c r="A8" s="49"/>
      <c r="B8" s="49"/>
      <c r="C8" s="50"/>
      <c r="D8" s="50"/>
      <c r="E8" s="49"/>
      <c r="F8" s="49"/>
      <c r="G8" s="49"/>
      <c r="H8" s="49"/>
      <c r="I8" s="49"/>
      <c r="J8" s="49"/>
      <c r="K8" s="49"/>
      <c r="L8" s="49"/>
    </row>
    <row r="9" spans="1:12" ht="30" customHeight="1" x14ac:dyDescent="0.25">
      <c r="A9" s="52">
        <v>1</v>
      </c>
      <c r="B9" s="109">
        <v>181</v>
      </c>
      <c r="C9" s="110" t="s">
        <v>220</v>
      </c>
      <c r="D9" s="53" t="s">
        <v>264</v>
      </c>
      <c r="E9" s="54"/>
      <c r="F9" s="54" t="e">
        <f>VLOOKUP($B9,#REF!,5,0)</f>
        <v>#REF!</v>
      </c>
      <c r="G9" s="52" t="s">
        <v>151</v>
      </c>
      <c r="H9" s="52"/>
      <c r="I9" s="52"/>
      <c r="J9" s="52"/>
      <c r="K9" s="54">
        <v>42089</v>
      </c>
      <c r="L9" s="52"/>
    </row>
    <row r="10" spans="1:12" ht="30" customHeight="1" x14ac:dyDescent="0.25">
      <c r="A10" s="52">
        <v>2</v>
      </c>
      <c r="B10" s="109">
        <v>183</v>
      </c>
      <c r="C10" s="110" t="s">
        <v>221</v>
      </c>
      <c r="D10" s="53" t="s">
        <v>264</v>
      </c>
      <c r="E10" s="54"/>
      <c r="F10" s="54" t="e">
        <f>VLOOKUP($B10,#REF!,5,0)</f>
        <v>#REF!</v>
      </c>
      <c r="G10" s="52" t="s">
        <v>151</v>
      </c>
      <c r="H10" s="52"/>
      <c r="I10" s="52"/>
      <c r="J10" s="52"/>
      <c r="K10" s="54">
        <v>42089</v>
      </c>
      <c r="L10" s="52"/>
    </row>
    <row r="11" spans="1:12" ht="30" customHeight="1" x14ac:dyDescent="0.25">
      <c r="A11" s="52">
        <v>3</v>
      </c>
      <c r="B11" s="109">
        <v>184</v>
      </c>
      <c r="C11" s="110" t="s">
        <v>222</v>
      </c>
      <c r="D11" s="53" t="s">
        <v>264</v>
      </c>
      <c r="E11" s="54"/>
      <c r="F11" s="54" t="e">
        <f>VLOOKUP($B11,#REF!,5,0)</f>
        <v>#REF!</v>
      </c>
      <c r="G11" s="52" t="s">
        <v>151</v>
      </c>
      <c r="H11" s="52"/>
      <c r="I11" s="52"/>
      <c r="J11" s="52"/>
      <c r="K11" s="54">
        <v>42089</v>
      </c>
      <c r="L11" s="52"/>
    </row>
    <row r="12" spans="1:12" ht="30" customHeight="1" x14ac:dyDescent="0.25">
      <c r="A12" s="52">
        <v>4</v>
      </c>
      <c r="B12" s="109">
        <v>186</v>
      </c>
      <c r="C12" s="110" t="s">
        <v>223</v>
      </c>
      <c r="D12" s="53" t="s">
        <v>264</v>
      </c>
      <c r="E12" s="52"/>
      <c r="F12" s="54" t="e">
        <f>VLOOKUP($B12,#REF!,5,0)</f>
        <v>#REF!</v>
      </c>
      <c r="G12" s="52" t="s">
        <v>151</v>
      </c>
      <c r="H12" s="52"/>
      <c r="I12" s="52"/>
      <c r="J12" s="52"/>
      <c r="K12" s="54">
        <v>42089</v>
      </c>
      <c r="L12" s="52"/>
    </row>
    <row r="13" spans="1:12" ht="30" customHeight="1" x14ac:dyDescent="0.25">
      <c r="A13" s="52">
        <v>5</v>
      </c>
      <c r="B13" s="109">
        <v>187</v>
      </c>
      <c r="C13" s="110" t="s">
        <v>224</v>
      </c>
      <c r="D13" s="53" t="s">
        <v>264</v>
      </c>
      <c r="E13" s="54"/>
      <c r="F13" s="54" t="e">
        <f>VLOOKUP($B13,#REF!,5,0)</f>
        <v>#REF!</v>
      </c>
      <c r="G13" s="52" t="s">
        <v>151</v>
      </c>
      <c r="H13" s="52"/>
      <c r="I13" s="52"/>
      <c r="J13" s="52"/>
      <c r="K13" s="54">
        <v>42089</v>
      </c>
      <c r="L13" s="52"/>
    </row>
    <row r="14" spans="1:12" ht="30" customHeight="1" x14ac:dyDescent="0.25">
      <c r="A14" s="52">
        <v>6</v>
      </c>
      <c r="B14" s="109">
        <v>188</v>
      </c>
      <c r="C14" s="110" t="s">
        <v>225</v>
      </c>
      <c r="D14" s="53" t="s">
        <v>264</v>
      </c>
      <c r="E14" s="54"/>
      <c r="F14" s="54" t="e">
        <f>VLOOKUP($B14,#REF!,5,0)</f>
        <v>#REF!</v>
      </c>
      <c r="G14" s="52" t="s">
        <v>151</v>
      </c>
      <c r="H14" s="52"/>
      <c r="I14" s="52"/>
      <c r="J14" s="52"/>
      <c r="K14" s="54">
        <v>42089</v>
      </c>
      <c r="L14" s="52"/>
    </row>
    <row r="15" spans="1:12" ht="30" customHeight="1" x14ac:dyDescent="0.25">
      <c r="A15" s="52">
        <v>7</v>
      </c>
      <c r="B15" s="109">
        <v>189</v>
      </c>
      <c r="C15" s="110" t="s">
        <v>226</v>
      </c>
      <c r="D15" s="53" t="s">
        <v>264</v>
      </c>
      <c r="E15" s="54"/>
      <c r="F15" s="54" t="e">
        <f>VLOOKUP($B15,#REF!,5,0)</f>
        <v>#REF!</v>
      </c>
      <c r="G15" s="52" t="s">
        <v>151</v>
      </c>
      <c r="H15" s="52"/>
      <c r="I15" s="52"/>
      <c r="J15" s="52"/>
      <c r="K15" s="54">
        <v>42089</v>
      </c>
      <c r="L15" s="52"/>
    </row>
    <row r="16" spans="1:12" ht="30" customHeight="1" x14ac:dyDescent="0.25">
      <c r="A16" s="52">
        <v>8</v>
      </c>
      <c r="B16" s="109">
        <v>191</v>
      </c>
      <c r="C16" s="110" t="s">
        <v>227</v>
      </c>
      <c r="D16" s="53" t="s">
        <v>264</v>
      </c>
      <c r="E16" s="54"/>
      <c r="F16" s="54" t="e">
        <f>VLOOKUP($B16,#REF!,5,0)</f>
        <v>#REF!</v>
      </c>
      <c r="G16" s="52" t="s">
        <v>151</v>
      </c>
      <c r="H16" s="52"/>
      <c r="I16" s="52"/>
      <c r="J16" s="52"/>
      <c r="K16" s="54">
        <v>42089</v>
      </c>
      <c r="L16" s="52"/>
    </row>
    <row r="17" spans="1:12" ht="30" customHeight="1" x14ac:dyDescent="0.25">
      <c r="A17" s="52">
        <v>9</v>
      </c>
      <c r="B17" s="109">
        <v>193</v>
      </c>
      <c r="C17" s="110" t="s">
        <v>228</v>
      </c>
      <c r="D17" s="53" t="s">
        <v>264</v>
      </c>
      <c r="E17" s="54"/>
      <c r="F17" s="54" t="e">
        <f>VLOOKUP($B17,#REF!,5,0)</f>
        <v>#REF!</v>
      </c>
      <c r="G17" s="52" t="s">
        <v>151</v>
      </c>
      <c r="H17" s="52"/>
      <c r="I17" s="52"/>
      <c r="J17" s="52"/>
      <c r="K17" s="54">
        <v>42089</v>
      </c>
      <c r="L17" s="52"/>
    </row>
    <row r="18" spans="1:12" ht="30" customHeight="1" x14ac:dyDescent="0.25">
      <c r="A18" s="52">
        <v>10</v>
      </c>
      <c r="B18" s="109">
        <v>197</v>
      </c>
      <c r="C18" s="110" t="s">
        <v>229</v>
      </c>
      <c r="D18" s="53" t="s">
        <v>264</v>
      </c>
      <c r="E18" s="52"/>
      <c r="F18" s="54" t="e">
        <f>VLOOKUP($B18,#REF!,5,0)</f>
        <v>#REF!</v>
      </c>
      <c r="G18" s="52"/>
      <c r="H18" s="52"/>
      <c r="I18" s="52"/>
      <c r="J18" s="52"/>
      <c r="K18" s="54">
        <v>42089</v>
      </c>
      <c r="L18" s="52"/>
    </row>
    <row r="19" spans="1:12" ht="30" customHeight="1" x14ac:dyDescent="0.25">
      <c r="A19" s="52">
        <v>11</v>
      </c>
      <c r="B19" s="109">
        <v>198</v>
      </c>
      <c r="C19" s="110" t="s">
        <v>230</v>
      </c>
      <c r="D19" s="53" t="s">
        <v>264</v>
      </c>
      <c r="E19" s="52"/>
      <c r="F19" s="54" t="e">
        <f>VLOOKUP($B19,#REF!,5,0)</f>
        <v>#REF!</v>
      </c>
      <c r="G19" s="52"/>
      <c r="H19" s="52"/>
      <c r="I19" s="52"/>
      <c r="J19" s="52"/>
      <c r="K19" s="54">
        <v>42089</v>
      </c>
      <c r="L19" s="52"/>
    </row>
    <row r="20" spans="1:12" ht="30" customHeight="1" x14ac:dyDescent="0.25">
      <c r="A20" s="52">
        <v>12</v>
      </c>
      <c r="B20" s="109">
        <v>199</v>
      </c>
      <c r="C20" s="110" t="s">
        <v>231</v>
      </c>
      <c r="D20" s="53" t="s">
        <v>264</v>
      </c>
      <c r="E20" s="52"/>
      <c r="F20" s="54" t="e">
        <f>VLOOKUP($B20,#REF!,5,0)</f>
        <v>#REF!</v>
      </c>
      <c r="G20" s="52"/>
      <c r="H20" s="52"/>
      <c r="I20" s="52"/>
      <c r="J20" s="52"/>
      <c r="K20" s="54">
        <v>42089</v>
      </c>
      <c r="L20" s="52"/>
    </row>
    <row r="21" spans="1:12" ht="30" customHeight="1" x14ac:dyDescent="0.25">
      <c r="A21" s="52">
        <v>13</v>
      </c>
      <c r="B21" s="109">
        <v>201</v>
      </c>
      <c r="C21" s="110" t="s">
        <v>232</v>
      </c>
      <c r="D21" s="53" t="s">
        <v>264</v>
      </c>
      <c r="E21" s="52"/>
      <c r="F21" s="54" t="e">
        <f>VLOOKUP($B21,#REF!,5,0)</f>
        <v>#REF!</v>
      </c>
      <c r="G21" s="52"/>
      <c r="H21" s="52"/>
      <c r="I21" s="52"/>
      <c r="J21" s="52"/>
      <c r="K21" s="54">
        <v>42089</v>
      </c>
      <c r="L21" s="52"/>
    </row>
    <row r="22" spans="1:12" ht="30" customHeight="1" x14ac:dyDescent="0.25">
      <c r="A22" s="52">
        <v>14</v>
      </c>
      <c r="B22" s="109">
        <v>202</v>
      </c>
      <c r="C22" s="110" t="s">
        <v>233</v>
      </c>
      <c r="D22" s="53" t="s">
        <v>264</v>
      </c>
      <c r="E22" s="52"/>
      <c r="F22" s="54" t="e">
        <f>VLOOKUP($B22,#REF!,5,0)</f>
        <v>#REF!</v>
      </c>
      <c r="G22" s="52"/>
      <c r="H22" s="52"/>
      <c r="I22" s="52"/>
      <c r="J22" s="52"/>
      <c r="K22" s="54">
        <v>42089</v>
      </c>
      <c r="L22" s="52"/>
    </row>
    <row r="23" spans="1:12" ht="30" customHeight="1" x14ac:dyDescent="0.25">
      <c r="A23" s="52">
        <v>15</v>
      </c>
      <c r="B23" s="109">
        <v>206</v>
      </c>
      <c r="C23" s="110" t="s">
        <v>234</v>
      </c>
      <c r="D23" s="53" t="s">
        <v>264</v>
      </c>
      <c r="E23" s="52"/>
      <c r="F23" s="54" t="e">
        <f>VLOOKUP($B23,#REF!,5,0)</f>
        <v>#REF!</v>
      </c>
      <c r="G23" s="52"/>
      <c r="H23" s="52"/>
      <c r="I23" s="52"/>
      <c r="J23" s="52"/>
      <c r="K23" s="54">
        <v>42089</v>
      </c>
      <c r="L23" s="52"/>
    </row>
    <row r="24" spans="1:12" ht="30" customHeight="1" x14ac:dyDescent="0.25">
      <c r="A24" s="52">
        <v>16</v>
      </c>
      <c r="B24" s="109">
        <v>207</v>
      </c>
      <c r="C24" s="110" t="s">
        <v>235</v>
      </c>
      <c r="D24" s="53" t="s">
        <v>264</v>
      </c>
      <c r="E24" s="54">
        <v>29725</v>
      </c>
      <c r="F24" s="54"/>
      <c r="G24" s="52"/>
      <c r="H24" s="52"/>
      <c r="I24" s="52"/>
      <c r="J24" s="52"/>
      <c r="K24" s="54">
        <v>42089</v>
      </c>
      <c r="L24" s="52"/>
    </row>
    <row r="25" spans="1:12" ht="30" customHeight="1" x14ac:dyDescent="0.25">
      <c r="A25" s="52">
        <v>17</v>
      </c>
      <c r="B25" s="109">
        <v>208</v>
      </c>
      <c r="C25" s="110" t="s">
        <v>220</v>
      </c>
      <c r="D25" s="53" t="s">
        <v>264</v>
      </c>
      <c r="E25" s="52"/>
      <c r="F25" s="54" t="e">
        <f>VLOOKUP($B25,#REF!,5,0)</f>
        <v>#REF!</v>
      </c>
      <c r="G25" s="52"/>
      <c r="H25" s="52"/>
      <c r="I25" s="52"/>
      <c r="J25" s="52"/>
      <c r="K25" s="54">
        <v>42089</v>
      </c>
      <c r="L25" s="52"/>
    </row>
    <row r="26" spans="1:12" ht="30" customHeight="1" x14ac:dyDescent="0.25">
      <c r="A26" s="52">
        <v>18</v>
      </c>
      <c r="B26" s="109">
        <v>210</v>
      </c>
      <c r="C26" s="110" t="s">
        <v>236</v>
      </c>
      <c r="D26" s="53" t="s">
        <v>264</v>
      </c>
      <c r="E26" s="52"/>
      <c r="F26" s="54" t="e">
        <f>VLOOKUP($B26,#REF!,5,0)</f>
        <v>#REF!</v>
      </c>
      <c r="G26" s="52"/>
      <c r="H26" s="52"/>
      <c r="I26" s="52"/>
      <c r="J26" s="52"/>
      <c r="K26" s="54">
        <v>42089</v>
      </c>
      <c r="L26" s="52"/>
    </row>
    <row r="27" spans="1:12" ht="30" customHeight="1" x14ac:dyDescent="0.25">
      <c r="A27" s="52">
        <v>19</v>
      </c>
      <c r="B27" s="109">
        <v>212</v>
      </c>
      <c r="C27" s="110" t="s">
        <v>237</v>
      </c>
      <c r="D27" s="53" t="s">
        <v>264</v>
      </c>
      <c r="E27" s="52"/>
      <c r="F27" s="54" t="e">
        <f>VLOOKUP($B27,#REF!,5,0)</f>
        <v>#REF!</v>
      </c>
      <c r="G27" s="52"/>
      <c r="H27" s="52"/>
      <c r="I27" s="52"/>
      <c r="J27" s="52"/>
      <c r="K27" s="54">
        <v>42089</v>
      </c>
      <c r="L27" s="52"/>
    </row>
    <row r="28" spans="1:12" ht="30" customHeight="1" x14ac:dyDescent="0.25">
      <c r="A28" s="52">
        <v>20</v>
      </c>
      <c r="B28" s="109">
        <v>213</v>
      </c>
      <c r="C28" s="110" t="s">
        <v>238</v>
      </c>
      <c r="D28" s="53" t="s">
        <v>264</v>
      </c>
      <c r="E28" s="52"/>
      <c r="F28" s="54" t="e">
        <f>VLOOKUP($B28,#REF!,5,0)</f>
        <v>#REF!</v>
      </c>
      <c r="G28" s="52"/>
      <c r="H28" s="52"/>
      <c r="I28" s="52"/>
      <c r="J28" s="52"/>
      <c r="K28" s="54">
        <v>42089</v>
      </c>
      <c r="L28" s="52"/>
    </row>
    <row r="29" spans="1:12" ht="30" customHeight="1" x14ac:dyDescent="0.25">
      <c r="A29" s="52">
        <v>21</v>
      </c>
      <c r="B29" s="109">
        <v>214</v>
      </c>
      <c r="C29" s="110" t="s">
        <v>239</v>
      </c>
      <c r="D29" s="53" t="s">
        <v>264</v>
      </c>
      <c r="E29" s="52"/>
      <c r="F29" s="54" t="e">
        <f>VLOOKUP($B29,#REF!,5,0)</f>
        <v>#REF!</v>
      </c>
      <c r="G29" s="52"/>
      <c r="H29" s="52"/>
      <c r="I29" s="52"/>
      <c r="J29" s="52"/>
      <c r="K29" s="54">
        <v>42089</v>
      </c>
      <c r="L29" s="52"/>
    </row>
    <row r="30" spans="1:12" ht="30" customHeight="1" x14ac:dyDescent="0.25">
      <c r="A30" s="52">
        <v>22</v>
      </c>
      <c r="B30" s="109">
        <v>218</v>
      </c>
      <c r="C30" s="110" t="s">
        <v>240</v>
      </c>
      <c r="D30" s="53" t="s">
        <v>264</v>
      </c>
      <c r="E30" s="52"/>
      <c r="F30" s="54" t="e">
        <f>VLOOKUP($B30,#REF!,5,0)</f>
        <v>#REF!</v>
      </c>
      <c r="G30" s="52"/>
      <c r="H30" s="52"/>
      <c r="I30" s="52"/>
      <c r="J30" s="52"/>
      <c r="K30" s="54">
        <v>42089</v>
      </c>
      <c r="L30" s="52"/>
    </row>
    <row r="31" spans="1:12" ht="30" customHeight="1" x14ac:dyDescent="0.25">
      <c r="A31" s="52">
        <v>23</v>
      </c>
      <c r="B31" s="109">
        <v>219</v>
      </c>
      <c r="C31" s="110" t="s">
        <v>241</v>
      </c>
      <c r="D31" s="53" t="s">
        <v>264</v>
      </c>
      <c r="E31" s="52"/>
      <c r="F31" s="54" t="e">
        <f>VLOOKUP($B31,#REF!,5,0)</f>
        <v>#REF!</v>
      </c>
      <c r="G31" s="52"/>
      <c r="H31" s="52"/>
      <c r="I31" s="52"/>
      <c r="J31" s="52"/>
      <c r="K31" s="54">
        <v>42089</v>
      </c>
      <c r="L31" s="52"/>
    </row>
    <row r="32" spans="1:12" ht="30" customHeight="1" x14ac:dyDescent="0.25">
      <c r="A32" s="52">
        <v>24</v>
      </c>
      <c r="B32" s="109">
        <v>220</v>
      </c>
      <c r="C32" s="110" t="s">
        <v>242</v>
      </c>
      <c r="D32" s="53" t="s">
        <v>264</v>
      </c>
      <c r="E32" s="52"/>
      <c r="F32" s="54" t="e">
        <f>VLOOKUP($B32,#REF!,5,0)</f>
        <v>#REF!</v>
      </c>
      <c r="G32" s="52"/>
      <c r="H32" s="52"/>
      <c r="I32" s="52"/>
      <c r="J32" s="52"/>
      <c r="K32" s="54">
        <v>42089</v>
      </c>
      <c r="L32" s="52"/>
    </row>
    <row r="33" spans="1:12" ht="30" customHeight="1" x14ac:dyDescent="0.25">
      <c r="A33" s="52">
        <v>25</v>
      </c>
      <c r="B33" s="109">
        <v>221</v>
      </c>
      <c r="C33" s="110" t="s">
        <v>243</v>
      </c>
      <c r="D33" s="53" t="s">
        <v>264</v>
      </c>
      <c r="E33" s="52"/>
      <c r="F33" s="54" t="e">
        <f>VLOOKUP($B33,#REF!,5,0)</f>
        <v>#REF!</v>
      </c>
      <c r="G33" s="52"/>
      <c r="H33" s="52"/>
      <c r="I33" s="52"/>
      <c r="J33" s="52"/>
      <c r="K33" s="54">
        <v>42089</v>
      </c>
      <c r="L33" s="52"/>
    </row>
    <row r="34" spans="1:12" ht="30" customHeight="1" x14ac:dyDescent="0.25">
      <c r="A34" s="52">
        <v>26</v>
      </c>
      <c r="B34" s="109">
        <v>222</v>
      </c>
      <c r="C34" s="110" t="s">
        <v>244</v>
      </c>
      <c r="D34" s="53" t="s">
        <v>264</v>
      </c>
      <c r="E34" s="52"/>
      <c r="F34" s="54" t="e">
        <f>VLOOKUP($B34,#REF!,5,0)</f>
        <v>#REF!</v>
      </c>
      <c r="G34" s="52"/>
      <c r="H34" s="52"/>
      <c r="I34" s="52"/>
      <c r="J34" s="52"/>
      <c r="K34" s="54">
        <v>42089</v>
      </c>
      <c r="L34" s="52"/>
    </row>
    <row r="35" spans="1:12" ht="30" customHeight="1" x14ac:dyDescent="0.25">
      <c r="A35" s="52">
        <v>27</v>
      </c>
      <c r="B35" s="109">
        <v>223</v>
      </c>
      <c r="C35" s="110" t="s">
        <v>245</v>
      </c>
      <c r="D35" s="53" t="s">
        <v>264</v>
      </c>
      <c r="E35" s="52"/>
      <c r="F35" s="54" t="e">
        <f>VLOOKUP($B35,#REF!,5,0)</f>
        <v>#REF!</v>
      </c>
      <c r="G35" s="52"/>
      <c r="H35" s="52"/>
      <c r="I35" s="52"/>
      <c r="J35" s="52"/>
      <c r="K35" s="54">
        <v>42089</v>
      </c>
      <c r="L35" s="52"/>
    </row>
    <row r="36" spans="1:12" ht="30" customHeight="1" x14ac:dyDescent="0.25">
      <c r="A36" s="52">
        <v>28</v>
      </c>
      <c r="B36" s="109">
        <v>224</v>
      </c>
      <c r="C36" s="110" t="s">
        <v>246</v>
      </c>
      <c r="D36" s="53" t="s">
        <v>264</v>
      </c>
      <c r="E36" s="52"/>
      <c r="F36" s="54" t="e">
        <f>VLOOKUP($B36,#REF!,5,0)</f>
        <v>#REF!</v>
      </c>
      <c r="G36" s="52"/>
      <c r="H36" s="52"/>
      <c r="I36" s="52"/>
      <c r="J36" s="52"/>
      <c r="K36" s="54">
        <v>42089</v>
      </c>
      <c r="L36" s="52"/>
    </row>
    <row r="37" spans="1:12" ht="30" customHeight="1" x14ac:dyDescent="0.25">
      <c r="A37" s="52">
        <v>29</v>
      </c>
      <c r="B37" s="109">
        <v>225</v>
      </c>
      <c r="C37" s="110" t="s">
        <v>247</v>
      </c>
      <c r="D37" s="53" t="s">
        <v>264</v>
      </c>
      <c r="E37" s="52"/>
      <c r="F37" s="54" t="e">
        <f>VLOOKUP($B37,#REF!,5,0)</f>
        <v>#REF!</v>
      </c>
      <c r="G37" s="52"/>
      <c r="H37" s="52"/>
      <c r="I37" s="52"/>
      <c r="J37" s="52"/>
      <c r="K37" s="54">
        <v>42089</v>
      </c>
      <c r="L37" s="52"/>
    </row>
    <row r="38" spans="1:12" ht="30" customHeight="1" x14ac:dyDescent="0.25">
      <c r="A38" s="52">
        <v>30</v>
      </c>
      <c r="B38" s="109">
        <v>227</v>
      </c>
      <c r="C38" s="110" t="s">
        <v>248</v>
      </c>
      <c r="D38" s="53" t="s">
        <v>264</v>
      </c>
      <c r="E38" s="52"/>
      <c r="F38" s="54" t="e">
        <f>VLOOKUP($B38,#REF!,5,0)</f>
        <v>#REF!</v>
      </c>
      <c r="G38" s="52"/>
      <c r="H38" s="52"/>
      <c r="I38" s="52"/>
      <c r="J38" s="52"/>
      <c r="K38" s="54">
        <v>42089</v>
      </c>
      <c r="L38" s="52"/>
    </row>
    <row r="39" spans="1:12" ht="30" customHeight="1" x14ac:dyDescent="0.25">
      <c r="A39" s="52">
        <v>31</v>
      </c>
      <c r="B39" s="109">
        <v>228</v>
      </c>
      <c r="C39" s="110" t="s">
        <v>249</v>
      </c>
      <c r="D39" s="53" t="s">
        <v>264</v>
      </c>
      <c r="E39" s="52"/>
      <c r="F39" s="54" t="e">
        <f>VLOOKUP($B39,#REF!,5,0)</f>
        <v>#REF!</v>
      </c>
      <c r="G39" s="52"/>
      <c r="H39" s="52"/>
      <c r="I39" s="52"/>
      <c r="J39" s="52"/>
      <c r="K39" s="54">
        <v>42089</v>
      </c>
      <c r="L39" s="52"/>
    </row>
    <row r="40" spans="1:12" ht="30" customHeight="1" x14ac:dyDescent="0.25">
      <c r="A40" s="52">
        <v>32</v>
      </c>
      <c r="B40" s="109">
        <v>231</v>
      </c>
      <c r="C40" s="110" t="s">
        <v>250</v>
      </c>
      <c r="D40" s="53" t="s">
        <v>264</v>
      </c>
      <c r="E40" s="52"/>
      <c r="F40" s="54" t="e">
        <f>VLOOKUP($B40,#REF!,5,0)</f>
        <v>#REF!</v>
      </c>
      <c r="G40" s="52"/>
      <c r="H40" s="52"/>
      <c r="I40" s="52"/>
      <c r="J40" s="52"/>
      <c r="K40" s="54">
        <v>42089</v>
      </c>
      <c r="L40" s="52"/>
    </row>
    <row r="41" spans="1:12" ht="30" customHeight="1" x14ac:dyDescent="0.25">
      <c r="A41" s="52">
        <v>33</v>
      </c>
      <c r="B41" s="109">
        <v>233</v>
      </c>
      <c r="C41" s="110" t="s">
        <v>251</v>
      </c>
      <c r="D41" s="53" t="s">
        <v>264</v>
      </c>
      <c r="E41" s="52"/>
      <c r="F41" s="54" t="e">
        <f>VLOOKUP($B41,#REF!,5,0)</f>
        <v>#REF!</v>
      </c>
      <c r="G41" s="52"/>
      <c r="H41" s="52"/>
      <c r="I41" s="52"/>
      <c r="J41" s="52"/>
      <c r="K41" s="54">
        <v>42089</v>
      </c>
      <c r="L41" s="52"/>
    </row>
    <row r="42" spans="1:12" ht="30" customHeight="1" x14ac:dyDescent="0.25">
      <c r="A42" s="52">
        <v>34</v>
      </c>
      <c r="B42" s="109">
        <v>234</v>
      </c>
      <c r="C42" s="110" t="s">
        <v>252</v>
      </c>
      <c r="D42" s="53" t="s">
        <v>264</v>
      </c>
      <c r="E42" s="52"/>
      <c r="F42" s="54" t="e">
        <f>VLOOKUP($B42,#REF!,5,0)</f>
        <v>#REF!</v>
      </c>
      <c r="G42" s="52"/>
      <c r="H42" s="52"/>
      <c r="I42" s="52"/>
      <c r="J42" s="52"/>
      <c r="K42" s="54">
        <v>42089</v>
      </c>
      <c r="L42" s="52"/>
    </row>
    <row r="43" spans="1:12" ht="30" customHeight="1" x14ac:dyDescent="0.25">
      <c r="A43" s="52">
        <v>35</v>
      </c>
      <c r="B43" s="109">
        <v>235</v>
      </c>
      <c r="C43" s="110" t="s">
        <v>253</v>
      </c>
      <c r="D43" s="53" t="s">
        <v>264</v>
      </c>
      <c r="E43" s="52"/>
      <c r="F43" s="54" t="e">
        <f>VLOOKUP($B43,#REF!,5,0)</f>
        <v>#REF!</v>
      </c>
      <c r="G43" s="52"/>
      <c r="H43" s="52"/>
      <c r="I43" s="52"/>
      <c r="J43" s="52"/>
      <c r="K43" s="54">
        <v>42089</v>
      </c>
      <c r="L43" s="52"/>
    </row>
    <row r="44" spans="1:12" ht="30" customHeight="1" x14ac:dyDescent="0.25">
      <c r="A44" s="52">
        <v>36</v>
      </c>
      <c r="B44" s="109">
        <v>236</v>
      </c>
      <c r="C44" s="110" t="s">
        <v>254</v>
      </c>
      <c r="D44" s="53" t="s">
        <v>264</v>
      </c>
      <c r="E44" s="52"/>
      <c r="F44" s="54" t="e">
        <f>VLOOKUP($B44,#REF!,5,0)</f>
        <v>#REF!</v>
      </c>
      <c r="G44" s="52"/>
      <c r="H44" s="52"/>
      <c r="I44" s="52"/>
      <c r="J44" s="52"/>
      <c r="K44" s="54">
        <v>42089</v>
      </c>
      <c r="L44" s="52"/>
    </row>
    <row r="45" spans="1:12" ht="30" customHeight="1" x14ac:dyDescent="0.25">
      <c r="A45" s="52">
        <v>37</v>
      </c>
      <c r="B45" s="109">
        <v>237</v>
      </c>
      <c r="C45" s="110" t="s">
        <v>255</v>
      </c>
      <c r="D45" s="53" t="s">
        <v>264</v>
      </c>
      <c r="E45" s="52"/>
      <c r="F45" s="54" t="e">
        <f>VLOOKUP($B45,#REF!,5,0)</f>
        <v>#REF!</v>
      </c>
      <c r="G45" s="52"/>
      <c r="H45" s="52"/>
      <c r="I45" s="52"/>
      <c r="J45" s="52"/>
      <c r="K45" s="54">
        <v>42089</v>
      </c>
      <c r="L45" s="52"/>
    </row>
    <row r="46" spans="1:12" ht="30" customHeight="1" x14ac:dyDescent="0.25">
      <c r="A46" s="52">
        <v>38</v>
      </c>
      <c r="B46" s="109">
        <v>238</v>
      </c>
      <c r="C46" s="110" t="s">
        <v>256</v>
      </c>
      <c r="D46" s="53" t="s">
        <v>264</v>
      </c>
      <c r="E46" s="52"/>
      <c r="F46" s="54" t="e">
        <f>VLOOKUP($B46,#REF!,5,0)</f>
        <v>#REF!</v>
      </c>
      <c r="G46" s="52"/>
      <c r="H46" s="52"/>
      <c r="I46" s="52"/>
      <c r="J46" s="52"/>
      <c r="K46" s="54">
        <v>42089</v>
      </c>
      <c r="L46" s="52"/>
    </row>
    <row r="47" spans="1:12" ht="30" customHeight="1" x14ac:dyDescent="0.25">
      <c r="A47" s="52">
        <v>39</v>
      </c>
      <c r="B47" s="109">
        <v>239</v>
      </c>
      <c r="C47" s="110" t="s">
        <v>257</v>
      </c>
      <c r="D47" s="53" t="s">
        <v>264</v>
      </c>
      <c r="E47" s="52"/>
      <c r="F47" s="54" t="e">
        <f>VLOOKUP($B47,#REF!,5,0)</f>
        <v>#REF!</v>
      </c>
      <c r="G47" s="52"/>
      <c r="H47" s="52"/>
      <c r="I47" s="52"/>
      <c r="J47" s="52"/>
      <c r="K47" s="54">
        <v>42089</v>
      </c>
      <c r="L47" s="52"/>
    </row>
    <row r="48" spans="1:12" ht="30" customHeight="1" x14ac:dyDescent="0.25">
      <c r="A48" s="52">
        <v>40</v>
      </c>
      <c r="B48" s="109">
        <v>240</v>
      </c>
      <c r="C48" s="110" t="s">
        <v>258</v>
      </c>
      <c r="D48" s="53" t="s">
        <v>264</v>
      </c>
      <c r="E48" s="52"/>
      <c r="F48" s="54" t="e">
        <f>VLOOKUP($B48,#REF!,5,0)</f>
        <v>#REF!</v>
      </c>
      <c r="G48" s="52"/>
      <c r="H48" s="52"/>
      <c r="I48" s="52"/>
      <c r="J48" s="52"/>
      <c r="K48" s="54">
        <v>42089</v>
      </c>
      <c r="L48" s="52"/>
    </row>
    <row r="49" spans="1:12" ht="30" customHeight="1" x14ac:dyDescent="0.25">
      <c r="A49" s="52">
        <v>41</v>
      </c>
      <c r="B49" s="109">
        <v>241</v>
      </c>
      <c r="C49" s="110" t="s">
        <v>259</v>
      </c>
      <c r="D49" s="53" t="s">
        <v>264</v>
      </c>
      <c r="E49" s="52"/>
      <c r="F49" s="54" t="e">
        <f>VLOOKUP($B49,#REF!,5,0)</f>
        <v>#REF!</v>
      </c>
      <c r="G49" s="52"/>
      <c r="H49" s="52"/>
      <c r="I49" s="52"/>
      <c r="J49" s="52"/>
      <c r="K49" s="54">
        <v>42089</v>
      </c>
      <c r="L49" s="52"/>
    </row>
    <row r="50" spans="1:12" ht="30" customHeight="1" x14ac:dyDescent="0.25">
      <c r="A50" s="52">
        <v>42</v>
      </c>
      <c r="B50" s="109">
        <v>242</v>
      </c>
      <c r="C50" s="110" t="s">
        <v>260</v>
      </c>
      <c r="D50" s="53" t="s">
        <v>264</v>
      </c>
      <c r="E50" s="52"/>
      <c r="F50" s="54" t="e">
        <f>VLOOKUP($B50,#REF!,5,0)</f>
        <v>#REF!</v>
      </c>
      <c r="G50" s="52"/>
      <c r="H50" s="52"/>
      <c r="I50" s="52"/>
      <c r="J50" s="52"/>
      <c r="K50" s="54">
        <v>42089</v>
      </c>
      <c r="L50" s="52"/>
    </row>
    <row r="51" spans="1:12" ht="30" customHeight="1" x14ac:dyDescent="0.25">
      <c r="A51" s="52">
        <v>43</v>
      </c>
      <c r="B51" s="109">
        <v>244</v>
      </c>
      <c r="C51" s="110" t="s">
        <v>261</v>
      </c>
      <c r="D51" s="53" t="s">
        <v>264</v>
      </c>
      <c r="E51" s="52"/>
      <c r="F51" s="54" t="e">
        <f>VLOOKUP($B51,#REF!,5,0)</f>
        <v>#REF!</v>
      </c>
      <c r="G51" s="52"/>
      <c r="H51" s="52"/>
      <c r="I51" s="52"/>
      <c r="J51" s="52"/>
      <c r="K51" s="54">
        <v>42089</v>
      </c>
      <c r="L51" s="52"/>
    </row>
    <row r="52" spans="1:12" ht="30" customHeight="1" x14ac:dyDescent="0.25">
      <c r="A52" s="52">
        <v>44</v>
      </c>
      <c r="B52" s="109">
        <v>245</v>
      </c>
      <c r="C52" s="110" t="s">
        <v>262</v>
      </c>
      <c r="D52" s="53" t="s">
        <v>264</v>
      </c>
      <c r="E52" s="52"/>
      <c r="F52" s="54" t="e">
        <f>VLOOKUP($B52,#REF!,5,0)</f>
        <v>#REF!</v>
      </c>
      <c r="G52" s="52"/>
      <c r="H52" s="52"/>
      <c r="I52" s="52"/>
      <c r="J52" s="52"/>
      <c r="K52" s="54">
        <v>42089</v>
      </c>
      <c r="L52" s="52"/>
    </row>
    <row r="53" spans="1:12" ht="30" customHeight="1" x14ac:dyDescent="0.25">
      <c r="A53" s="52">
        <v>45</v>
      </c>
      <c r="B53" s="109">
        <v>248</v>
      </c>
      <c r="C53" s="110" t="s">
        <v>263</v>
      </c>
      <c r="D53" s="53" t="s">
        <v>264</v>
      </c>
      <c r="E53" s="52"/>
      <c r="F53" s="54" t="e">
        <f>VLOOKUP($B53,#REF!,5,0)</f>
        <v>#REF!</v>
      </c>
      <c r="G53" s="52"/>
      <c r="H53" s="52"/>
      <c r="I53" s="52"/>
      <c r="J53" s="52"/>
      <c r="K53" s="54">
        <v>42089</v>
      </c>
      <c r="L53" s="52"/>
    </row>
    <row r="54" spans="1:12" s="113" customFormat="1" ht="14.25" x14ac:dyDescent="0.2">
      <c r="A54" s="51"/>
      <c r="B54" s="51"/>
      <c r="C54" s="111"/>
      <c r="D54" s="112"/>
      <c r="E54" s="51"/>
      <c r="F54" s="51"/>
      <c r="G54" s="51"/>
      <c r="H54" s="51"/>
      <c r="I54" s="51"/>
      <c r="J54" s="51"/>
      <c r="K54" s="51" t="s">
        <v>265</v>
      </c>
      <c r="L54" s="51"/>
    </row>
    <row r="55" spans="1:12" s="113" customFormat="1" ht="14.25" x14ac:dyDescent="0.2">
      <c r="A55" s="51"/>
      <c r="B55" s="51"/>
      <c r="C55" s="111"/>
      <c r="D55" s="112"/>
      <c r="E55" s="51"/>
      <c r="F55" s="51"/>
      <c r="G55" s="51"/>
      <c r="H55" s="51"/>
      <c r="I55" s="51"/>
      <c r="J55" s="51"/>
      <c r="K55" s="51"/>
      <c r="L55" s="51"/>
    </row>
    <row r="56" spans="1:12" s="113" customFormat="1" ht="14.25" x14ac:dyDescent="0.2">
      <c r="A56" s="51"/>
      <c r="B56" s="51"/>
      <c r="C56" s="111"/>
      <c r="D56" s="112"/>
      <c r="E56" s="51"/>
      <c r="F56" s="51"/>
      <c r="G56" s="51"/>
      <c r="H56" s="51"/>
      <c r="I56" s="51"/>
      <c r="J56" s="51"/>
      <c r="K56" s="51"/>
      <c r="L56" s="51"/>
    </row>
    <row r="57" spans="1:12" s="113" customFormat="1" ht="14.25" x14ac:dyDescent="0.2">
      <c r="A57" s="51"/>
      <c r="B57" s="51"/>
      <c r="C57" s="111"/>
      <c r="D57" s="112"/>
      <c r="E57" s="51"/>
      <c r="F57" s="51"/>
      <c r="G57" s="51"/>
      <c r="H57" s="51"/>
      <c r="I57" s="51"/>
      <c r="J57" s="51"/>
      <c r="K57" s="51"/>
      <c r="L57" s="51"/>
    </row>
    <row r="58" spans="1:12" s="113" customFormat="1" ht="14.25" x14ac:dyDescent="0.2">
      <c r="A58" s="51"/>
      <c r="B58" s="51"/>
      <c r="C58" s="111"/>
      <c r="D58" s="112"/>
      <c r="E58" s="51"/>
      <c r="F58" s="51"/>
      <c r="G58" s="51"/>
      <c r="H58" s="51"/>
      <c r="I58" s="51"/>
      <c r="J58" s="51"/>
      <c r="K58" s="51"/>
      <c r="L58" s="51"/>
    </row>
    <row r="59" spans="1:12" s="113" customFormat="1" ht="14.25" x14ac:dyDescent="0.2">
      <c r="A59" s="51"/>
      <c r="B59" s="51"/>
      <c r="C59" s="111"/>
      <c r="D59" s="112"/>
      <c r="E59" s="51"/>
      <c r="F59" s="51"/>
      <c r="G59" s="51"/>
      <c r="H59" s="51"/>
      <c r="I59" s="51"/>
      <c r="J59" s="51"/>
      <c r="K59" s="51" t="s">
        <v>266</v>
      </c>
      <c r="L59" s="51"/>
    </row>
    <row r="60" spans="1:12" s="113" customFormat="1" ht="14.25" x14ac:dyDescent="0.2">
      <c r="A60" s="51"/>
      <c r="B60" s="51"/>
      <c r="C60" s="111"/>
      <c r="D60" s="112"/>
      <c r="E60" s="51"/>
      <c r="F60" s="51"/>
      <c r="G60" s="51"/>
      <c r="H60" s="51"/>
      <c r="I60" s="51"/>
      <c r="J60" s="51"/>
      <c r="K60" s="51"/>
      <c r="L60" s="51"/>
    </row>
  </sheetData>
  <mergeCells count="4">
    <mergeCell ref="A1:L1"/>
    <mergeCell ref="A2:L2"/>
    <mergeCell ref="E6:F6"/>
    <mergeCell ref="G6:J6"/>
  </mergeCells>
  <conditionalFormatting sqref="B9:B22">
    <cfRule type="expression" dxfId="0" priority="1" stopIfTrue="1">
      <formula>AND(COUNTIF($B$9:$B$22,B9)&gt;1,NOT(ISBLANK(B9)))</formula>
    </cfRule>
  </conditionalFormatting>
  <dataValidations count="1">
    <dataValidation type="list" allowBlank="1" showInputMessage="1" showErrorMessage="1" sqref="B9:B53" xr:uid="{00000000-0002-0000-0300-000000000000}">
      <formula1>NV</formula1>
    </dataValidation>
  </dataValidations>
  <pageMargins left="0" right="0" top="0" bottom="0.25" header="0" footer="0"/>
  <pageSetup scale="85" orientation="portrait"/>
  <headerFooter alignWithMargins="0"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5"/>
  <sheetViews>
    <sheetView zoomScaleNormal="100" workbookViewId="0">
      <selection activeCell="T13" sqref="T13"/>
    </sheetView>
  </sheetViews>
  <sheetFormatPr defaultColWidth="9.140625" defaultRowHeight="12.75" x14ac:dyDescent="0.2"/>
  <cols>
    <col min="1" max="1" width="9.140625" style="27"/>
    <col min="2" max="2" width="9.7109375" style="27" customWidth="1"/>
    <col min="3" max="4" width="11.28515625" style="27" customWidth="1"/>
    <col min="5" max="5" width="9.140625" style="27"/>
    <col min="6" max="6" width="11.28515625" style="27" customWidth="1"/>
    <col min="7" max="7" width="9.140625" style="27"/>
    <col min="8" max="8" width="11.28515625" style="27" customWidth="1"/>
    <col min="9" max="9" width="9.140625" style="27"/>
    <col min="10" max="12" width="8.5703125" style="27" customWidth="1"/>
    <col min="13" max="16384" width="9.140625" style="27"/>
  </cols>
  <sheetData>
    <row r="1" spans="1:15" ht="16.5" collapsed="1" x14ac:dyDescent="0.25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86"/>
      <c r="L1" s="86"/>
    </row>
    <row r="2" spans="1:15" ht="15" customHeight="1" x14ac:dyDescent="0.25">
      <c r="A2" s="234" t="s">
        <v>189</v>
      </c>
      <c r="B2" s="234"/>
      <c r="C2" s="234"/>
      <c r="D2" s="234"/>
      <c r="E2" s="234"/>
      <c r="F2" s="234"/>
      <c r="G2" s="234"/>
      <c r="H2" s="234"/>
      <c r="I2" s="234"/>
      <c r="J2" s="234"/>
      <c r="K2" s="87"/>
      <c r="L2" s="87"/>
    </row>
    <row r="3" spans="1:15" ht="7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ht="15.75" hidden="1" x14ac:dyDescent="0.25">
      <c r="A4" s="1"/>
      <c r="B4" s="1"/>
      <c r="C4" s="1"/>
      <c r="D4" s="1"/>
      <c r="E4" s="1"/>
      <c r="F4" s="1"/>
      <c r="G4" s="1"/>
      <c r="H4" s="1"/>
      <c r="I4" s="2" t="s">
        <v>1</v>
      </c>
      <c r="J4" s="1"/>
      <c r="K4" s="283"/>
      <c r="L4" s="283"/>
    </row>
    <row r="5" spans="1:15" ht="15.75" customHeight="1" x14ac:dyDescent="0.25">
      <c r="A5" s="1"/>
      <c r="B5" s="1"/>
      <c r="C5" s="1"/>
      <c r="D5" s="1"/>
      <c r="E5" s="1"/>
      <c r="F5" s="232" t="s">
        <v>188</v>
      </c>
      <c r="G5" s="232"/>
      <c r="H5" s="232"/>
      <c r="I5" s="232"/>
      <c r="J5" s="232"/>
      <c r="L5" s="33"/>
    </row>
    <row r="6" spans="1:15" ht="7.5" customHeight="1" x14ac:dyDescent="0.25">
      <c r="A6" s="1"/>
      <c r="B6" s="1"/>
      <c r="C6" s="1"/>
      <c r="D6" s="1"/>
      <c r="E6" s="1"/>
      <c r="F6" s="1"/>
      <c r="G6" s="1"/>
      <c r="H6" s="5"/>
      <c r="I6" s="5"/>
      <c r="J6" s="31"/>
      <c r="K6" s="31"/>
      <c r="L6" s="31"/>
    </row>
    <row r="7" spans="1:15" s="80" customFormat="1" ht="48.75" customHeight="1" x14ac:dyDescent="0.35">
      <c r="A7" s="284" t="s">
        <v>177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</row>
    <row r="8" spans="1:15" ht="11.25" customHeight="1" x14ac:dyDescent="0.25">
      <c r="A8" s="28"/>
      <c r="B8" s="28"/>
      <c r="C8" s="3"/>
      <c r="D8" s="28"/>
      <c r="E8" s="3"/>
      <c r="F8" s="3"/>
      <c r="G8" s="3"/>
      <c r="H8" s="3"/>
      <c r="I8" s="3"/>
      <c r="J8" s="3"/>
      <c r="K8" s="3"/>
      <c r="L8" s="3"/>
    </row>
    <row r="9" spans="1:15" ht="17.100000000000001" customHeight="1" x14ac:dyDescent="0.25">
      <c r="A9" s="29" t="s">
        <v>2</v>
      </c>
      <c r="B9" s="286" t="s">
        <v>193</v>
      </c>
      <c r="C9" s="286"/>
      <c r="D9" s="286"/>
      <c r="E9" s="286"/>
      <c r="F9" s="6" t="s">
        <v>3</v>
      </c>
      <c r="G9" s="29" t="s">
        <v>131</v>
      </c>
      <c r="H9" s="29"/>
      <c r="I9" s="6"/>
      <c r="J9" s="6"/>
      <c r="K9" s="6"/>
      <c r="L9" s="6"/>
    </row>
    <row r="10" spans="1:15" ht="17.100000000000001" customHeight="1" x14ac:dyDescent="0.25">
      <c r="A10" s="6" t="s">
        <v>128</v>
      </c>
      <c r="B10" s="6"/>
      <c r="C10" s="6"/>
      <c r="D10" s="29" t="s">
        <v>10</v>
      </c>
      <c r="E10" s="6"/>
      <c r="F10" s="6"/>
      <c r="G10" s="6"/>
      <c r="H10" s="6"/>
      <c r="I10" s="6"/>
      <c r="J10" s="6"/>
      <c r="K10" s="6"/>
      <c r="L10" s="6"/>
    </row>
    <row r="11" spans="1:15" ht="17.100000000000001" customHeight="1" x14ac:dyDescent="0.25">
      <c r="A11" s="6" t="s">
        <v>127</v>
      </c>
      <c r="B11" s="6"/>
      <c r="C11" s="6"/>
      <c r="D11" s="29" t="s">
        <v>129</v>
      </c>
      <c r="E11" s="29"/>
      <c r="F11" s="29"/>
      <c r="G11" s="29"/>
      <c r="H11" s="29"/>
      <c r="I11" s="6"/>
      <c r="J11" s="6"/>
      <c r="K11" s="6"/>
      <c r="L11" s="6"/>
    </row>
    <row r="12" spans="1:15" ht="17.100000000000001" customHeight="1" x14ac:dyDescent="0.25">
      <c r="A12" s="29" t="s">
        <v>4</v>
      </c>
      <c r="B12" s="79" t="s">
        <v>193</v>
      </c>
      <c r="C12" s="278" t="s">
        <v>178</v>
      </c>
      <c r="D12" s="278"/>
      <c r="E12" s="278"/>
      <c r="F12" s="6" t="s">
        <v>5</v>
      </c>
      <c r="G12" s="6"/>
      <c r="H12" s="278">
        <v>13042308</v>
      </c>
      <c r="I12" s="278"/>
      <c r="J12" s="6"/>
      <c r="K12" s="6"/>
      <c r="L12" s="6"/>
    </row>
    <row r="13" spans="1:15" ht="17.100000000000001" customHeight="1" x14ac:dyDescent="0.25">
      <c r="A13" s="6" t="s">
        <v>6</v>
      </c>
      <c r="B13" s="6"/>
      <c r="C13" s="279">
        <v>1978</v>
      </c>
      <c r="D13" s="279"/>
      <c r="E13" s="279"/>
      <c r="F13" s="6" t="s">
        <v>7</v>
      </c>
      <c r="G13" s="6"/>
      <c r="H13" s="279" t="s">
        <v>179</v>
      </c>
      <c r="I13" s="279"/>
      <c r="J13" s="6"/>
      <c r="K13" s="6"/>
      <c r="L13" s="6"/>
    </row>
    <row r="14" spans="1:15" ht="17.100000000000001" customHeight="1" x14ac:dyDescent="0.25">
      <c r="A14" s="6" t="s">
        <v>108</v>
      </c>
      <c r="B14" s="6"/>
      <c r="C14" s="280" t="s">
        <v>180</v>
      </c>
      <c r="D14" s="280"/>
      <c r="E14" s="280"/>
      <c r="F14" s="280"/>
      <c r="G14" s="280"/>
      <c r="H14" s="280"/>
      <c r="I14" s="280"/>
      <c r="J14" s="6"/>
      <c r="K14" s="6"/>
      <c r="L14" s="6"/>
    </row>
    <row r="15" spans="1:15" ht="17.100000000000001" customHeight="1" x14ac:dyDescent="0.25">
      <c r="A15" s="88" t="s">
        <v>125</v>
      </c>
      <c r="B15" s="280">
        <v>334092233</v>
      </c>
      <c r="C15" s="280"/>
      <c r="D15" s="89" t="s">
        <v>110</v>
      </c>
      <c r="E15" s="281">
        <v>40918</v>
      </c>
      <c r="F15" s="279"/>
      <c r="G15" s="6" t="s">
        <v>111</v>
      </c>
      <c r="H15" s="279" t="s">
        <v>181</v>
      </c>
      <c r="I15" s="279"/>
      <c r="J15" s="6"/>
      <c r="K15" s="6"/>
      <c r="L15" s="6"/>
      <c r="O15" s="81"/>
    </row>
    <row r="16" spans="1:15" ht="17.100000000000001" customHeight="1" x14ac:dyDescent="0.25">
      <c r="A16" s="6" t="s">
        <v>182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24" s="82" customFormat="1" ht="17.100000000000001" customHeight="1" x14ac:dyDescent="0.25">
      <c r="A17" s="84" t="s">
        <v>183</v>
      </c>
      <c r="B17" s="90"/>
      <c r="C17" s="83"/>
      <c r="D17" s="83"/>
      <c r="E17" s="83"/>
      <c r="F17" s="83"/>
      <c r="G17" s="83"/>
      <c r="H17" s="83"/>
      <c r="I17" s="83"/>
      <c r="J17" s="83"/>
      <c r="K17" s="83"/>
      <c r="L17" s="83"/>
    </row>
    <row r="18" spans="1:24" s="82" customFormat="1" ht="33.950000000000003" customHeight="1" x14ac:dyDescent="0.25">
      <c r="A18" s="217" t="s">
        <v>194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</row>
    <row r="19" spans="1:24" s="82" customFormat="1" ht="17.100000000000001" customHeight="1" x14ac:dyDescent="0.25">
      <c r="A19" s="227" t="s">
        <v>195</v>
      </c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</row>
    <row r="20" spans="1:24" s="82" customFormat="1" ht="17.100000000000001" customHeight="1" x14ac:dyDescent="0.25">
      <c r="A20" s="227" t="s">
        <v>196</v>
      </c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</row>
    <row r="21" spans="1:24" s="82" customFormat="1" ht="17.100000000000001" customHeight="1" x14ac:dyDescent="0.25">
      <c r="A21" s="227" t="s">
        <v>190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83"/>
    </row>
    <row r="22" spans="1:24" s="82" customFormat="1" ht="17.100000000000001" customHeight="1" x14ac:dyDescent="0.25">
      <c r="A22" s="84" t="s">
        <v>184</v>
      </c>
      <c r="B22" s="84" t="s">
        <v>186</v>
      </c>
      <c r="C22" s="84"/>
      <c r="D22" s="83"/>
      <c r="E22" s="91"/>
      <c r="F22" s="92"/>
      <c r="G22" s="83"/>
      <c r="H22" s="83"/>
      <c r="I22" s="83"/>
      <c r="J22" s="83"/>
      <c r="K22" s="83"/>
      <c r="L22" s="83"/>
    </row>
    <row r="23" spans="1:24" s="82" customFormat="1" ht="17.100000000000001" customHeight="1" x14ac:dyDescent="0.25">
      <c r="A23" s="227" t="s">
        <v>192</v>
      </c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</row>
    <row r="24" spans="1:24" s="82" customFormat="1" ht="17.100000000000001" customHeight="1" x14ac:dyDescent="0.25">
      <c r="A24" s="84" t="s">
        <v>185</v>
      </c>
      <c r="B24" s="84" t="s">
        <v>126</v>
      </c>
      <c r="C24" s="83"/>
      <c r="D24" s="93"/>
      <c r="E24" s="83"/>
      <c r="F24" s="93"/>
      <c r="G24" s="83"/>
      <c r="H24" s="83"/>
      <c r="I24" s="83"/>
      <c r="J24" s="83"/>
      <c r="K24" s="83"/>
      <c r="L24" s="83"/>
    </row>
    <row r="25" spans="1:24" s="82" customFormat="1" ht="17.100000000000001" customHeight="1" x14ac:dyDescent="0.25">
      <c r="A25" s="227" t="s">
        <v>191</v>
      </c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85" customFormat="1" ht="17.100000000000001" customHeight="1" x14ac:dyDescent="0.25">
      <c r="A26" s="236" t="s">
        <v>197</v>
      </c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</row>
    <row r="27" spans="1:24" ht="17.100000000000001" customHeight="1" x14ac:dyDescent="0.25">
      <c r="A27" s="57" t="s">
        <v>130</v>
      </c>
      <c r="B27" s="6"/>
      <c r="C27" s="6"/>
      <c r="D27" s="6"/>
      <c r="E27" s="29" t="s">
        <v>10</v>
      </c>
      <c r="F27" s="6"/>
      <c r="G27" s="6"/>
      <c r="H27" s="6"/>
      <c r="I27" s="85"/>
      <c r="J27" s="6"/>
      <c r="K27" s="6"/>
      <c r="L27" s="6"/>
    </row>
    <row r="28" spans="1:24" ht="16.5" customHeight="1" x14ac:dyDescent="0.25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4" ht="17.100000000000001" customHeight="1" x14ac:dyDescent="0.25">
      <c r="A29" s="234" t="s">
        <v>82</v>
      </c>
      <c r="B29" s="234"/>
      <c r="C29" s="234"/>
      <c r="D29" s="3"/>
      <c r="E29" s="28"/>
      <c r="F29" s="3"/>
      <c r="G29" s="28"/>
      <c r="H29" s="32" t="s">
        <v>12</v>
      </c>
      <c r="I29" s="32"/>
      <c r="J29" s="32"/>
      <c r="K29" s="32"/>
    </row>
    <row r="30" spans="1:24" ht="15.75" x14ac:dyDescent="0.25">
      <c r="A30" s="4"/>
      <c r="B30" s="3"/>
      <c r="C30" s="3"/>
      <c r="D30" s="3"/>
      <c r="E30" s="28"/>
      <c r="F30" s="3"/>
      <c r="G30" s="28"/>
      <c r="H30" s="4"/>
      <c r="I30" s="3"/>
      <c r="J30" s="3"/>
      <c r="K30" s="3"/>
      <c r="L30" s="3"/>
    </row>
    <row r="31" spans="1:24" ht="15.75" x14ac:dyDescent="0.25">
      <c r="A31" s="4"/>
      <c r="B31" s="3"/>
      <c r="C31" s="3"/>
      <c r="D31" s="3"/>
      <c r="E31" s="28"/>
      <c r="F31" s="3"/>
      <c r="G31" s="28"/>
      <c r="H31" s="4"/>
      <c r="I31" s="3"/>
      <c r="J31" s="3"/>
      <c r="K31" s="3"/>
      <c r="L31" s="3"/>
    </row>
    <row r="32" spans="1:24" ht="15.7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.7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.7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35" customFormat="1" ht="17.100000000000001" customHeight="1" x14ac:dyDescent="0.25">
      <c r="A35" s="276" t="s">
        <v>178</v>
      </c>
      <c r="B35" s="276"/>
      <c r="C35" s="276"/>
      <c r="D35" s="34"/>
      <c r="E35" s="34"/>
      <c r="F35" s="34"/>
      <c r="G35" s="277" t="s">
        <v>187</v>
      </c>
      <c r="H35" s="277"/>
      <c r="I35" s="277"/>
      <c r="J35" s="34"/>
      <c r="K35" s="34"/>
      <c r="L35" s="34"/>
    </row>
  </sheetData>
  <mergeCells count="24">
    <mergeCell ref="K4:L4"/>
    <mergeCell ref="F5:J5"/>
    <mergeCell ref="A7:L7"/>
    <mergeCell ref="B9:E9"/>
    <mergeCell ref="B15:C15"/>
    <mergeCell ref="E15:F15"/>
    <mergeCell ref="H15:I15"/>
    <mergeCell ref="A1:J1"/>
    <mergeCell ref="A2:J2"/>
    <mergeCell ref="C12:E12"/>
    <mergeCell ref="H12:I12"/>
    <mergeCell ref="C13:E13"/>
    <mergeCell ref="H13:I13"/>
    <mergeCell ref="C14:I14"/>
    <mergeCell ref="A26:L26"/>
    <mergeCell ref="A29:C29"/>
    <mergeCell ref="A35:C35"/>
    <mergeCell ref="G35:I35"/>
    <mergeCell ref="A18:L18"/>
    <mergeCell ref="A19:L19"/>
    <mergeCell ref="A20:L20"/>
    <mergeCell ref="A21:K21"/>
    <mergeCell ref="A23:L23"/>
    <mergeCell ref="A25:L25"/>
  </mergeCells>
  <printOptions horizontalCentered="1"/>
  <pageMargins left="0.25" right="0" top="0.5" bottom="0.5" header="0" footer="0"/>
  <pageSetup paperSize="512" scale="95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8"/>
  <sheetViews>
    <sheetView zoomScaleNormal="100" workbookViewId="0">
      <selection activeCell="P9" sqref="P9"/>
    </sheetView>
  </sheetViews>
  <sheetFormatPr defaultRowHeight="15" x14ac:dyDescent="0.25"/>
  <cols>
    <col min="1" max="1" width="6.28515625" customWidth="1"/>
    <col min="2" max="2" width="9.28515625" customWidth="1"/>
    <col min="3" max="3" width="24.28515625" customWidth="1"/>
    <col min="4" max="4" width="17.140625" customWidth="1"/>
    <col min="5" max="6" width="15.140625" style="98" customWidth="1"/>
    <col min="7" max="7" width="14" style="98" customWidth="1"/>
    <col min="8" max="8" width="14.7109375" style="98" customWidth="1"/>
    <col min="9" max="9" width="15.140625" customWidth="1"/>
    <col min="10" max="10" width="14.7109375" customWidth="1"/>
  </cols>
  <sheetData>
    <row r="3" spans="1:10" s="104" customFormat="1" ht="30" customHeight="1" x14ac:dyDescent="0.3">
      <c r="A3" s="287" t="s">
        <v>214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10" s="105" customFormat="1" ht="30.75" customHeight="1" x14ac:dyDescent="0.3">
      <c r="A4" s="288" t="s">
        <v>213</v>
      </c>
      <c r="B4" s="288"/>
      <c r="C4" s="288"/>
      <c r="D4" s="288"/>
      <c r="E4" s="288"/>
      <c r="F4" s="288"/>
      <c r="G4" s="288"/>
      <c r="H4" s="288"/>
      <c r="I4" s="288"/>
      <c r="J4" s="288"/>
    </row>
    <row r="6" spans="1:10" s="103" customFormat="1" ht="54" customHeight="1" x14ac:dyDescent="0.25">
      <c r="A6" s="107" t="s">
        <v>206</v>
      </c>
      <c r="B6" s="107" t="s">
        <v>207</v>
      </c>
      <c r="C6" s="107" t="s">
        <v>208</v>
      </c>
      <c r="D6" s="107" t="s">
        <v>209</v>
      </c>
      <c r="E6" s="107" t="s">
        <v>215</v>
      </c>
      <c r="F6" s="107" t="s">
        <v>216</v>
      </c>
      <c r="G6" s="107" t="s">
        <v>217</v>
      </c>
      <c r="H6" s="108" t="s">
        <v>218</v>
      </c>
      <c r="I6" s="108" t="s">
        <v>219</v>
      </c>
      <c r="J6" s="107" t="s">
        <v>210</v>
      </c>
    </row>
    <row r="7" spans="1:10" s="100" customFormat="1" ht="84.75" customHeight="1" x14ac:dyDescent="0.25">
      <c r="A7" s="101">
        <v>1</v>
      </c>
      <c r="B7" s="101">
        <v>22</v>
      </c>
      <c r="C7" s="101" t="s">
        <v>211</v>
      </c>
      <c r="D7" s="99" t="s">
        <v>212</v>
      </c>
      <c r="E7" s="106">
        <v>3650000</v>
      </c>
      <c r="F7" s="106">
        <v>150000</v>
      </c>
      <c r="G7" s="106">
        <v>300000</v>
      </c>
      <c r="H7" s="106">
        <v>300000</v>
      </c>
      <c r="I7" s="102">
        <v>100000</v>
      </c>
      <c r="J7" s="101"/>
    </row>
    <row r="8" spans="1:10" ht="39.950000000000003" customHeight="1" x14ac:dyDescent="0.25"/>
  </sheetData>
  <mergeCells count="2">
    <mergeCell ref="A3:J3"/>
    <mergeCell ref="A4:J4"/>
  </mergeCells>
  <pageMargins left="0" right="0" top="0" bottom="0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Form đổ phần mềm</vt:lpstr>
      <vt:lpstr>Form mẫu</vt:lpstr>
      <vt:lpstr>phu luc HDLD</vt:lpstr>
      <vt:lpstr>DS ky nhan HDLD</vt:lpstr>
      <vt:lpstr>HD hoc viec (2)</vt:lpstr>
      <vt:lpstr>Sheet1</vt:lpstr>
      <vt:lpstr>'DS ky nhan HDLD'!Print_Area</vt:lpstr>
      <vt:lpstr>'Form đổ phần mềm'!Print_Area</vt:lpstr>
      <vt:lpstr>'HD hoc viec (2)'!Print_Area</vt:lpstr>
      <vt:lpstr>'phu luc HDLD'!Print_Area</vt:lpstr>
      <vt:lpstr>'DS ky nhan HDLD'!Print_Titles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HongSam</dc:creator>
  <cp:lastModifiedBy>Windows User</cp:lastModifiedBy>
  <cp:lastPrinted>2020-10-17T07:59:24Z</cp:lastPrinted>
  <dcterms:created xsi:type="dcterms:W3CDTF">2015-11-18T05:01:35Z</dcterms:created>
  <dcterms:modified xsi:type="dcterms:W3CDTF">2020-11-28T08:59:55Z</dcterms:modified>
</cp:coreProperties>
</file>