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A8DCA6DD-520C-43A4-ABA1-AA8803662B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AP-AP Checking" sheetId="1" r:id="rId1"/>
    <sheet name="MC (2)" sheetId="2" state="hidden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5" i="2" l="1"/>
  <c r="D52" i="2"/>
  <c r="D50" i="2"/>
  <c r="D46" i="2"/>
  <c r="D42" i="2"/>
  <c r="D39" i="2"/>
  <c r="D38" i="2"/>
  <c r="D37" i="2"/>
  <c r="D36" i="2"/>
  <c r="D35" i="2"/>
  <c r="D34" i="2" s="1"/>
  <c r="B34" i="2"/>
  <c r="D33" i="2"/>
  <c r="D32" i="2"/>
  <c r="D31" i="2"/>
  <c r="D30" i="2"/>
  <c r="B30" i="2"/>
  <c r="D29" i="2"/>
  <c r="D28" i="2"/>
  <c r="D27" i="2" s="1"/>
  <c r="B27" i="2"/>
  <c r="D26" i="2"/>
  <c r="D25" i="2"/>
  <c r="D24" i="2"/>
  <c r="D23" i="2"/>
  <c r="D22" i="2"/>
  <c r="D21" i="2" s="1"/>
  <c r="D20" i="2" s="1"/>
  <c r="B21" i="2"/>
  <c r="B20" i="2" s="1"/>
  <c r="D18" i="2"/>
  <c r="D17" i="2"/>
  <c r="D16" i="2"/>
  <c r="D15" i="2"/>
  <c r="D14" i="2"/>
  <c r="D13" i="2" s="1"/>
  <c r="B13" i="2"/>
  <c r="D11" i="2"/>
  <c r="D10" i="2"/>
  <c r="D9" i="2"/>
  <c r="D8" i="2" s="1"/>
  <c r="B8" i="2"/>
  <c r="B44" i="2" s="1"/>
  <c r="B48" i="2" s="1"/>
  <c r="C42" i="2" l="1"/>
  <c r="C32" i="2"/>
  <c r="C9" i="2"/>
  <c r="C33" i="2"/>
  <c r="C37" i="2"/>
  <c r="C24" i="2"/>
  <c r="C11" i="2"/>
  <c r="C55" i="2"/>
  <c r="B58" i="2"/>
  <c r="C25" i="2"/>
  <c r="C23" i="2"/>
  <c r="C26" i="2"/>
  <c r="C36" i="2"/>
  <c r="C22" i="2"/>
  <c r="C21" i="2" s="1"/>
  <c r="C15" i="2"/>
  <c r="C10" i="2"/>
  <c r="C38" i="2"/>
  <c r="C52" i="2"/>
  <c r="C31" i="2"/>
  <c r="C30" i="2" s="1"/>
  <c r="C18" i="2"/>
  <c r="C17" i="2"/>
  <c r="C29" i="2"/>
  <c r="C14" i="2"/>
  <c r="C13" i="2" s="1"/>
  <c r="C28" i="2"/>
  <c r="C27" i="2" s="1"/>
  <c r="C46" i="2"/>
  <c r="C16" i="2"/>
  <c r="C35" i="2"/>
  <c r="C39" i="2"/>
  <c r="D44" i="2"/>
  <c r="D48" i="2" s="1"/>
  <c r="E39" i="2" s="1"/>
  <c r="E28" i="2"/>
  <c r="E26" i="2" l="1"/>
  <c r="E24" i="2"/>
  <c r="E38" i="2"/>
  <c r="E31" i="2"/>
  <c r="C20" i="2"/>
  <c r="E17" i="2"/>
  <c r="C8" i="2"/>
  <c r="C44" i="2" s="1"/>
  <c r="C48" i="2" s="1"/>
  <c r="E37" i="2"/>
  <c r="E9" i="2"/>
  <c r="E36" i="2"/>
  <c r="E18" i="2"/>
  <c r="E22" i="2"/>
  <c r="E52" i="2"/>
  <c r="E23" i="2"/>
  <c r="E33" i="2"/>
  <c r="E16" i="2"/>
  <c r="E25" i="2"/>
  <c r="E10" i="2"/>
  <c r="E46" i="2"/>
  <c r="E29" i="2"/>
  <c r="E27" i="2" s="1"/>
  <c r="E42" i="2"/>
  <c r="E32" i="2"/>
  <c r="E55" i="2"/>
  <c r="E14" i="2"/>
  <c r="E15" i="2"/>
  <c r="C34" i="2"/>
  <c r="E35" i="2"/>
  <c r="C50" i="2"/>
  <c r="C58" i="2"/>
  <c r="D58" i="2"/>
  <c r="E11" i="2"/>
  <c r="E58" i="2" l="1"/>
  <c r="E50" i="2"/>
  <c r="E21" i="2"/>
  <c r="E34" i="2"/>
  <c r="E30" i="2"/>
  <c r="E13" i="2"/>
  <c r="E8" i="2"/>
  <c r="E20" i="2" l="1"/>
  <c r="E44" i="2" s="1"/>
  <c r="E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FCVN-NVP-01</author>
  </authors>
  <commentList>
    <comment ref="A8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FCVN-NVP-01:</t>
        </r>
        <r>
          <rPr>
            <sz val="8"/>
            <color indexed="81"/>
            <rFont val="Tahoma"/>
            <family val="2"/>
          </rPr>
          <t xml:space="preserve">
acct No 152-BCTC</t>
        </r>
      </text>
    </comment>
    <comment ref="A4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FCVN-NVP-01:</t>
        </r>
        <r>
          <rPr>
            <sz val="8"/>
            <color indexed="81"/>
            <rFont val="Tahoma"/>
            <family val="2"/>
          </rPr>
          <t xml:space="preserve">
154cct BCTC_details
</t>
        </r>
      </text>
    </comment>
  </commentList>
</comments>
</file>

<file path=xl/sharedStrings.xml><?xml version="1.0" encoding="utf-8"?>
<sst xmlns="http://schemas.openxmlformats.org/spreadsheetml/2006/main" count="122" uniqueCount="119">
  <si>
    <t>Công ty TNHH VINA GENUWIN</t>
  </si>
  <si>
    <t>Schedules of Cost of Goods Manufactured</t>
  </si>
  <si>
    <t>From Jan 01 To 31, 2013</t>
  </si>
  <si>
    <t>Exchange:</t>
  </si>
  <si>
    <t xml:space="preserve">           ACCOUNTS</t>
    <phoneticPr fontId="1" type="noConversion"/>
  </si>
  <si>
    <r>
      <t xml:space="preserve">VND  </t>
    </r>
    <r>
      <rPr>
        <b/>
        <sz val="8"/>
        <color indexed="8"/>
        <rFont val="Times New Roman"/>
        <family val="1"/>
      </rPr>
      <t>(Book CCY)</t>
    </r>
  </si>
  <si>
    <r>
      <t xml:space="preserve">USD </t>
    </r>
    <r>
      <rPr>
        <b/>
        <sz val="8"/>
        <color indexed="8"/>
        <rFont val="Times New Roman"/>
        <family val="1"/>
      </rPr>
      <t>(Exchange CCY)</t>
    </r>
  </si>
  <si>
    <t>Remark</t>
    <phoneticPr fontId="1" type="noConversion"/>
  </si>
  <si>
    <t>Amount</t>
    <phoneticPr fontId="1" type="noConversion"/>
  </si>
  <si>
    <t>Ratio</t>
    <phoneticPr fontId="1" type="noConversion"/>
  </si>
  <si>
    <t>I. MATERIAL COST</t>
    <phoneticPr fontId="2" type="noConversion"/>
  </si>
  <si>
    <t xml:space="preserve">     1.Beginning Inventory of Raw Materials</t>
    <phoneticPr fontId="2" type="noConversion"/>
  </si>
  <si>
    <t xml:space="preserve">     2.Cost of Raw Materials Purchased</t>
    <phoneticPr fontId="3" type="noConversion"/>
  </si>
  <si>
    <t xml:space="preserve">     3.Ending Inventory of Raw Materials</t>
  </si>
  <si>
    <t>II. Direct labour cost</t>
    <phoneticPr fontId="1" type="noConversion"/>
  </si>
  <si>
    <t xml:space="preserve">     1.Direct labour cost - Salary</t>
    <phoneticPr fontId="1" type="noConversion"/>
  </si>
  <si>
    <t xml:space="preserve">     2.Direct labour cost - Social insurance</t>
    <phoneticPr fontId="1" type="noConversion"/>
  </si>
  <si>
    <t xml:space="preserve">     3.Direct labour cost - Health insurance</t>
  </si>
  <si>
    <t xml:space="preserve">     4.Direct labour cost - Unemployment insurance</t>
  </si>
  <si>
    <t xml:space="preserve">     5.Direct labour cost - Allawance others</t>
  </si>
  <si>
    <t>III. Factory overhead</t>
    <phoneticPr fontId="1" type="noConversion"/>
  </si>
  <si>
    <t xml:space="preserve">    1.Employee expense</t>
    <phoneticPr fontId="1" type="noConversion"/>
  </si>
  <si>
    <t xml:space="preserve">      1) Salary</t>
  </si>
  <si>
    <t xml:space="preserve">      2) Employee exp - social insurance</t>
    <phoneticPr fontId="1" type="noConversion"/>
  </si>
  <si>
    <t xml:space="preserve">      3)  Employee exp - health insurance</t>
    <phoneticPr fontId="1" type="noConversion"/>
  </si>
  <si>
    <t xml:space="preserve">      4)  Employee exp - Unemployment insurance</t>
    <phoneticPr fontId="1" type="noConversion"/>
  </si>
  <si>
    <t xml:space="preserve">      5) Employee exp - allawance others</t>
  </si>
  <si>
    <t xml:space="preserve">   2.Material and consumable Exp for worksho</t>
  </si>
  <si>
    <t xml:space="preserve">      1) Material consumable</t>
  </si>
  <si>
    <t xml:space="preserve">      2) Material others</t>
  </si>
  <si>
    <t xml:space="preserve">   3.Tools, instrument for porduction</t>
  </si>
  <si>
    <t xml:space="preserve">      1) Stationery (Uniform, orhers…)</t>
  </si>
  <si>
    <t xml:space="preserve">      2) Tools, spare part exp</t>
  </si>
  <si>
    <t xml:space="preserve">   4.Depreciation</t>
  </si>
  <si>
    <t xml:space="preserve">   5.Extenal sevice acquired</t>
  </si>
  <si>
    <t xml:space="preserve">      1) Safety fee for food</t>
  </si>
  <si>
    <t xml:space="preserve">      3) Mainatance fee    </t>
  </si>
  <si>
    <t xml:space="preserve">      3) Liquid for dishwashers
</t>
  </si>
  <si>
    <t xml:space="preserve">      4) Gas used for kitchen</t>
  </si>
  <si>
    <t xml:space="preserve">      5) Rental fee for water filter</t>
  </si>
  <si>
    <t xml:space="preserve">      5) Paper &amp; others support for meals</t>
  </si>
  <si>
    <t xml:space="preserve">      5) Risk insurance</t>
  </si>
  <si>
    <t xml:space="preserve">   6.other expenses</t>
  </si>
  <si>
    <t>IV. Total Manufacturing Cost During the Period</t>
    <phoneticPr fontId="2" type="noConversion"/>
  </si>
  <si>
    <t>V. Beginning Inventory of Work in Process</t>
    <phoneticPr fontId="2" type="noConversion"/>
  </si>
  <si>
    <t>VI. Total</t>
    <phoneticPr fontId="2" type="noConversion"/>
  </si>
  <si>
    <t>VII. Ending Inventory of Work in Process</t>
    <phoneticPr fontId="2" type="noConversion"/>
  </si>
  <si>
    <t>IX. Beginning Inventory of Stock (Goods)</t>
  </si>
  <si>
    <t>X.Ending Inventory of Stock (Goods)</t>
  </si>
  <si>
    <t>XIV. Cost of Goods Manufactured</t>
  </si>
  <si>
    <t>AAP - AP CHECKING</t>
  </si>
  <si>
    <t>No</t>
  </si>
  <si>
    <t>Partner Name</t>
  </si>
  <si>
    <t>Po No</t>
  </si>
  <si>
    <t>Incoming Slip No</t>
  </si>
  <si>
    <t>Take in Date</t>
  </si>
  <si>
    <t>Item Code</t>
  </si>
  <si>
    <t>Item Name</t>
  </si>
  <si>
    <t>Adjust Reason</t>
  </si>
  <si>
    <t>APP Qty</t>
  </si>
  <si>
    <t>AAP Amount</t>
  </si>
  <si>
    <t xml:space="preserve"> AAP Slip No</t>
  </si>
  <si>
    <t>AAP Slip Date</t>
  </si>
  <si>
    <t>AP qty</t>
  </si>
  <si>
    <t>AP Amount</t>
  </si>
  <si>
    <t>AP Slip No</t>
  </si>
  <si>
    <t>AP Slip Date</t>
  </si>
  <si>
    <t>Debit</t>
  </si>
  <si>
    <t>Credit</t>
  </si>
  <si>
    <t>User</t>
  </si>
  <si>
    <t>Remark</t>
  </si>
  <si>
    <t>Uom</t>
  </si>
  <si>
    <t>Stock in Qty</t>
  </si>
  <si>
    <t>Item Amount</t>
  </si>
  <si>
    <t>AAP - AP Gap</t>
  </si>
  <si>
    <t>PO-AAP Gap</t>
  </si>
  <si>
    <t>Adjust</t>
  </si>
  <si>
    <t>Adjust Slip</t>
  </si>
  <si>
    <t xml:space="preserve"> Credit</t>
  </si>
  <si>
    <t>Declare No</t>
  </si>
  <si>
    <t xml:space="preserve">Invoice No </t>
  </si>
  <si>
    <t>Code Imp. Type</t>
  </si>
  <si>
    <t>Invoice Date</t>
  </si>
  <si>
    <t>Declaration Date</t>
  </si>
  <si>
    <t xml:space="preserve"> ROW_NUM </t>
  </si>
  <si>
    <t>PARTNER_ID</t>
  </si>
  <si>
    <t>REF_NO</t>
  </si>
  <si>
    <t>VOUCHERNO</t>
  </si>
  <si>
    <t xml:space="preserve">IN_DATE </t>
  </si>
  <si>
    <t>ITEM_CODE</t>
  </si>
  <si>
    <t>ITEM_NAME</t>
  </si>
  <si>
    <t>UOM</t>
  </si>
  <si>
    <t>IN_QTY</t>
  </si>
  <si>
    <t>ITEM_AMOUNT</t>
  </si>
  <si>
    <t>PO_AAP_GAP</t>
  </si>
  <si>
    <t>AAP_AP_GAP</t>
  </si>
  <si>
    <t>TRANS_AMT</t>
  </si>
  <si>
    <t>ADJUST_SLIP</t>
  </si>
  <si>
    <t>REASON</t>
  </si>
  <si>
    <t>APP_QTY</t>
  </si>
  <si>
    <t>AAP_TRFAMT</t>
  </si>
  <si>
    <t>APP_VOUCHERNO</t>
  </si>
  <si>
    <t>APP_TR_DATE</t>
  </si>
  <si>
    <t>APP_DEBIT</t>
  </si>
  <si>
    <t>APP_CREDIT</t>
  </si>
  <si>
    <t>AP_QTY</t>
  </si>
  <si>
    <t>AP_TRFAMT</t>
  </si>
  <si>
    <t>VOUCHERNO_2</t>
  </si>
  <si>
    <t>INVOICE_NO</t>
  </si>
  <si>
    <t>DECLARE_NO</t>
  </si>
  <si>
    <t>TR_DATE</t>
  </si>
  <si>
    <t>DEBIT</t>
  </si>
  <si>
    <t>CREDIT</t>
  </si>
  <si>
    <t>CRT_BY</t>
  </si>
  <si>
    <t>REMARK</t>
  </si>
  <si>
    <t>CODE_IMPTYPE</t>
  </si>
  <si>
    <t>INVOICE_DATE</t>
  </si>
  <si>
    <t>DECLARATION_DT</t>
  </si>
  <si>
    <t>$[TIME_DATE]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</si>
</sst>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_-* #,##0_-;\-* #,##0_-;_-* &quot;-&quot;_-;_-@_-"/>
  </numFmts>
  <fonts count="20"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6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  <charset val="129"/>
    </font>
    <font>
      <sz val="11"/>
      <name val="Times New Roman"/>
      <family val="1"/>
    </font>
    <font>
      <b/>
      <sz val="14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13"/>
      <name val="Times New Roman"/>
      <family val="1"/>
    </font>
    <font>
      <b/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165" fontId="8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164" fontId="4" fillId="0" borderId="0" xfId="0" applyNumberFormat="1" applyFont="1">
      <alignment vertical="center"/>
    </xf>
    <xf numFmtId="164" fontId="5" fillId="0" borderId="0" xfId="0" applyNumberFormat="1" applyFont="1" applyFill="1" applyBorder="1" applyAlignment="1" applyProtection="1"/>
    <xf numFmtId="10" fontId="5" fillId="0" borderId="0" xfId="0" applyNumberFormat="1" applyFont="1" applyFill="1" applyBorder="1" applyAlignment="1" applyProtection="1"/>
    <xf numFmtId="4" fontId="5" fillId="0" borderId="0" xfId="0" applyNumberFormat="1" applyFont="1" applyFill="1" applyBorder="1" applyAlignment="1" applyProtection="1"/>
    <xf numFmtId="164" fontId="7" fillId="0" borderId="0" xfId="0" applyNumberFormat="1" applyFont="1">
      <alignment vertical="center"/>
    </xf>
    <xf numFmtId="10" fontId="7" fillId="0" borderId="0" xfId="0" applyNumberFormat="1" applyFont="1">
      <alignment vertical="center"/>
    </xf>
    <xf numFmtId="4" fontId="7" fillId="0" borderId="0" xfId="0" applyNumberFormat="1" applyFont="1">
      <alignment vertical="center"/>
    </xf>
    <xf numFmtId="10" fontId="7" fillId="0" borderId="1" xfId="0" applyNumberFormat="1" applyFont="1" applyBorder="1" applyAlignment="1">
      <alignment vertical="center"/>
    </xf>
    <xf numFmtId="165" fontId="9" fillId="0" borderId="1" xfId="1" applyFont="1" applyBorder="1" applyAlignment="1"/>
    <xf numFmtId="164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vertical="center"/>
    </xf>
    <xf numFmtId="165" fontId="13" fillId="0" borderId="3" xfId="1" applyFont="1" applyBorder="1">
      <alignment vertical="center"/>
    </xf>
    <xf numFmtId="10" fontId="12" fillId="0" borderId="3" xfId="0" applyNumberFormat="1" applyFont="1" applyFill="1" applyBorder="1" applyAlignment="1" applyProtection="1"/>
    <xf numFmtId="4" fontId="13" fillId="0" borderId="3" xfId="1" applyNumberFormat="1" applyFont="1" applyBorder="1">
      <alignment vertical="center"/>
    </xf>
    <xf numFmtId="164" fontId="7" fillId="0" borderId="3" xfId="0" applyNumberFormat="1" applyFont="1" applyFill="1" applyBorder="1" applyAlignment="1" applyProtection="1"/>
    <xf numFmtId="164" fontId="7" fillId="0" borderId="0" xfId="0" applyNumberFormat="1" applyFont="1" applyFill="1" applyBorder="1" applyAlignment="1" applyProtection="1"/>
    <xf numFmtId="164" fontId="9" fillId="0" borderId="3" xfId="0" applyNumberFormat="1" applyFont="1" applyFill="1" applyBorder="1" applyAlignment="1" applyProtection="1"/>
    <xf numFmtId="165" fontId="7" fillId="0" borderId="3" xfId="1" applyFont="1" applyBorder="1">
      <alignment vertical="center"/>
    </xf>
    <xf numFmtId="10" fontId="7" fillId="0" borderId="3" xfId="0" applyNumberFormat="1" applyFont="1" applyFill="1" applyBorder="1" applyAlignment="1" applyProtection="1"/>
    <xf numFmtId="4" fontId="7" fillId="0" borderId="3" xfId="1" applyNumberFormat="1" applyFont="1" applyBorder="1">
      <alignment vertical="center"/>
    </xf>
    <xf numFmtId="0" fontId="9" fillId="0" borderId="3" xfId="0" applyFont="1" applyFill="1" applyBorder="1" applyAlignment="1">
      <alignment vertical="center" wrapText="1"/>
    </xf>
    <xf numFmtId="4" fontId="7" fillId="0" borderId="3" xfId="0" applyNumberFormat="1" applyFont="1" applyFill="1" applyBorder="1" applyAlignment="1" applyProtection="1"/>
    <xf numFmtId="0" fontId="12" fillId="0" borderId="3" xfId="0" applyFont="1" applyBorder="1">
      <alignment vertical="center"/>
    </xf>
    <xf numFmtId="164" fontId="12" fillId="0" borderId="3" xfId="0" applyNumberFormat="1" applyFont="1" applyFill="1" applyBorder="1" applyAlignment="1" applyProtection="1"/>
    <xf numFmtId="4" fontId="12" fillId="0" borderId="3" xfId="0" applyNumberFormat="1" applyFont="1" applyFill="1" applyBorder="1" applyAlignment="1" applyProtection="1"/>
    <xf numFmtId="0" fontId="7" fillId="0" borderId="3" xfId="0" applyFont="1" applyBorder="1">
      <alignment vertical="center"/>
    </xf>
    <xf numFmtId="165" fontId="12" fillId="0" borderId="3" xfId="1" applyFont="1" applyBorder="1">
      <alignment vertical="center"/>
    </xf>
    <xf numFmtId="4" fontId="12" fillId="0" borderId="3" xfId="1" applyNumberFormat="1" applyFont="1" applyBorder="1">
      <alignment vertical="center"/>
    </xf>
    <xf numFmtId="165" fontId="9" fillId="0" borderId="3" xfId="1" applyFont="1" applyFill="1" applyBorder="1">
      <alignment vertical="center"/>
    </xf>
    <xf numFmtId="0" fontId="7" fillId="0" borderId="3" xfId="0" applyFont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164" fontId="7" fillId="0" borderId="4" xfId="0" applyNumberFormat="1" applyFont="1" applyFill="1" applyBorder="1" applyAlignment="1" applyProtection="1"/>
    <xf numFmtId="10" fontId="7" fillId="0" borderId="4" xfId="0" applyNumberFormat="1" applyFont="1" applyFill="1" applyBorder="1" applyAlignment="1" applyProtection="1"/>
    <xf numFmtId="4" fontId="7" fillId="0" borderId="4" xfId="0" applyNumberFormat="1" applyFont="1" applyFill="1" applyBorder="1" applyAlignment="1" applyProtection="1"/>
    <xf numFmtId="10" fontId="16" fillId="0" borderId="0" xfId="0" applyNumberFormat="1" applyFont="1" applyBorder="1" applyAlignment="1">
      <alignment vertical="center"/>
    </xf>
    <xf numFmtId="164" fontId="17" fillId="3" borderId="5" xfId="0" applyNumberFormat="1" applyFont="1" applyFill="1" applyBorder="1" applyAlignment="1">
      <alignment horizontal="left" vertical="center"/>
    </xf>
    <xf numFmtId="164" fontId="17" fillId="3" borderId="5" xfId="0" applyNumberFormat="1" applyFont="1" applyFill="1" applyBorder="1" applyAlignment="1">
      <alignment horizontal="center" vertical="center"/>
    </xf>
    <xf numFmtId="164" fontId="16" fillId="0" borderId="0" xfId="0" applyNumberFormat="1" applyFont="1" applyFill="1" applyBorder="1" applyAlignment="1" applyProtection="1">
      <alignment vertical="center"/>
    </xf>
    <xf numFmtId="165" fontId="18" fillId="0" borderId="0" xfId="1" applyFont="1" applyBorder="1" applyAlignment="1">
      <alignment vertical="center"/>
    </xf>
    <xf numFmtId="10" fontId="16" fillId="0" borderId="0" xfId="0" applyNumberFormat="1" applyFont="1" applyFill="1" applyBorder="1" applyAlignment="1" applyProtection="1">
      <alignment vertical="center"/>
    </xf>
    <xf numFmtId="4" fontId="16" fillId="0" borderId="0" xfId="0" applyNumberFormat="1" applyFont="1" applyFill="1" applyBorder="1" applyAlignment="1" applyProtection="1">
      <alignment vertical="center"/>
    </xf>
    <xf numFmtId="165" fontId="18" fillId="0" borderId="6" xfId="1" applyFont="1" applyBorder="1" applyAlignment="1">
      <alignment vertical="center"/>
    </xf>
    <xf numFmtId="49" fontId="16" fillId="0" borderId="6" xfId="0" applyNumberFormat="1" applyFont="1" applyFill="1" applyBorder="1" applyAlignment="1" applyProtection="1">
      <alignment horizontal="left" vertical="center"/>
    </xf>
    <xf numFmtId="49" fontId="18" fillId="0" borderId="6" xfId="1" applyNumberFormat="1" applyFont="1" applyBorder="1" applyAlignment="1">
      <alignment vertical="center"/>
    </xf>
    <xf numFmtId="49" fontId="16" fillId="0" borderId="6" xfId="0" applyNumberFormat="1" applyFont="1" applyFill="1" applyBorder="1" applyAlignment="1" applyProtection="1">
      <alignment vertical="center"/>
    </xf>
    <xf numFmtId="164" fontId="16" fillId="0" borderId="6" xfId="0" applyNumberFormat="1" applyFont="1" applyFill="1" applyBorder="1" applyAlignment="1" applyProtection="1">
      <alignment vertical="center"/>
    </xf>
    <xf numFmtId="164" fontId="16" fillId="0" borderId="6" xfId="0" applyNumberFormat="1" applyFont="1" applyFill="1" applyBorder="1" applyAlignment="1" applyProtection="1">
      <alignment horizontal="right" vertical="center"/>
    </xf>
    <xf numFmtId="49" fontId="16" fillId="0" borderId="6" xfId="0" applyNumberFormat="1" applyFont="1" applyFill="1" applyBorder="1" applyAlignment="1" applyProtection="1">
      <alignment horizontal="right" vertical="center"/>
    </xf>
    <xf numFmtId="164" fontId="17" fillId="0" borderId="0" xfId="0" applyNumberFormat="1" applyFont="1" applyBorder="1" applyAlignment="1">
      <alignment horizontal="center" vertical="center"/>
    </xf>
    <xf numFmtId="164" fontId="19" fillId="0" borderId="0" xfId="0" applyNumberFormat="1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center"/>
    </xf>
    <xf numFmtId="164" fontId="4" fillId="0" borderId="0" xfId="0" applyNumberFormat="1" applyFont="1" applyAlignment="1">
      <alignment horizontal="center" vertical="center"/>
    </xf>
    <xf numFmtId="164" fontId="10" fillId="0" borderId="7" xfId="0" applyNumberFormat="1" applyFont="1" applyBorder="1" applyAlignment="1">
      <alignment horizontal="left" vertical="center"/>
    </xf>
    <xf numFmtId="164" fontId="10" fillId="0" borderId="8" xfId="0" applyNumberFormat="1" applyFont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2" borderId="6" xfId="0" applyNumberFormat="1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H5"/>
  <sheetViews>
    <sheetView tabSelected="1" workbookViewId="0">
      <pane xSplit="6" ySplit="4" topLeftCell="I5" activePane="bottomRight" state="frozen"/>
      <selection pane="topRight" activeCell="G1" sqref="G1"/>
      <selection pane="bottomLeft" activeCell="A5" sqref="A5"/>
      <selection pane="bottomRight" activeCell="J6" sqref="J6"/>
    </sheetView>
  </sheetViews>
  <sheetFormatPr defaultColWidth="9" defaultRowHeight="22.5" customHeight="1"/>
  <cols>
    <col min="1" max="1" width="7.7109375" style="40" customWidth="1"/>
    <col min="2" max="2" width="41.7109375" style="40" customWidth="1"/>
    <col min="3" max="3" width="19.140625" style="42" customWidth="1"/>
    <col min="4" max="4" width="19.7109375" style="43" customWidth="1"/>
    <col min="5" max="5" width="19.140625" style="42" customWidth="1"/>
    <col min="6" max="6" width="12.7109375" style="40" customWidth="1"/>
    <col min="7" max="7" width="37.28515625" style="40" bestFit="1" customWidth="1"/>
    <col min="8" max="8" width="26.140625" style="40" customWidth="1"/>
    <col min="9" max="9" width="37.28515625" style="40" customWidth="1"/>
    <col min="10" max="18" width="19.140625" style="40" customWidth="1"/>
    <col min="19" max="19" width="28.85546875" style="40" customWidth="1"/>
    <col min="20" max="23" width="19.140625" style="40" customWidth="1"/>
    <col min="24" max="24" width="18.7109375" style="40" customWidth="1"/>
    <col min="25" max="25" width="22.42578125" style="40" customWidth="1"/>
    <col min="26" max="26" width="19" style="40" customWidth="1"/>
    <col min="27" max="27" width="15.28515625" style="40" customWidth="1"/>
    <col min="28" max="28" width="18.140625" style="40" customWidth="1"/>
    <col min="29" max="29" width="18.42578125" style="40" customWidth="1"/>
    <col min="30" max="30" width="27.85546875" style="40" customWidth="1"/>
    <col min="31" max="31" width="10.7109375" style="40" customWidth="1"/>
    <col min="32" max="32" width="22.7109375" style="40" customWidth="1"/>
    <col min="33" max="33" width="15.7109375" style="40" customWidth="1"/>
    <col min="34" max="34" width="19.140625" style="40" customWidth="1"/>
    <col min="35" max="16384" width="9" style="40"/>
  </cols>
  <sheetData>
    <row r="1" spans="1:34" ht="22.5" customHeight="1">
      <c r="A1" s="52" t="s">
        <v>50</v>
      </c>
      <c r="B1" s="52"/>
      <c r="C1" s="52"/>
      <c r="D1" s="52"/>
      <c r="E1" s="52"/>
      <c r="F1" s="52"/>
    </row>
    <row r="2" spans="1:34" ht="22.5" customHeight="1">
      <c r="A2" s="52"/>
      <c r="B2" s="52"/>
      <c r="C2" s="52"/>
      <c r="D2" s="52"/>
      <c r="E2" s="52"/>
      <c r="F2" s="52"/>
    </row>
    <row r="3" spans="1:34" ht="22.5" customHeight="1">
      <c r="A3" s="51" t="s">
        <v>118</v>
      </c>
      <c r="B3" s="51"/>
      <c r="C3" s="51"/>
      <c r="D3" s="51"/>
      <c r="E3" s="37"/>
      <c r="F3" s="41"/>
    </row>
    <row r="4" spans="1:34" ht="22.5" customHeight="1">
      <c r="A4" s="38" t="s">
        <v>51</v>
      </c>
      <c r="B4" s="39" t="s">
        <v>52</v>
      </c>
      <c r="C4" s="39" t="s">
        <v>53</v>
      </c>
      <c r="D4" s="39" t="s">
        <v>54</v>
      </c>
      <c r="E4" s="39" t="s">
        <v>55</v>
      </c>
      <c r="F4" s="39" t="s">
        <v>56</v>
      </c>
      <c r="G4" s="39" t="s">
        <v>57</v>
      </c>
      <c r="H4" s="39" t="s">
        <v>71</v>
      </c>
      <c r="I4" s="39" t="s">
        <v>72</v>
      </c>
      <c r="J4" s="39" t="s">
        <v>73</v>
      </c>
      <c r="K4" s="39" t="s">
        <v>75</v>
      </c>
      <c r="L4" s="39" t="s">
        <v>74</v>
      </c>
      <c r="M4" s="39" t="s">
        <v>76</v>
      </c>
      <c r="N4" s="39" t="s">
        <v>77</v>
      </c>
      <c r="O4" s="39" t="s">
        <v>58</v>
      </c>
      <c r="P4" s="39" t="s">
        <v>59</v>
      </c>
      <c r="Q4" s="39" t="s">
        <v>60</v>
      </c>
      <c r="R4" s="39" t="s">
        <v>61</v>
      </c>
      <c r="S4" s="39" t="s">
        <v>62</v>
      </c>
      <c r="T4" s="39" t="s">
        <v>67</v>
      </c>
      <c r="U4" s="39" t="s">
        <v>78</v>
      </c>
      <c r="V4" s="39" t="s">
        <v>63</v>
      </c>
      <c r="W4" s="39" t="s">
        <v>64</v>
      </c>
      <c r="X4" s="39" t="s">
        <v>65</v>
      </c>
      <c r="Y4" s="39" t="s">
        <v>80</v>
      </c>
      <c r="Z4" s="39" t="s">
        <v>79</v>
      </c>
      <c r="AA4" s="39" t="s">
        <v>66</v>
      </c>
      <c r="AB4" s="39" t="s">
        <v>67</v>
      </c>
      <c r="AC4" s="39" t="s">
        <v>68</v>
      </c>
      <c r="AD4" s="39" t="s">
        <v>69</v>
      </c>
      <c r="AE4" s="39" t="s">
        <v>70</v>
      </c>
      <c r="AF4" s="39" t="s">
        <v>81</v>
      </c>
      <c r="AG4" s="39" t="s">
        <v>82</v>
      </c>
      <c r="AH4" s="39" t="s">
        <v>83</v>
      </c>
    </row>
    <row r="5" spans="1:34" ht="22.5" customHeight="1">
      <c r="A5" s="44" t="s">
        <v>84</v>
      </c>
      <c r="B5" s="45" t="s">
        <v>85</v>
      </c>
      <c r="C5" s="46" t="s">
        <v>86</v>
      </c>
      <c r="D5" s="47" t="s">
        <v>87</v>
      </c>
      <c r="E5" s="47" t="s">
        <v>88</v>
      </c>
      <c r="F5" s="47" t="s">
        <v>89</v>
      </c>
      <c r="G5" s="47" t="s">
        <v>90</v>
      </c>
      <c r="H5" s="47" t="s">
        <v>91</v>
      </c>
      <c r="I5" s="49" t="s">
        <v>92</v>
      </c>
      <c r="J5" s="49" t="s">
        <v>93</v>
      </c>
      <c r="K5" s="49" t="s">
        <v>94</v>
      </c>
      <c r="L5" s="49" t="s">
        <v>95</v>
      </c>
      <c r="M5" s="49" t="s">
        <v>96</v>
      </c>
      <c r="N5" s="47" t="s">
        <v>97</v>
      </c>
      <c r="O5" s="47" t="s">
        <v>98</v>
      </c>
      <c r="P5" s="50" t="s">
        <v>99</v>
      </c>
      <c r="Q5" s="49" t="s">
        <v>100</v>
      </c>
      <c r="R5" s="47" t="s">
        <v>101</v>
      </c>
      <c r="S5" s="47" t="s">
        <v>102</v>
      </c>
      <c r="T5" s="47" t="s">
        <v>103</v>
      </c>
      <c r="U5" s="47" t="s">
        <v>104</v>
      </c>
      <c r="V5" s="49" t="s">
        <v>105</v>
      </c>
      <c r="W5" s="49" t="s">
        <v>106</v>
      </c>
      <c r="X5" s="47" t="s">
        <v>107</v>
      </c>
      <c r="Y5" s="47" t="s">
        <v>108</v>
      </c>
      <c r="Z5" s="47" t="s">
        <v>109</v>
      </c>
      <c r="AA5" s="47" t="s">
        <v>110</v>
      </c>
      <c r="AB5" s="47" t="s">
        <v>111</v>
      </c>
      <c r="AC5" s="47" t="s">
        <v>112</v>
      </c>
      <c r="AD5" s="47" t="s">
        <v>113</v>
      </c>
      <c r="AE5" s="48" t="s">
        <v>114</v>
      </c>
      <c r="AF5" s="47" t="s">
        <v>115</v>
      </c>
      <c r="AG5" s="47" t="s">
        <v>116</v>
      </c>
      <c r="AH5" s="47" t="s">
        <v>117</v>
      </c>
    </row>
  </sheetData>
  <mergeCells count="2">
    <mergeCell ref="A3:D3"/>
    <mergeCell ref="A1:F2"/>
  </mergeCells>
  <printOptions horizontalCentered="1"/>
  <pageMargins left="0.56000000000000005" right="0.118110236220472" top="0.74803149606299202" bottom="0.35433070866141703" header="0.31496062992126" footer="0.31496062992126"/>
  <pageSetup paperSize="9" scale="2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59"/>
  <sheetViews>
    <sheetView workbookViewId="0">
      <pane ySplit="7" topLeftCell="A8" activePane="bottomLeft" state="frozen"/>
      <selection pane="bottomLeft" activeCell="A37" sqref="A37"/>
    </sheetView>
  </sheetViews>
  <sheetFormatPr defaultColWidth="9" defaultRowHeight="12.75"/>
  <cols>
    <col min="1" max="1" width="44.42578125" style="2" customWidth="1"/>
    <col min="2" max="2" width="17.7109375" style="2" customWidth="1"/>
    <col min="3" max="3" width="9.42578125" style="3" bestFit="1" customWidth="1"/>
    <col min="4" max="4" width="16.7109375" style="4" customWidth="1"/>
    <col min="5" max="5" width="9.7109375" style="3" customWidth="1"/>
    <col min="6" max="6" width="10.5703125" style="2" customWidth="1"/>
    <col min="7" max="16384" width="9" style="2"/>
  </cols>
  <sheetData>
    <row r="1" spans="1:6" ht="15.75">
      <c r="A1" s="1" t="s">
        <v>0</v>
      </c>
    </row>
    <row r="2" spans="1:6" ht="23.25" customHeight="1">
      <c r="A2" s="53" t="s">
        <v>1</v>
      </c>
      <c r="B2" s="53"/>
      <c r="C2" s="53"/>
      <c r="D2" s="53"/>
      <c r="E2" s="53"/>
      <c r="F2" s="53"/>
    </row>
    <row r="3" spans="1:6" ht="15.75" customHeight="1">
      <c r="A3" s="54" t="s">
        <v>2</v>
      </c>
      <c r="B3" s="54"/>
      <c r="C3" s="54"/>
      <c r="D3" s="54"/>
      <c r="E3" s="54"/>
      <c r="F3" s="54"/>
    </row>
    <row r="4" spans="1:6" ht="8.25" customHeight="1"/>
    <row r="5" spans="1:6" ht="15.75" customHeight="1">
      <c r="A5" s="1"/>
      <c r="B5" s="5"/>
      <c r="C5" s="6"/>
      <c r="D5" s="7"/>
      <c r="E5" s="8" t="s">
        <v>3</v>
      </c>
      <c r="F5" s="9">
        <v>20828</v>
      </c>
    </row>
    <row r="6" spans="1:6" ht="15.75" customHeight="1">
      <c r="A6" s="55" t="s">
        <v>4</v>
      </c>
      <c r="B6" s="57" t="s">
        <v>5</v>
      </c>
      <c r="C6" s="57"/>
      <c r="D6" s="58" t="s">
        <v>6</v>
      </c>
      <c r="E6" s="58"/>
      <c r="F6" s="59" t="s">
        <v>7</v>
      </c>
    </row>
    <row r="7" spans="1:6" ht="15.75" customHeight="1" thickBot="1">
      <c r="A7" s="56"/>
      <c r="B7" s="10" t="s">
        <v>8</v>
      </c>
      <c r="C7" s="11" t="s">
        <v>9</v>
      </c>
      <c r="D7" s="12" t="s">
        <v>8</v>
      </c>
      <c r="E7" s="11" t="s">
        <v>9</v>
      </c>
      <c r="F7" s="60"/>
    </row>
    <row r="8" spans="1:6" s="18" customFormat="1" ht="15.75" customHeight="1" thickTop="1">
      <c r="A8" s="13" t="s">
        <v>10</v>
      </c>
      <c r="B8" s="14">
        <f>+B9+B10-B11</f>
        <v>19261682137.612858</v>
      </c>
      <c r="C8" s="15">
        <f>+C9+C10-C11</f>
        <v>0.75849977187446416</v>
      </c>
      <c r="D8" s="16">
        <f>+D9+D10-D11</f>
        <v>924797.49076305248</v>
      </c>
      <c r="E8" s="15">
        <f>+E9+E10-E11</f>
        <v>0.75883124237819966</v>
      </c>
      <c r="F8" s="17"/>
    </row>
    <row r="9" spans="1:6" s="18" customFormat="1" ht="15.75" customHeight="1">
      <c r="A9" s="19" t="s">
        <v>11</v>
      </c>
      <c r="B9" s="20">
        <v>841243294.84878778</v>
      </c>
      <c r="C9" s="21">
        <f>+B9/$B$48</f>
        <v>3.3127057267118162E-2</v>
      </c>
      <c r="D9" s="22">
        <f>+B9/$F$5</f>
        <v>40390.017997349132</v>
      </c>
      <c r="E9" s="21">
        <f>+D9/$D$48</f>
        <v>3.3141534057707651E-2</v>
      </c>
      <c r="F9" s="17"/>
    </row>
    <row r="10" spans="1:6" s="18" customFormat="1" ht="15.75" customHeight="1">
      <c r="A10" s="23" t="s">
        <v>12</v>
      </c>
      <c r="B10" s="17">
        <v>19573043622.878788</v>
      </c>
      <c r="C10" s="21">
        <f>+B10/$B$48</f>
        <v>0.77076077866802617</v>
      </c>
      <c r="D10" s="22">
        <f>+B10/$F$5</f>
        <v>939746.6690454575</v>
      </c>
      <c r="E10" s="21">
        <f>+D10/$D$48</f>
        <v>0.77109760733039112</v>
      </c>
      <c r="F10" s="17"/>
    </row>
    <row r="11" spans="1:6" s="18" customFormat="1" ht="15.75" customHeight="1">
      <c r="A11" s="19" t="s">
        <v>13</v>
      </c>
      <c r="B11" s="17">
        <v>1152604780.1147187</v>
      </c>
      <c r="C11" s="21">
        <f>+B11/$B$48</f>
        <v>4.5388064060680154E-2</v>
      </c>
      <c r="D11" s="22">
        <f>+B11/$F$5</f>
        <v>55339.196279754113</v>
      </c>
      <c r="E11" s="21">
        <f>+D11/$D$48</f>
        <v>4.5407899009899173E-2</v>
      </c>
      <c r="F11" s="17"/>
    </row>
    <row r="12" spans="1:6" s="18" customFormat="1" ht="12" customHeight="1">
      <c r="A12" s="17"/>
      <c r="B12" s="17"/>
      <c r="C12" s="21"/>
      <c r="D12" s="24"/>
      <c r="E12" s="21"/>
      <c r="F12" s="17"/>
    </row>
    <row r="13" spans="1:6" s="18" customFormat="1" ht="15.75" customHeight="1">
      <c r="A13" s="25" t="s">
        <v>14</v>
      </c>
      <c r="B13" s="26">
        <f>SUM(B14:B18)</f>
        <v>2776213688</v>
      </c>
      <c r="C13" s="15">
        <f>SUM(C14:C18)</f>
        <v>0.10932365273076486</v>
      </c>
      <c r="D13" s="27">
        <f>SUM(D14:D18)</f>
        <v>133292.37987324756</v>
      </c>
      <c r="E13" s="15">
        <f>SUM(E14:E18)</f>
        <v>0.10937142804670374</v>
      </c>
      <c r="F13" s="17"/>
    </row>
    <row r="14" spans="1:6" s="18" customFormat="1" ht="15.75" customHeight="1">
      <c r="A14" s="28" t="s">
        <v>15</v>
      </c>
      <c r="B14" s="20">
        <v>2611748788</v>
      </c>
      <c r="C14" s="21">
        <f>+B14/$B$48</f>
        <v>0.10284724074140075</v>
      </c>
      <c r="D14" s="22">
        <f>+B14/$F$5</f>
        <v>125396.04321106203</v>
      </c>
      <c r="E14" s="21">
        <f>+D14/$D$48</f>
        <v>0.10289218581318647</v>
      </c>
      <c r="F14" s="17"/>
    </row>
    <row r="15" spans="1:6" s="18" customFormat="1" ht="15.75" customHeight="1">
      <c r="A15" s="28" t="s">
        <v>16</v>
      </c>
      <c r="B15" s="20">
        <v>132219200</v>
      </c>
      <c r="C15" s="21">
        <f>+B15/$B$48</f>
        <v>5.2066186286808432E-3</v>
      </c>
      <c r="D15" s="22">
        <f>+B15/$F$5</f>
        <v>6348.1467255617436</v>
      </c>
      <c r="E15" s="21">
        <f>+D15/$D$48</f>
        <v>5.2088939629177169E-3</v>
      </c>
      <c r="F15" s="17"/>
    </row>
    <row r="16" spans="1:6" s="18" customFormat="1" ht="15.75" customHeight="1">
      <c r="A16" s="28" t="s">
        <v>17</v>
      </c>
      <c r="B16" s="20">
        <v>23332800</v>
      </c>
      <c r="C16" s="21">
        <f>+B16/B$48</f>
        <v>9.1881505212014882E-4</v>
      </c>
      <c r="D16" s="22">
        <f>+B16/$F$5</f>
        <v>1120.2611868638371</v>
      </c>
      <c r="E16" s="21">
        <f>+D16/$D$48</f>
        <v>9.192165816913619E-4</v>
      </c>
      <c r="F16" s="17"/>
    </row>
    <row r="17" spans="1:6" s="18" customFormat="1" ht="15.75" customHeight="1">
      <c r="A17" s="28" t="s">
        <v>18</v>
      </c>
      <c r="B17" s="20">
        <v>7777600</v>
      </c>
      <c r="C17" s="21">
        <f>+B17/B$48</f>
        <v>3.0627168404004964E-4</v>
      </c>
      <c r="D17" s="22">
        <f>+B17/$F$5</f>
        <v>373.42039562127906</v>
      </c>
      <c r="E17" s="21">
        <f>+D17/$D$48</f>
        <v>3.0640552723045395E-4</v>
      </c>
      <c r="F17" s="17"/>
    </row>
    <row r="18" spans="1:6" s="18" customFormat="1" ht="15.75" customHeight="1">
      <c r="A18" s="28" t="s">
        <v>19</v>
      </c>
      <c r="B18" s="20">
        <v>1135300</v>
      </c>
      <c r="C18" s="21">
        <f>+B18/B$48</f>
        <v>4.4706624523075028E-5</v>
      </c>
      <c r="D18" s="22">
        <f>+B18/$F$5</f>
        <v>54.508354138659499</v>
      </c>
      <c r="E18" s="21">
        <f>+D18/$D$48</f>
        <v>4.4726161677732771E-5</v>
      </c>
      <c r="F18" s="17"/>
    </row>
    <row r="19" spans="1:6" s="18" customFormat="1" ht="10.5" customHeight="1">
      <c r="A19" s="17"/>
      <c r="B19" s="17"/>
      <c r="C19" s="21"/>
      <c r="D19" s="24"/>
      <c r="E19" s="21"/>
      <c r="F19" s="17"/>
    </row>
    <row r="20" spans="1:6" s="18" customFormat="1" ht="15.75" customHeight="1">
      <c r="A20" s="25" t="s">
        <v>20</v>
      </c>
      <c r="B20" s="26">
        <f>B21+B27+B30+B33+B34+B42</f>
        <v>2432257338</v>
      </c>
      <c r="C20" s="15">
        <f>C21+C27+C30+C33+C34+C42</f>
        <v>9.5342285773288224E-2</v>
      </c>
      <c r="D20" s="27">
        <f>D21+D27+D30+D33+D34+D42</f>
        <v>116245.66007297867</v>
      </c>
      <c r="E20" s="15">
        <f>E21+E27+E30+E33+E34+E42</f>
        <v>9.5383951119362709E-2</v>
      </c>
      <c r="F20" s="17"/>
    </row>
    <row r="21" spans="1:6" s="18" customFormat="1" ht="15.75" customHeight="1">
      <c r="A21" s="25" t="s">
        <v>21</v>
      </c>
      <c r="B21" s="29">
        <f>+B22+B23+B24+B25+B26</f>
        <v>1406981410</v>
      </c>
      <c r="C21" s="15">
        <f>C22+C23+C24+C25+C26</f>
        <v>5.5405082011641571E-2</v>
      </c>
      <c r="D21" s="30">
        <f>D22+D23+D24+D25+D26</f>
        <v>67552.40109468023</v>
      </c>
      <c r="E21" s="15">
        <f>E22+E23+E24+E25+E26</f>
        <v>5.5429294478309181E-2</v>
      </c>
      <c r="F21" s="17"/>
    </row>
    <row r="22" spans="1:6" s="18" customFormat="1" ht="15.75" customHeight="1">
      <c r="A22" s="28" t="s">
        <v>22</v>
      </c>
      <c r="B22" s="31">
        <v>1331858510</v>
      </c>
      <c r="C22" s="21">
        <f>+B22/$B$48</f>
        <v>5.2446840768459582E-2</v>
      </c>
      <c r="D22" s="22">
        <f>+B22/$F$5</f>
        <v>63945.578548108315</v>
      </c>
      <c r="E22" s="21">
        <f>+D22/$D$48</f>
        <v>5.2469760459899817E-2</v>
      </c>
      <c r="F22" s="17"/>
    </row>
    <row r="23" spans="1:6" s="18" customFormat="1" ht="15.75" customHeight="1">
      <c r="A23" s="28" t="s">
        <v>23</v>
      </c>
      <c r="B23" s="31">
        <v>43224200</v>
      </c>
      <c r="C23" s="21">
        <f>+B23/$B$48</f>
        <v>1.7021122872459258E-3</v>
      </c>
      <c r="D23" s="22">
        <f>+B23/$F$5</f>
        <v>2075.292874975994</v>
      </c>
      <c r="E23" s="21">
        <f>+D23/$D$48</f>
        <v>1.7028561240118531E-3</v>
      </c>
      <c r="F23" s="17"/>
    </row>
    <row r="24" spans="1:6" s="18" customFormat="1" ht="15.75" customHeight="1">
      <c r="A24" s="28" t="s">
        <v>24</v>
      </c>
      <c r="B24" s="31">
        <v>7627800</v>
      </c>
      <c r="C24" s="21">
        <f>+B24/$B$48</f>
        <v>3.0037275657281045E-4</v>
      </c>
      <c r="D24" s="22">
        <f>+B24/$F$5</f>
        <v>366.22815440752834</v>
      </c>
      <c r="E24" s="21">
        <f>+D24/$D$48</f>
        <v>3.0050402188444466E-4</v>
      </c>
      <c r="F24" s="17"/>
    </row>
    <row r="25" spans="1:6" s="18" customFormat="1" ht="15.75" customHeight="1">
      <c r="A25" s="28" t="s">
        <v>25</v>
      </c>
      <c r="B25" s="31">
        <v>2542600</v>
      </c>
      <c r="C25" s="21">
        <f>+B25/$B$48</f>
        <v>1.0012425219093681E-4</v>
      </c>
      <c r="D25" s="22">
        <f>+B25/$F$5</f>
        <v>122.07605146917611</v>
      </c>
      <c r="E25" s="21">
        <f>+D25/$D$48</f>
        <v>1.0016800729481488E-4</v>
      </c>
      <c r="F25" s="17"/>
    </row>
    <row r="26" spans="1:6" s="18" customFormat="1" ht="15.75" customHeight="1">
      <c r="A26" s="28" t="s">
        <v>26</v>
      </c>
      <c r="B26" s="31">
        <v>21728300</v>
      </c>
      <c r="C26" s="21">
        <f>+B26/$B$48</f>
        <v>8.5563194717231663E-4</v>
      </c>
      <c r="D26" s="22">
        <f>+B26/$F$5</f>
        <v>1043.2254657192241</v>
      </c>
      <c r="E26" s="21">
        <f>+D26/$D$48</f>
        <v>8.560058652182515E-4</v>
      </c>
      <c r="F26" s="17"/>
    </row>
    <row r="27" spans="1:6" s="18" customFormat="1" ht="15.75" customHeight="1">
      <c r="A27" s="25" t="s">
        <v>27</v>
      </c>
      <c r="B27" s="29">
        <f>SUM(B28:B29)</f>
        <v>0</v>
      </c>
      <c r="C27" s="15">
        <f>SUM(C28:C29)</f>
        <v>0</v>
      </c>
      <c r="D27" s="30">
        <f>SUM(D28:D29)</f>
        <v>0</v>
      </c>
      <c r="E27" s="15">
        <f>SUM(E28:E29)</f>
        <v>0</v>
      </c>
      <c r="F27" s="17"/>
    </row>
    <row r="28" spans="1:6" s="18" customFormat="1" ht="15.75" customHeight="1">
      <c r="A28" s="28" t="s">
        <v>28</v>
      </c>
      <c r="B28" s="20">
        <v>0</v>
      </c>
      <c r="C28" s="21">
        <f>+B28/$B$48</f>
        <v>0</v>
      </c>
      <c r="D28" s="22">
        <f>+B28/$F$5</f>
        <v>0</v>
      </c>
      <c r="E28" s="21">
        <f>+D28/$D$48</f>
        <v>0</v>
      </c>
      <c r="F28" s="17"/>
    </row>
    <row r="29" spans="1:6" s="18" customFormat="1" ht="15.75" customHeight="1">
      <c r="A29" s="28" t="s">
        <v>29</v>
      </c>
      <c r="B29" s="20">
        <v>0</v>
      </c>
      <c r="C29" s="21">
        <f>+B29/$B$48</f>
        <v>0</v>
      </c>
      <c r="D29" s="22">
        <f>+B29/$F$5</f>
        <v>0</v>
      </c>
      <c r="E29" s="21">
        <f>+D29/$D$48</f>
        <v>0</v>
      </c>
      <c r="F29" s="17"/>
    </row>
    <row r="30" spans="1:6" s="18" customFormat="1" ht="15.75" customHeight="1">
      <c r="A30" s="25" t="s">
        <v>30</v>
      </c>
      <c r="B30" s="29">
        <f>SUM(B31:B32)</f>
        <v>389108709</v>
      </c>
      <c r="C30" s="15">
        <f>SUM(C31:C32)</f>
        <v>1.5322590462363662E-2</v>
      </c>
      <c r="D30" s="30">
        <f>SUM(D31:D32)</f>
        <v>18682.000624159788</v>
      </c>
      <c r="E30" s="15">
        <f>SUM(E31:E32)</f>
        <v>1.5329286557692128E-2</v>
      </c>
      <c r="F30" s="17"/>
    </row>
    <row r="31" spans="1:6" s="18" customFormat="1" ht="15.75" customHeight="1">
      <c r="A31" s="28" t="s">
        <v>31</v>
      </c>
      <c r="B31" s="20">
        <v>100068539</v>
      </c>
      <c r="C31" s="21">
        <f>+B31/$B$48</f>
        <v>3.9405677791294726E-3</v>
      </c>
      <c r="D31" s="22">
        <f>+B31/$F$5</f>
        <v>4804.5198290762437</v>
      </c>
      <c r="E31" s="21">
        <f>+D31/$D$48</f>
        <v>3.9422898389575509E-3</v>
      </c>
      <c r="F31" s="17"/>
    </row>
    <row r="32" spans="1:6" s="18" customFormat="1" ht="15.75" customHeight="1">
      <c r="A32" s="28" t="s">
        <v>32</v>
      </c>
      <c r="B32" s="20">
        <v>289040170</v>
      </c>
      <c r="C32" s="21">
        <f>+B32/$B$48</f>
        <v>1.138202268323419E-2</v>
      </c>
      <c r="D32" s="22">
        <f>+B32/$F$5</f>
        <v>13877.480795083542</v>
      </c>
      <c r="E32" s="21">
        <f>+D32/$D$48</f>
        <v>1.1386996718734577E-2</v>
      </c>
      <c r="F32" s="17"/>
    </row>
    <row r="33" spans="1:6" s="18" customFormat="1" ht="15.75" customHeight="1">
      <c r="A33" s="25" t="s">
        <v>33</v>
      </c>
      <c r="B33" s="29">
        <v>126027254</v>
      </c>
      <c r="C33" s="15">
        <f>+B33/B48</f>
        <v>4.9627879188339696E-3</v>
      </c>
      <c r="D33" s="30">
        <f>+B33/$F$5</f>
        <v>6050.8572114461303</v>
      </c>
      <c r="E33" s="15">
        <f>+D33/D48</f>
        <v>4.964956697088606E-3</v>
      </c>
      <c r="F33" s="17"/>
    </row>
    <row r="34" spans="1:6" s="18" customFormat="1" ht="15.75" customHeight="1">
      <c r="A34" s="25" t="s">
        <v>34</v>
      </c>
      <c r="B34" s="29">
        <f>SUM(B35:B41)</f>
        <v>456506949</v>
      </c>
      <c r="C34" s="15">
        <f>SUM(C35:C39)</f>
        <v>1.753982757515345E-2</v>
      </c>
      <c r="D34" s="30">
        <f>SUM(D35:D39)</f>
        <v>21385.35716343384</v>
      </c>
      <c r="E34" s="15">
        <f>SUM(E35:E39)</f>
        <v>1.7547492620941664E-2</v>
      </c>
      <c r="F34" s="17"/>
    </row>
    <row r="35" spans="1:6" s="18" customFormat="1" ht="15.75" customHeight="1">
      <c r="A35" s="28" t="s">
        <v>35</v>
      </c>
      <c r="B35" s="20">
        <v>9388500</v>
      </c>
      <c r="C35" s="21">
        <f t="shared" ref="C35:C42" si="0">+B35/$B$48</f>
        <v>3.6970681259128856E-4</v>
      </c>
      <c r="D35" s="22">
        <f>+B35/$F$5</f>
        <v>450.76339542922989</v>
      </c>
      <c r="E35" s="21">
        <f t="shared" ref="E35:E42" si="1">+D35/$D$48</f>
        <v>3.6986837744331378E-4</v>
      </c>
      <c r="F35" s="17"/>
    </row>
    <row r="36" spans="1:6" s="18" customFormat="1" ht="15.75" customHeight="1">
      <c r="A36" s="28" t="s">
        <v>36</v>
      </c>
      <c r="B36" s="20">
        <v>29945334</v>
      </c>
      <c r="C36" s="21">
        <f t="shared" si="0"/>
        <v>1.1792079656091539E-3</v>
      </c>
      <c r="D36" s="22">
        <f>+B36/$F$5</f>
        <v>1437.7440944881889</v>
      </c>
      <c r="E36" s="21">
        <f t="shared" si="1"/>
        <v>1.1797232889788672E-3</v>
      </c>
      <c r="F36" s="17"/>
    </row>
    <row r="37" spans="1:6" s="18" customFormat="1" ht="15.75" customHeight="1">
      <c r="A37" s="32" t="s">
        <v>37</v>
      </c>
      <c r="B37" s="20">
        <v>254758525</v>
      </c>
      <c r="C37" s="21">
        <f t="shared" si="0"/>
        <v>1.0032056479544986E-2</v>
      </c>
      <c r="D37" s="22">
        <f>+B37/$F$5</f>
        <v>12231.540474361436</v>
      </c>
      <c r="E37" s="21">
        <f t="shared" si="1"/>
        <v>1.0036440568951577E-2</v>
      </c>
      <c r="F37" s="17"/>
    </row>
    <row r="38" spans="1:6" s="18" customFormat="1" ht="15.75" customHeight="1">
      <c r="A38" s="28" t="s">
        <v>38</v>
      </c>
      <c r="B38" s="20">
        <v>149444133</v>
      </c>
      <c r="C38" s="21">
        <f t="shared" si="0"/>
        <v>5.8849138916651864E-3</v>
      </c>
      <c r="D38" s="22">
        <f>+B38/$F$5</f>
        <v>7175.1552237372771</v>
      </c>
      <c r="E38" s="21">
        <f t="shared" si="1"/>
        <v>5.8874856463900288E-3</v>
      </c>
      <c r="F38" s="17"/>
    </row>
    <row r="39" spans="1:6" s="18" customFormat="1" ht="15.75" customHeight="1">
      <c r="A39" s="28" t="s">
        <v>39</v>
      </c>
      <c r="B39" s="20">
        <v>1877727</v>
      </c>
      <c r="C39" s="21">
        <f t="shared" si="0"/>
        <v>7.3942425742834587E-5</v>
      </c>
      <c r="D39" s="22">
        <f>+B39/$F$5</f>
        <v>90.153975417706931</v>
      </c>
      <c r="E39" s="21">
        <f t="shared" si="1"/>
        <v>7.397473917787732E-5</v>
      </c>
      <c r="F39" s="17"/>
    </row>
    <row r="40" spans="1:6" s="18" customFormat="1" ht="15.75" customHeight="1">
      <c r="A40" s="28" t="s">
        <v>40</v>
      </c>
      <c r="B40" s="20">
        <v>8820000</v>
      </c>
      <c r="C40" s="21"/>
      <c r="D40" s="22"/>
      <c r="E40" s="21"/>
      <c r="F40" s="17"/>
    </row>
    <row r="41" spans="1:6" s="18" customFormat="1" ht="15.75" customHeight="1">
      <c r="A41" s="28" t="s">
        <v>41</v>
      </c>
      <c r="B41" s="20">
        <v>2272730</v>
      </c>
      <c r="C41" s="21"/>
      <c r="D41" s="22"/>
      <c r="E41" s="21"/>
      <c r="F41" s="17"/>
    </row>
    <row r="42" spans="1:6" s="18" customFormat="1" ht="15.75" customHeight="1">
      <c r="A42" s="25" t="s">
        <v>42</v>
      </c>
      <c r="B42" s="29">
        <v>53633016</v>
      </c>
      <c r="C42" s="15">
        <f t="shared" si="0"/>
        <v>2.1119978052955828E-3</v>
      </c>
      <c r="D42" s="30">
        <f>+B42/$F$5</f>
        <v>2575.0439792586903</v>
      </c>
      <c r="E42" s="15">
        <f t="shared" si="1"/>
        <v>2.1129207653311269E-3</v>
      </c>
      <c r="F42" s="17"/>
    </row>
    <row r="43" spans="1:6" s="18" customFormat="1" ht="12" customHeight="1">
      <c r="A43" s="17"/>
      <c r="B43" s="17"/>
      <c r="C43" s="21"/>
      <c r="D43" s="24"/>
      <c r="E43" s="21"/>
      <c r="F43" s="17"/>
    </row>
    <row r="44" spans="1:6" s="18" customFormat="1" ht="15.75" customHeight="1">
      <c r="A44" s="13" t="s">
        <v>43</v>
      </c>
      <c r="B44" s="26">
        <f>B8+B13+B20</f>
        <v>24470153163.612858</v>
      </c>
      <c r="C44" s="15">
        <f>C8+C13+C20</f>
        <v>0.96316571037851717</v>
      </c>
      <c r="D44" s="27">
        <f>D8+D13+D20</f>
        <v>1174335.5307092785</v>
      </c>
      <c r="E44" s="15">
        <f>E8+E13+E20</f>
        <v>0.96358662154426611</v>
      </c>
      <c r="F44" s="17"/>
    </row>
    <row r="45" spans="1:6" s="18" customFormat="1" ht="11.25" customHeight="1">
      <c r="A45" s="17"/>
      <c r="B45" s="17"/>
      <c r="C45" s="21"/>
      <c r="D45" s="24"/>
      <c r="E45" s="21"/>
      <c r="F45" s="17"/>
    </row>
    <row r="46" spans="1:6" s="18" customFormat="1" ht="15">
      <c r="A46" s="13" t="s">
        <v>44</v>
      </c>
      <c r="B46" s="26">
        <v>924293679.80790579</v>
      </c>
      <c r="C46" s="15">
        <f>+B46/B48</f>
        <v>3.6397472467386047E-2</v>
      </c>
      <c r="D46" s="27">
        <f>+B46/$F$5</f>
        <v>44377.457259837996</v>
      </c>
      <c r="E46" s="15">
        <f>+D46/D48</f>
        <v>3.6413378455734127E-2</v>
      </c>
      <c r="F46" s="17"/>
    </row>
    <row r="47" spans="1:6" s="18" customFormat="1" ht="9.75" customHeight="1">
      <c r="A47" s="19"/>
      <c r="B47" s="17"/>
      <c r="C47" s="21"/>
      <c r="D47" s="24"/>
      <c r="E47" s="21"/>
      <c r="F47" s="17"/>
    </row>
    <row r="48" spans="1:6" s="18" customFormat="1" ht="15">
      <c r="A48" s="13" t="s">
        <v>45</v>
      </c>
      <c r="B48" s="26">
        <f>+B44+B46</f>
        <v>25394446843.420765</v>
      </c>
      <c r="C48" s="15">
        <f>+C44+C46</f>
        <v>0.99956318284590318</v>
      </c>
      <c r="D48" s="27">
        <f>+D44+D46</f>
        <v>1218712.9879691165</v>
      </c>
      <c r="E48" s="15">
        <f>+E44+E46</f>
        <v>1.0000000000000002</v>
      </c>
      <c r="F48" s="17"/>
    </row>
    <row r="49" spans="1:6" s="18" customFormat="1" ht="9" customHeight="1">
      <c r="A49" s="17"/>
      <c r="B49" s="17"/>
      <c r="C49" s="21"/>
      <c r="D49" s="24"/>
      <c r="E49" s="21"/>
      <c r="F49" s="17"/>
    </row>
    <row r="50" spans="1:6" s="18" customFormat="1" ht="15">
      <c r="A50" s="13" t="s">
        <v>46</v>
      </c>
      <c r="B50" s="26">
        <v>0</v>
      </c>
      <c r="C50" s="15">
        <f>+B50/(B50+B58)</f>
        <v>0</v>
      </c>
      <c r="D50" s="27">
        <f>+B50/$F$5</f>
        <v>0</v>
      </c>
      <c r="E50" s="15">
        <f>+D50/(D50+D58)</f>
        <v>0</v>
      </c>
      <c r="F50" s="17"/>
    </row>
    <row r="51" spans="1:6" s="18" customFormat="1" ht="9.75" customHeight="1">
      <c r="A51" s="19"/>
      <c r="B51" s="17"/>
      <c r="C51" s="21"/>
      <c r="D51" s="24"/>
      <c r="E51" s="21"/>
      <c r="F51" s="17"/>
    </row>
    <row r="52" spans="1:6" s="18" customFormat="1" ht="15">
      <c r="A52" s="13" t="s">
        <v>47</v>
      </c>
      <c r="B52" s="26">
        <v>0</v>
      </c>
      <c r="C52" s="15">
        <f>+B52/$B$48</f>
        <v>0</v>
      </c>
      <c r="D52" s="30">
        <f>+B52/$F$5</f>
        <v>0</v>
      </c>
      <c r="E52" s="15">
        <f>+D52/$D$48</f>
        <v>0</v>
      </c>
      <c r="F52" s="17"/>
    </row>
    <row r="53" spans="1:6" s="18" customFormat="1" ht="15">
      <c r="A53" s="13"/>
      <c r="B53" s="26"/>
      <c r="C53" s="15"/>
      <c r="D53" s="27"/>
      <c r="E53" s="15"/>
      <c r="F53" s="17"/>
    </row>
    <row r="54" spans="1:6" s="18" customFormat="1" ht="9" customHeight="1">
      <c r="A54" s="19"/>
      <c r="B54" s="17"/>
      <c r="C54" s="15"/>
      <c r="D54" s="24"/>
      <c r="E54" s="15"/>
      <c r="F54" s="17"/>
    </row>
    <row r="55" spans="1:6" s="18" customFormat="1" ht="15">
      <c r="A55" s="33" t="s">
        <v>48</v>
      </c>
      <c r="B55" s="26">
        <v>0</v>
      </c>
      <c r="C55" s="15">
        <f>+B55/$B$48</f>
        <v>0</v>
      </c>
      <c r="D55" s="30">
        <f>+B55/$F$5</f>
        <v>0</v>
      </c>
      <c r="E55" s="15">
        <f>+D55/$D$48</f>
        <v>0</v>
      </c>
      <c r="F55" s="17"/>
    </row>
    <row r="56" spans="1:6" s="18" customFormat="1" ht="9" customHeight="1">
      <c r="A56" s="19"/>
      <c r="B56" s="17"/>
      <c r="C56" s="15"/>
      <c r="D56" s="24"/>
      <c r="E56" s="15"/>
      <c r="F56" s="17"/>
    </row>
    <row r="57" spans="1:6" s="18" customFormat="1" ht="7.5" customHeight="1">
      <c r="A57" s="17"/>
      <c r="B57" s="17"/>
      <c r="C57" s="15"/>
      <c r="D57" s="24"/>
      <c r="E57" s="15"/>
      <c r="F57" s="17"/>
    </row>
    <row r="58" spans="1:6" s="18" customFormat="1" ht="15">
      <c r="A58" s="13" t="s">
        <v>49</v>
      </c>
      <c r="B58" s="26">
        <f>+B48-B50+B52-B55</f>
        <v>25394446843.420765</v>
      </c>
      <c r="C58" s="15">
        <f>+B58/$B$48</f>
        <v>1</v>
      </c>
      <c r="D58" s="30">
        <f>+B58/$F$5</f>
        <v>1219245.5753514867</v>
      </c>
      <c r="E58" s="15">
        <f>+D58/$D$48</f>
        <v>1.000437008046708</v>
      </c>
      <c r="F58" s="17"/>
    </row>
    <row r="59" spans="1:6" s="18" customFormat="1" ht="9" customHeight="1">
      <c r="A59" s="34"/>
      <c r="B59" s="34"/>
      <c r="C59" s="35"/>
      <c r="D59" s="36"/>
      <c r="E59" s="35"/>
      <c r="F59" s="34"/>
    </row>
  </sheetData>
  <mergeCells count="6">
    <mergeCell ref="A2:F2"/>
    <mergeCell ref="A3:F3"/>
    <mergeCell ref="A6:A7"/>
    <mergeCell ref="B6:C6"/>
    <mergeCell ref="D6:E6"/>
    <mergeCell ref="F6:F7"/>
  </mergeCells>
  <printOptions horizontalCentered="1"/>
  <pageMargins left="0.56000000000000005" right="0.11811023622047245" top="0.74803149606299213" bottom="0.35433070866141736" header="0.31496062992125984" footer="0.31496062992125984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AAP-AP Checking</vt:lpstr>
      <vt:lpstr>MC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Linh</dc:creator>
  <cp:lastModifiedBy>Thảo Uyên Đỗ</cp:lastModifiedBy>
  <cp:lastPrinted>2019-08-30T03:45:35Z</cp:lastPrinted>
  <dcterms:created xsi:type="dcterms:W3CDTF">2013-12-12T08:49:25Z</dcterms:created>
  <dcterms:modified xsi:type="dcterms:W3CDTF">2021-12-22T10:23:40Z</dcterms:modified>
</cp:coreProperties>
</file>