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Sheet1" sheetId="1" r:id="rId1"/>
  </sheets>
  <definedNames>
    <definedName name="_xlnm._FilterDatabase" localSheetId="0" hidden="1">Sheet1!$A$1:$W$15</definedName>
  </definedNames>
  <calcPr calcId="144525"/>
</workbook>
</file>

<file path=xl/calcChain.xml><?xml version="1.0" encoding="utf-8"?>
<calcChain xmlns="http://schemas.openxmlformats.org/spreadsheetml/2006/main">
  <c r="P15" i="1" l="1"/>
  <c r="P14" i="1"/>
  <c r="P13" i="1"/>
  <c r="P12" i="1"/>
  <c r="L15" i="1" l="1"/>
  <c r="L14" i="1"/>
  <c r="L13" i="1"/>
  <c r="L12" i="1"/>
</calcChain>
</file>

<file path=xl/comments1.xml><?xml version="1.0" encoding="utf-8"?>
<comments xmlns="http://schemas.openxmlformats.org/spreadsheetml/2006/main">
  <authors>
    <author>thanhphuoc</author>
  </authors>
  <commentList>
    <comment ref="B10" authorId="0">
      <text>
        <r>
          <rPr>
            <b/>
            <sz val="8"/>
            <color indexed="81"/>
            <rFont val="Tahoma"/>
            <family val="2"/>
          </rPr>
          <t>Note: ETA Phan Thiet</t>
        </r>
      </text>
    </comment>
  </commentList>
</comments>
</file>

<file path=xl/sharedStrings.xml><?xml version="1.0" encoding="utf-8"?>
<sst xmlns="http://schemas.openxmlformats.org/spreadsheetml/2006/main" count="66" uniqueCount="47">
  <si>
    <t xml:space="preserve">BÊN BÁN: </t>
  </si>
  <si>
    <t xml:space="preserve">Địa chỉ: </t>
  </si>
  <si>
    <t>Điện thoại :</t>
  </si>
  <si>
    <t xml:space="preserve">BÊN MUA: </t>
  </si>
  <si>
    <t xml:space="preserve">MST: </t>
  </si>
  <si>
    <t>ETD</t>
  </si>
  <si>
    <t>ETA</t>
  </si>
  <si>
    <t>RECEIVED DATE</t>
  </si>
  <si>
    <t>SUPPLIER'S 
CODE</t>
  </si>
  <si>
    <t>SUPPLIER' S NAME</t>
  </si>
  <si>
    <t>TRUCK NO</t>
  </si>
  <si>
    <t>QUANTITY</t>
  </si>
  <si>
    <t>Handing Price (By CBM)</t>
  </si>
  <si>
    <t>Transportation Unit Cost</t>
  </si>
  <si>
    <t>Transportation Cost</t>
  </si>
  <si>
    <t>Total Transportation</t>
  </si>
  <si>
    <t>NO.INV</t>
  </si>
  <si>
    <t>VALUE OF INV 
(INCLUDING VAT)</t>
  </si>
  <si>
    <t>PO</t>
  </si>
  <si>
    <t>UNIT</t>
  </si>
  <si>
    <t>Q'TY</t>
  </si>
  <si>
    <t>WEIGHT (KG)</t>
  </si>
  <si>
    <t>CBM</t>
  </si>
  <si>
    <t>CBM QUY ĐỔI</t>
  </si>
  <si>
    <t>Chargge CBM</t>
  </si>
  <si>
    <t>02.11.2023</t>
  </si>
  <si>
    <t>06.11.2023</t>
  </si>
  <si>
    <t>BA DINH</t>
  </si>
  <si>
    <t>BD005576</t>
  </si>
  <si>
    <t>CS PHUONG LINH</t>
  </si>
  <si>
    <t>89C-19595</t>
  </si>
  <si>
    <t>CASE</t>
  </si>
  <si>
    <t>231030-01008-00069</t>
  </si>
  <si>
    <t>BD006200</t>
  </si>
  <si>
    <t>CTY CP ARCHCAFE</t>
  </si>
  <si>
    <t>231030-01008-00137</t>
  </si>
  <si>
    <t>BD006061</t>
  </si>
  <si>
    <t>CTY CP BOT TP TAI KY</t>
  </si>
  <si>
    <t>231030-01008-00106</t>
  </si>
  <si>
    <t>BD006066</t>
  </si>
  <si>
    <t>CTY CP CB THS LIEN THANH</t>
  </si>
  <si>
    <t>231030-01008-00109</t>
  </si>
  <si>
    <t>02/11/2023</t>
  </si>
  <si>
    <t>TRUCK TYPE</t>
  </si>
  <si>
    <t>QTY</t>
  </si>
  <si>
    <t>COMBINE W…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</si>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</sst>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/d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name val="VNI-Times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</cellStyleXfs>
  <cellXfs count="75">
    <xf numFmtId="0" fontId="0" fillId="0" borderId="0" xfId="0"/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164" fontId="1" fillId="0" borderId="0" xfId="1" applyNumberFormat="1" applyFont="1"/>
    <xf numFmtId="43" fontId="1" fillId="0" borderId="0" xfId="1" applyFont="1"/>
    <xf numFmtId="164" fontId="5" fillId="0" borderId="0" xfId="1" applyNumberFormat="1" applyFont="1"/>
    <xf numFmtId="43" fontId="5" fillId="0" borderId="0" xfId="1" applyFont="1"/>
    <xf numFmtId="0" fontId="5" fillId="0" borderId="0" xfId="0" applyFont="1"/>
    <xf numFmtId="49" fontId="4" fillId="0" borderId="0" xfId="2" applyNumberFormat="1" applyFont="1" applyAlignment="1">
      <alignment horizontal="center" vertical="center"/>
    </xf>
    <xf numFmtId="164" fontId="5" fillId="0" borderId="0" xfId="1" applyNumberFormat="1" applyFont="1" applyBorder="1" applyAlignment="1">
      <alignment horizontal="center"/>
    </xf>
    <xf numFmtId="164" fontId="4" fillId="0" borderId="0" xfId="1" applyNumberFormat="1" applyFont="1" applyBorder="1" applyAlignment="1">
      <alignment vertical="center"/>
    </xf>
    <xf numFmtId="164" fontId="4" fillId="0" borderId="0" xfId="1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4" fillId="0" borderId="0" xfId="3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0" fontId="4" fillId="0" borderId="0" xfId="3" applyFont="1" applyAlignment="1">
      <alignment vertical="center" wrapText="1"/>
    </xf>
    <xf numFmtId="14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5" fillId="0" borderId="0" xfId="3" applyFont="1" applyAlignment="1">
      <alignment vertical="center"/>
    </xf>
    <xf numFmtId="0" fontId="4" fillId="0" borderId="0" xfId="2" quotePrefix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5" fillId="0" borderId="0" xfId="1" applyNumberFormat="1" applyFont="1" applyAlignment="1">
      <alignment horizontal="right" vertical="center"/>
    </xf>
    <xf numFmtId="43" fontId="5" fillId="0" borderId="0" xfId="1" applyFont="1" applyAlignment="1">
      <alignment horizontal="right" vertical="center"/>
    </xf>
    <xf numFmtId="43" fontId="5" fillId="0" borderId="0" xfId="1" applyFont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left" vertical="center"/>
    </xf>
    <xf numFmtId="0" fontId="4" fillId="0" borderId="1" xfId="4" applyFont="1" applyBorder="1" applyAlignment="1">
      <alignment horizontal="center" vertical="center" wrapText="1" shrinkToFit="1"/>
    </xf>
    <xf numFmtId="164" fontId="4" fillId="0" borderId="2" xfId="1" applyNumberFormat="1" applyFont="1" applyFill="1" applyBorder="1" applyAlignment="1">
      <alignment horizontal="center" vertical="center" wrapText="1"/>
    </xf>
    <xf numFmtId="0" fontId="4" fillId="0" borderId="3" xfId="4" applyFont="1" applyBorder="1" applyAlignment="1">
      <alignment horizontal="center" vertical="center" wrapText="1" shrinkToFit="1"/>
    </xf>
    <xf numFmtId="43" fontId="4" fillId="0" borderId="2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2" borderId="2" xfId="0" applyFill="1" applyBorder="1"/>
    <xf numFmtId="164" fontId="1" fillId="0" borderId="2" xfId="1" applyNumberFormat="1" applyFont="1" applyBorder="1" applyAlignment="1">
      <alignment horizontal="center"/>
    </xf>
    <xf numFmtId="164" fontId="1" fillId="0" borderId="2" xfId="1" applyNumberFormat="1" applyFont="1" applyBorder="1"/>
    <xf numFmtId="43" fontId="1" fillId="0" borderId="2" xfId="1" applyFont="1" applyBorder="1"/>
    <xf numFmtId="164" fontId="1" fillId="2" borderId="2" xfId="1" applyNumberFormat="1" applyFont="1" applyFill="1" applyBorder="1"/>
    <xf numFmtId="164" fontId="1" fillId="3" borderId="2" xfId="1" applyNumberFormat="1" applyFont="1" applyFill="1" applyBorder="1"/>
    <xf numFmtId="0" fontId="0" fillId="0" borderId="2" xfId="0" applyBorder="1"/>
    <xf numFmtId="164" fontId="1" fillId="4" borderId="2" xfId="1" applyNumberFormat="1" applyFont="1" applyFill="1" applyBorder="1"/>
    <xf numFmtId="0" fontId="2" fillId="0" borderId="4" xfId="0" applyFont="1" applyBorder="1" applyAlignment="1">
      <alignment vertical="center"/>
    </xf>
    <xf numFmtId="49" fontId="4" fillId="0" borderId="0" xfId="3" applyNumberFormat="1" applyFont="1" applyAlignment="1">
      <alignment horizontal="center" vertical="center" wrapText="1"/>
    </xf>
    <xf numFmtId="49" fontId="4" fillId="0" borderId="0" xfId="3" applyNumberFormat="1" applyFont="1" applyAlignment="1">
      <alignment horizontal="center" vertical="center"/>
    </xf>
    <xf numFmtId="49" fontId="5" fillId="0" borderId="0" xfId="3" applyNumberFormat="1" applyFont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4" fillId="0" borderId="0" xfId="3" applyFont="1" applyAlignment="1">
      <alignment horizontal="center" vertical="center" wrapText="1"/>
    </xf>
    <xf numFmtId="165" fontId="4" fillId="0" borderId="1" xfId="4" applyNumberFormat="1" applyFont="1" applyBorder="1" applyAlignment="1">
      <alignment horizontal="center" vertical="center" shrinkToFit="1"/>
    </xf>
    <xf numFmtId="165" fontId="4" fillId="0" borderId="3" xfId="4" applyNumberFormat="1" applyFont="1" applyBorder="1" applyAlignment="1">
      <alignment horizontal="center" vertical="center" shrinkToFit="1"/>
    </xf>
    <xf numFmtId="49" fontId="4" fillId="0" borderId="1" xfId="4" applyNumberFormat="1" applyFont="1" applyBorder="1" applyAlignment="1">
      <alignment horizontal="center" vertical="center" wrapText="1" shrinkToFit="1"/>
    </xf>
    <xf numFmtId="49" fontId="4" fillId="0" borderId="3" xfId="4" applyNumberFormat="1" applyFont="1" applyBorder="1" applyAlignment="1">
      <alignment horizontal="center" vertical="center" wrapText="1" shrinkToFit="1"/>
    </xf>
    <xf numFmtId="49" fontId="4" fillId="0" borderId="1" xfId="4" applyNumberFormat="1" applyFont="1" applyBorder="1" applyAlignment="1">
      <alignment horizontal="center" vertical="center" wrapText="1"/>
    </xf>
    <xf numFmtId="49" fontId="4" fillId="0" borderId="3" xfId="4" applyNumberFormat="1" applyFont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shrinkToFit="1"/>
    </xf>
    <xf numFmtId="0" fontId="4" fillId="0" borderId="2" xfId="4" applyFont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49" fontId="4" fillId="0" borderId="2" xfId="4" applyNumberFormat="1" applyFont="1" applyBorder="1" applyAlignment="1">
      <alignment horizontal="center" vertical="center" shrinkToFit="1"/>
    </xf>
    <xf numFmtId="164" fontId="4" fillId="0" borderId="6" xfId="1" applyNumberFormat="1" applyFont="1" applyFill="1" applyBorder="1" applyAlignment="1">
      <alignment horizontal="center" vertical="center" wrapText="1"/>
    </xf>
    <xf numFmtId="164" fontId="4" fillId="0" borderId="7" xfId="1" applyNumberFormat="1" applyFont="1" applyFill="1" applyBorder="1" applyAlignment="1">
      <alignment horizontal="center" vertical="center" wrapText="1"/>
    </xf>
    <xf numFmtId="164" fontId="4" fillId="0" borderId="5" xfId="1" applyNumberFormat="1" applyFont="1" applyFill="1" applyBorder="1" applyAlignment="1">
      <alignment horizontal="center" vertical="center" wrapText="1"/>
    </xf>
    <xf numFmtId="49" fontId="1" fillId="0" borderId="0" xfId="3" applyNumberFormat="1" applyFont="1" applyAlignment="1">
      <alignment horizontal="center" vertical="center"/>
    </xf>
    <xf numFmtId="0" fontId="1" fillId="0" borderId="0" xfId="3" applyNumberFormat="1" applyFont="1" applyAlignment="1">
      <alignment horizontal="center" vertical="center"/>
    </xf>
    <xf numFmtId="0" fontId="1" fillId="0" borderId="0" xfId="2" applyFont="1" applyAlignment="1">
      <alignment vertical="center"/>
    </xf>
  </cellXfs>
  <cellStyles count="5">
    <cellStyle name="Comma" xfId="1" builtinId="3"/>
    <cellStyle name="Normal" xfId="0" builtinId="0"/>
    <cellStyle name="Normal 2" xfId="2"/>
    <cellStyle name="Normal_Daily TransportationReport-EBD" xfId="3"/>
    <cellStyle name="Normal_DEBIT FOR BIG C (1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5"/>
  <sheetViews>
    <sheetView tabSelected="1" topLeftCell="F1" workbookViewId="0">
      <selection activeCell="Q17" sqref="Q17"/>
    </sheetView>
  </sheetViews>
  <sheetFormatPr defaultRowHeight="15"/>
  <cols>
    <col min="1" max="1" width="11.28515625" bestFit="1" customWidth="1"/>
    <col min="2" max="2" width="10.140625" bestFit="1" customWidth="1"/>
    <col min="3" max="3" width="14.5703125" style="50" bestFit="1" customWidth="1"/>
    <col min="4" max="4" width="8.42578125" bestFit="1" customWidth="1"/>
    <col min="5" max="5" width="9.42578125" bestFit="1" customWidth="1"/>
    <col min="6" max="6" width="24.7109375" bestFit="1" customWidth="1"/>
    <col min="7" max="7" width="10.140625" bestFit="1" customWidth="1"/>
    <col min="8" max="8" width="6.85546875" bestFit="1" customWidth="1"/>
    <col min="9" max="9" width="5.5703125" bestFit="1" customWidth="1"/>
    <col min="10" max="10" width="8.7109375" bestFit="1" customWidth="1"/>
    <col min="11" max="11" width="6" bestFit="1" customWidth="1"/>
    <col min="12" max="12" width="8.85546875" bestFit="1" customWidth="1"/>
    <col min="13" max="13" width="8.5703125" bestFit="1" customWidth="1"/>
    <col min="14" max="16" width="8.5703125" customWidth="1"/>
    <col min="17" max="17" width="22.5703125" bestFit="1" customWidth="1"/>
    <col min="18" max="18" width="23.42578125" bestFit="1" customWidth="1"/>
    <col min="19" max="19" width="19" bestFit="1" customWidth="1"/>
    <col min="20" max="20" width="19.5703125" bestFit="1" customWidth="1"/>
    <col min="21" max="21" width="9" bestFit="1" customWidth="1"/>
    <col min="22" max="22" width="11.5703125" bestFit="1" customWidth="1"/>
    <col min="23" max="23" width="18.7109375" bestFit="1" customWidth="1"/>
  </cols>
  <sheetData>
    <row r="1" spans="1:23">
      <c r="A1" s="1" t="s">
        <v>0</v>
      </c>
      <c r="B1" s="1"/>
      <c r="C1" s="9"/>
      <c r="D1" s="2"/>
      <c r="E1" s="2"/>
      <c r="F1" s="1"/>
      <c r="G1" s="2"/>
      <c r="H1" s="3"/>
      <c r="I1" s="3"/>
      <c r="J1" s="4"/>
      <c r="K1" s="5"/>
      <c r="L1" s="5"/>
      <c r="M1" s="5"/>
      <c r="N1" s="5"/>
      <c r="O1" s="5"/>
      <c r="P1" s="5"/>
      <c r="Q1" s="4"/>
      <c r="R1" s="4"/>
      <c r="S1" s="4"/>
      <c r="T1" s="4"/>
      <c r="V1" s="4"/>
    </row>
    <row r="2" spans="1:23">
      <c r="A2" s="1" t="s">
        <v>1</v>
      </c>
      <c r="B2" s="1"/>
      <c r="C2" s="9"/>
      <c r="D2" s="2"/>
      <c r="E2" s="2"/>
      <c r="F2" s="1"/>
      <c r="G2" s="2"/>
      <c r="H2" s="3"/>
      <c r="I2" s="3"/>
      <c r="J2" s="6"/>
      <c r="K2" s="7"/>
      <c r="L2" s="7"/>
      <c r="M2" s="7"/>
      <c r="N2" s="7"/>
      <c r="O2" s="7"/>
      <c r="P2" s="7"/>
      <c r="Q2" s="6"/>
      <c r="R2" s="6"/>
      <c r="S2" s="6"/>
      <c r="T2" s="6"/>
      <c r="U2" s="8"/>
      <c r="V2" s="6"/>
      <c r="W2" s="8"/>
    </row>
    <row r="3" spans="1:23">
      <c r="A3" s="1" t="s">
        <v>2</v>
      </c>
      <c r="B3" s="1"/>
      <c r="C3" s="9"/>
      <c r="D3" s="9"/>
      <c r="E3" s="10"/>
      <c r="F3" s="11"/>
      <c r="G3" s="12"/>
      <c r="H3" s="11"/>
      <c r="I3" s="11"/>
      <c r="J3" s="6"/>
      <c r="K3" s="7"/>
      <c r="L3" s="7"/>
      <c r="M3" s="7"/>
      <c r="N3" s="7"/>
      <c r="O3" s="7"/>
      <c r="P3" s="7"/>
      <c r="Q3" s="6"/>
      <c r="R3" s="6"/>
      <c r="S3" s="6"/>
      <c r="T3" s="6"/>
      <c r="U3" s="13"/>
      <c r="V3" s="6"/>
      <c r="W3" s="8"/>
    </row>
    <row r="4" spans="1:23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3">
      <c r="A5" s="14"/>
      <c r="B5" s="14"/>
      <c r="C5" s="46"/>
      <c r="D5" s="14"/>
      <c r="E5" s="14"/>
      <c r="F5" s="14"/>
      <c r="G5" s="14"/>
      <c r="H5" s="15"/>
      <c r="I5" s="15"/>
      <c r="J5" s="15"/>
      <c r="K5" s="16"/>
      <c r="L5" s="16"/>
      <c r="M5" s="16"/>
      <c r="N5" s="16"/>
      <c r="O5" s="16"/>
      <c r="P5" s="16"/>
      <c r="Q5" s="15"/>
      <c r="R5" s="15"/>
      <c r="S5" s="15"/>
      <c r="T5" s="15"/>
      <c r="U5" s="14"/>
      <c r="V5" s="15"/>
      <c r="W5" s="17"/>
    </row>
    <row r="6" spans="1:23">
      <c r="A6" s="1" t="s">
        <v>3</v>
      </c>
      <c r="B6" s="1"/>
      <c r="C6" s="47"/>
      <c r="D6" s="19"/>
      <c r="E6" s="19"/>
      <c r="F6" s="19"/>
      <c r="G6" s="19"/>
      <c r="H6" s="20"/>
      <c r="I6" s="20"/>
      <c r="J6" s="20"/>
      <c r="K6" s="21"/>
      <c r="L6" s="21"/>
      <c r="M6" s="21"/>
      <c r="N6" s="21"/>
      <c r="O6" s="21"/>
      <c r="P6" s="21"/>
      <c r="Q6" s="20"/>
      <c r="R6" s="20"/>
      <c r="S6" s="20"/>
      <c r="T6" s="20"/>
      <c r="U6" s="19"/>
      <c r="V6" s="20"/>
      <c r="W6" s="22"/>
    </row>
    <row r="7" spans="1:23">
      <c r="A7" s="1" t="s">
        <v>4</v>
      </c>
      <c r="B7" s="23"/>
      <c r="C7" s="47"/>
      <c r="D7" s="19"/>
      <c r="E7" s="19"/>
      <c r="F7" s="19"/>
      <c r="G7" s="19"/>
      <c r="H7" s="20"/>
      <c r="I7" s="20"/>
      <c r="J7" s="20"/>
      <c r="K7" s="21"/>
      <c r="L7" s="21"/>
      <c r="M7" s="21"/>
      <c r="N7" s="21"/>
      <c r="O7" s="21"/>
      <c r="P7" s="21"/>
      <c r="Q7" s="20"/>
      <c r="R7" s="20"/>
      <c r="S7" s="20"/>
      <c r="T7" s="20"/>
      <c r="U7" s="19"/>
      <c r="V7" s="20"/>
      <c r="W7" s="22"/>
    </row>
    <row r="8" spans="1:23">
      <c r="A8" s="1" t="s">
        <v>1</v>
      </c>
      <c r="B8" s="1"/>
      <c r="C8" s="48"/>
      <c r="D8" s="24"/>
      <c r="E8" s="18"/>
      <c r="F8" s="24"/>
      <c r="G8" s="24"/>
      <c r="H8" s="25"/>
      <c r="I8" s="25"/>
      <c r="J8" s="25"/>
      <c r="K8" s="26"/>
      <c r="L8" s="27"/>
      <c r="M8" s="28"/>
      <c r="N8" s="28"/>
      <c r="O8" s="28"/>
      <c r="P8" s="28"/>
      <c r="Q8" s="29"/>
      <c r="R8" s="29"/>
      <c r="S8" s="29"/>
      <c r="T8" s="30"/>
      <c r="U8" s="26"/>
      <c r="V8" s="30"/>
      <c r="W8" s="22"/>
    </row>
    <row r="9" spans="1:23">
      <c r="A9" s="74">
        <v>1</v>
      </c>
      <c r="B9" s="74">
        <v>2</v>
      </c>
      <c r="C9" s="72" t="s">
        <v>46</v>
      </c>
      <c r="D9" s="74">
        <v>4</v>
      </c>
      <c r="E9" s="74">
        <v>5</v>
      </c>
      <c r="F9" s="73">
        <v>6</v>
      </c>
      <c r="G9" s="74">
        <v>7</v>
      </c>
      <c r="H9" s="74">
        <v>8</v>
      </c>
      <c r="I9" s="73">
        <v>9</v>
      </c>
      <c r="J9" s="74">
        <v>10</v>
      </c>
      <c r="K9" s="74">
        <v>11</v>
      </c>
      <c r="L9" s="73">
        <v>12</v>
      </c>
      <c r="M9" s="74">
        <v>13</v>
      </c>
      <c r="N9" s="74">
        <v>14</v>
      </c>
      <c r="O9" s="74">
        <v>15</v>
      </c>
      <c r="P9" s="74">
        <v>16</v>
      </c>
      <c r="Q9" s="74">
        <v>17</v>
      </c>
      <c r="R9" s="73">
        <v>18</v>
      </c>
      <c r="S9" s="74">
        <v>19</v>
      </c>
      <c r="T9" s="74">
        <v>20</v>
      </c>
      <c r="U9" s="73">
        <v>21</v>
      </c>
      <c r="V9" s="74">
        <v>22</v>
      </c>
      <c r="W9" s="74">
        <v>23</v>
      </c>
    </row>
    <row r="10" spans="1:23" ht="15" customHeight="1">
      <c r="A10" s="52" t="s">
        <v>5</v>
      </c>
      <c r="B10" s="52" t="s">
        <v>6</v>
      </c>
      <c r="C10" s="54" t="s">
        <v>7</v>
      </c>
      <c r="D10" s="31"/>
      <c r="E10" s="56" t="s">
        <v>8</v>
      </c>
      <c r="F10" s="58" t="s">
        <v>9</v>
      </c>
      <c r="G10" s="59" t="s">
        <v>10</v>
      </c>
      <c r="H10" s="32"/>
      <c r="I10" s="69" t="s">
        <v>11</v>
      </c>
      <c r="J10" s="70"/>
      <c r="K10" s="70"/>
      <c r="L10" s="70"/>
      <c r="M10" s="70"/>
      <c r="N10" s="70"/>
      <c r="O10" s="70"/>
      <c r="P10" s="71"/>
      <c r="Q10" s="60" t="s">
        <v>12</v>
      </c>
      <c r="R10" s="62" t="s">
        <v>13</v>
      </c>
      <c r="S10" s="60" t="s">
        <v>14</v>
      </c>
      <c r="T10" s="64" t="s">
        <v>15</v>
      </c>
      <c r="U10" s="56" t="s">
        <v>16</v>
      </c>
      <c r="V10" s="66" t="s">
        <v>17</v>
      </c>
      <c r="W10" s="68" t="s">
        <v>18</v>
      </c>
    </row>
    <row r="11" spans="1:23" ht="45">
      <c r="A11" s="53"/>
      <c r="B11" s="53"/>
      <c r="C11" s="55"/>
      <c r="D11" s="33"/>
      <c r="E11" s="57"/>
      <c r="F11" s="58"/>
      <c r="G11" s="59"/>
      <c r="H11" s="32" t="s">
        <v>19</v>
      </c>
      <c r="I11" s="32" t="s">
        <v>20</v>
      </c>
      <c r="J11" s="32" t="s">
        <v>21</v>
      </c>
      <c r="K11" s="34" t="s">
        <v>22</v>
      </c>
      <c r="L11" s="34" t="s">
        <v>23</v>
      </c>
      <c r="M11" s="34" t="s">
        <v>43</v>
      </c>
      <c r="N11" s="34" t="s">
        <v>45</v>
      </c>
      <c r="O11" s="34" t="s">
        <v>44</v>
      </c>
      <c r="P11" s="34" t="s">
        <v>24</v>
      </c>
      <c r="Q11" s="61"/>
      <c r="R11" s="63"/>
      <c r="S11" s="61"/>
      <c r="T11" s="65"/>
      <c r="U11" s="57"/>
      <c r="V11" s="67"/>
      <c r="W11" s="68"/>
    </row>
    <row r="12" spans="1:23">
      <c r="A12" s="35" t="s">
        <v>25</v>
      </c>
      <c r="B12" s="35" t="s">
        <v>26</v>
      </c>
      <c r="C12" s="49" t="s">
        <v>42</v>
      </c>
      <c r="D12" s="36" t="s">
        <v>27</v>
      </c>
      <c r="E12" s="36" t="s">
        <v>28</v>
      </c>
      <c r="F12" s="37" t="s">
        <v>29</v>
      </c>
      <c r="G12" s="36" t="s">
        <v>30</v>
      </c>
      <c r="H12" s="38" t="s">
        <v>31</v>
      </c>
      <c r="I12" s="39">
        <v>1</v>
      </c>
      <c r="J12" s="39">
        <v>6</v>
      </c>
      <c r="K12" s="40">
        <v>0.03</v>
      </c>
      <c r="L12" s="40">
        <f>ROUND(J12*3/1000,2)</f>
        <v>0.02</v>
      </c>
      <c r="M12" s="40"/>
      <c r="N12" s="40"/>
      <c r="O12" s="40"/>
      <c r="P12" s="40" t="str">
        <f>IF(AND(SUMIFS($K$12:$K$635,$A$12:$A$635,D12)&gt;SUMIFS($L$12:$L$635,$A$12:$A$635,D12),OR(SUMIFS($K$12:$K$635,$A$12:$A$635,D12)&gt;=3,SUMIFS($L$12:$L$635,$A$12:$A$635,D12)&gt;=3)),N12,IF(AND(SUMIFS($K$12:$K$635,$A$12:$A$635,D12)&lt;3,SUMIFS($L$12:$L$635,$A$12:$A$635,D12)&lt;3),"check",O12))</f>
        <v>check</v>
      </c>
      <c r="Q12" s="41"/>
      <c r="R12" s="39"/>
      <c r="S12" s="41"/>
      <c r="T12" s="42"/>
      <c r="U12" s="43"/>
      <c r="V12" s="44"/>
      <c r="W12" s="43" t="s">
        <v>32</v>
      </c>
    </row>
    <row r="13" spans="1:23">
      <c r="A13" s="45" t="s">
        <v>25</v>
      </c>
      <c r="B13" s="45" t="s">
        <v>26</v>
      </c>
      <c r="C13" s="49" t="s">
        <v>42</v>
      </c>
      <c r="D13" s="36" t="s">
        <v>27</v>
      </c>
      <c r="E13" s="36" t="s">
        <v>33</v>
      </c>
      <c r="F13" s="37" t="s">
        <v>34</v>
      </c>
      <c r="G13" s="36" t="s">
        <v>30</v>
      </c>
      <c r="H13" s="38" t="s">
        <v>31</v>
      </c>
      <c r="I13" s="39">
        <v>111</v>
      </c>
      <c r="J13" s="39">
        <v>444</v>
      </c>
      <c r="K13" s="40">
        <v>2.2200000000000002</v>
      </c>
      <c r="L13" s="40">
        <f t="shared" ref="L13:L15" si="0">ROUND(J13*3/1000,2)</f>
        <v>1.33</v>
      </c>
      <c r="M13" s="40"/>
      <c r="N13" s="40"/>
      <c r="O13" s="40"/>
      <c r="P13" s="40" t="str">
        <f t="shared" ref="P13:P15" si="1">IF(AND(SUMIFS($K$12:$K$635,$A$12:$A$635,D13)&gt;SUMIFS($L$12:$L$635,$A$12:$A$635,D13),OR(SUMIFS($K$12:$K$635,$A$12:$A$635,D13)&gt;=3,SUMIFS($L$12:$L$635,$A$12:$A$635,D13)&gt;=3)),N13,IF(AND(SUMIFS($K$12:$K$635,$A$12:$A$635,D13)&lt;3,SUMIFS($L$12:$L$635,$A$12:$A$635,D13)&lt;3),"check",O13))</f>
        <v>check</v>
      </c>
      <c r="Q13" s="41"/>
      <c r="R13" s="39"/>
      <c r="S13" s="41"/>
      <c r="T13" s="42"/>
      <c r="U13" s="43"/>
      <c r="V13" s="44"/>
      <c r="W13" s="43" t="s">
        <v>35</v>
      </c>
    </row>
    <row r="14" spans="1:23">
      <c r="A14" s="45" t="s">
        <v>25</v>
      </c>
      <c r="B14" s="45" t="s">
        <v>26</v>
      </c>
      <c r="C14" s="49" t="s">
        <v>42</v>
      </c>
      <c r="D14" s="36" t="s">
        <v>27</v>
      </c>
      <c r="E14" s="36" t="s">
        <v>36</v>
      </c>
      <c r="F14" s="37" t="s">
        <v>37</v>
      </c>
      <c r="G14" s="36" t="s">
        <v>30</v>
      </c>
      <c r="H14" s="38" t="s">
        <v>31</v>
      </c>
      <c r="I14" s="39">
        <v>7</v>
      </c>
      <c r="J14" s="39">
        <v>55</v>
      </c>
      <c r="K14" s="40">
        <v>0.15</v>
      </c>
      <c r="L14" s="40">
        <f t="shared" si="0"/>
        <v>0.17</v>
      </c>
      <c r="M14" s="40"/>
      <c r="N14" s="40"/>
      <c r="O14" s="40"/>
      <c r="P14" s="40" t="str">
        <f t="shared" si="1"/>
        <v>check</v>
      </c>
      <c r="Q14" s="41"/>
      <c r="R14" s="39"/>
      <c r="S14" s="41"/>
      <c r="T14" s="42"/>
      <c r="U14" s="43"/>
      <c r="V14" s="44"/>
      <c r="W14" s="43" t="s">
        <v>38</v>
      </c>
    </row>
    <row r="15" spans="1:23">
      <c r="A15" s="45" t="s">
        <v>25</v>
      </c>
      <c r="B15" s="45" t="s">
        <v>26</v>
      </c>
      <c r="C15" s="49" t="s">
        <v>42</v>
      </c>
      <c r="D15" s="36" t="s">
        <v>27</v>
      </c>
      <c r="E15" s="36" t="s">
        <v>39</v>
      </c>
      <c r="F15" s="37" t="s">
        <v>40</v>
      </c>
      <c r="G15" s="36" t="s">
        <v>30</v>
      </c>
      <c r="H15" s="38" t="s">
        <v>31</v>
      </c>
      <c r="I15" s="39">
        <v>1</v>
      </c>
      <c r="J15" s="39">
        <v>13</v>
      </c>
      <c r="K15" s="40">
        <v>0.03</v>
      </c>
      <c r="L15" s="40">
        <f t="shared" si="0"/>
        <v>0.04</v>
      </c>
      <c r="M15" s="40"/>
      <c r="N15" s="40"/>
      <c r="O15" s="40"/>
      <c r="P15" s="40" t="str">
        <f t="shared" si="1"/>
        <v>check</v>
      </c>
      <c r="Q15" s="41"/>
      <c r="R15" s="39"/>
      <c r="S15" s="41"/>
      <c r="T15" s="42"/>
      <c r="U15" s="43"/>
      <c r="V15" s="44"/>
      <c r="W15" s="43" t="s">
        <v>41</v>
      </c>
    </row>
  </sheetData>
  <mergeCells count="15">
    <mergeCell ref="A4:W4"/>
    <mergeCell ref="A10:A11"/>
    <mergeCell ref="B10:B11"/>
    <mergeCell ref="C10:C11"/>
    <mergeCell ref="E10:E11"/>
    <mergeCell ref="F10:F11"/>
    <mergeCell ref="G10:G11"/>
    <mergeCell ref="Q10:Q11"/>
    <mergeCell ref="R10:R11"/>
    <mergeCell ref="S10:S11"/>
    <mergeCell ref="T10:T11"/>
    <mergeCell ref="U10:U11"/>
    <mergeCell ref="V10:V11"/>
    <mergeCell ref="W10:W11"/>
    <mergeCell ref="I10:P1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DEV-VNG-279</cp:lastModifiedBy>
  <dcterms:created xsi:type="dcterms:W3CDTF">2024-02-16T02:29:10Z</dcterms:created>
  <dcterms:modified xsi:type="dcterms:W3CDTF">2024-04-01T07:25:42Z</dcterms:modified>
</cp:coreProperties>
</file>