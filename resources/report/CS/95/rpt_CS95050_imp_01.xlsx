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gsf20_new\resources\report\CS\95\"/>
    </mc:Choice>
  </mc:AlternateContent>
  <xr:revisionPtr revIDLastSave="0" documentId="13_ncr:1_{2EAF11B5-4846-4EAA-89CF-CF88E7D85A1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0" i="8" l="1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7" i="8"/>
  <c r="AC6" i="8"/>
  <c r="AC5" i="8"/>
  <c r="AC20" i="8" l="1"/>
  <c r="C20" i="8"/>
</calcChain>
</file>

<file path=xl/sharedStrings.xml><?xml version="1.0" encoding="utf-8"?>
<sst xmlns="http://schemas.openxmlformats.org/spreadsheetml/2006/main" count="86" uniqueCount="84">
  <si>
    <t>No</t>
  </si>
  <si>
    <t>VN110002</t>
  </si>
  <si>
    <t>VN104002</t>
  </si>
  <si>
    <t>VN105002</t>
  </si>
  <si>
    <t>VN104003</t>
  </si>
  <si>
    <t>VN104005</t>
  </si>
  <si>
    <t>VN104001</t>
  </si>
  <si>
    <t>VN110011</t>
  </si>
  <si>
    <t>VN110021</t>
  </si>
  <si>
    <t>VN101014</t>
  </si>
  <si>
    <t>VN101017</t>
  </si>
  <si>
    <t>VN103032</t>
  </si>
  <si>
    <t>VN103027</t>
  </si>
  <si>
    <t>VN103028</t>
  </si>
  <si>
    <t>VN103030</t>
  </si>
  <si>
    <t>VN103031</t>
  </si>
  <si>
    <t>CHEESE STICK</t>
  </si>
  <si>
    <t>FISH
PATTY</t>
  </si>
  <si>
    <t>APPLE
PIE</t>
  </si>
  <si>
    <t>FISH NUGGET</t>
  </si>
  <si>
    <t>SQUID RING</t>
  </si>
  <si>
    <t>SHRIMP PATTY</t>
  </si>
  <si>
    <t>MOZZARELLA CHEESE PATTY</t>
  </si>
  <si>
    <t>CHEESE SLICE</t>
  </si>
  <si>
    <t xml:space="preserve">LOTTERIA BEEF PATTY </t>
  </si>
  <si>
    <t xml:space="preserve">LOTTE MEGA PATTY </t>
  </si>
  <si>
    <t>K-CHICKEN</t>
  </si>
  <si>
    <t>CHICKEN SKEWER</t>
  </si>
  <si>
    <t>HOT WINGS</t>
  </si>
  <si>
    <r>
      <t xml:space="preserve">L- CK PATTY HCM </t>
    </r>
    <r>
      <rPr>
        <b/>
        <sz val="12"/>
        <color rgb="FFFF0000"/>
        <rFont val="Times New Roman"/>
        <family val="1"/>
      </rPr>
      <t>(MÁ ĐÙI 12 GÓI)</t>
    </r>
  </si>
  <si>
    <t>LOTTE HOT STAR</t>
  </si>
  <si>
    <t>VN111234</t>
  </si>
  <si>
    <t>GO CITYLAND 1F</t>
  </si>
  <si>
    <t>VN111054</t>
  </si>
  <si>
    <t>LOTTEMART NGUYEN HUU THO</t>
  </si>
  <si>
    <t>VN111103</t>
  </si>
  <si>
    <t>DUONG BA TRAC</t>
  </si>
  <si>
    <t>VN111088</t>
  </si>
  <si>
    <t>HOANG DIEU</t>
  </si>
  <si>
    <t>VN111026</t>
  </si>
  <si>
    <t>TRAN HUNG DAO</t>
  </si>
  <si>
    <t>VN111277</t>
  </si>
  <si>
    <t>NGUYEN VAN CU</t>
  </si>
  <si>
    <t>VN111017</t>
  </si>
  <si>
    <t>NGUYEN TRI PHUONG</t>
  </si>
  <si>
    <t>VN111188</t>
  </si>
  <si>
    <t>HONG BANG</t>
  </si>
  <si>
    <t>VN111116</t>
  </si>
  <si>
    <t>BINH PHU</t>
  </si>
  <si>
    <t>VN111171</t>
  </si>
  <si>
    <t>HAU GIANG</t>
  </si>
  <si>
    <t>VN111119</t>
  </si>
  <si>
    <t>CHAU VAN LIEM</t>
  </si>
  <si>
    <t>VN111163</t>
  </si>
  <si>
    <t>COOP TUY LY VUONG</t>
  </si>
  <si>
    <t>VN111284</t>
  </si>
  <si>
    <t>HUYNH TAN PHAT</t>
  </si>
  <si>
    <t>VN111007</t>
  </si>
  <si>
    <t>PHU MY HUNG</t>
  </si>
  <si>
    <t>VN111111</t>
  </si>
  <si>
    <t>CRESCENT MALL 5F</t>
  </si>
  <si>
    <t>VN121039</t>
  </si>
  <si>
    <t>TOTAL</t>
  </si>
  <si>
    <t>Item Code</t>
  </si>
  <si>
    <t>Item Name</t>
  </si>
  <si>
    <t>VN121040</t>
  </si>
  <si>
    <t>VN121041</t>
  </si>
  <si>
    <t>VN121042</t>
  </si>
  <si>
    <t>VN121043</t>
  </si>
  <si>
    <t>VN121044</t>
  </si>
  <si>
    <t>VN121045</t>
  </si>
  <si>
    <t>VN121046</t>
  </si>
  <si>
    <t>VN121047</t>
  </si>
  <si>
    <t>VN121048</t>
  </si>
  <si>
    <t>Store 1</t>
  </si>
  <si>
    <t>Store 2</t>
  </si>
  <si>
    <t>Store 3</t>
  </si>
  <si>
    <t>Store 4</t>
  </si>
  <si>
    <t>Store 5</t>
  </si>
  <si>
    <t>Store 6</t>
  </si>
  <si>
    <t>Store 7</t>
  </si>
  <si>
    <t>Store 8</t>
  </si>
  <si>
    <t>Store 9</t>
  </si>
  <si>
    <t>Store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</si>
</sst>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1010000]d/m/yyyy;@"/>
    <numFmt numFmtId="165" formatCode="_(* #,##0_);_(* \(#,##0\);_(* &quot;-&quot;??_);_(@_)"/>
    <numFmt numFmtId="166" formatCode="_(* #,##0.0_);_(* \(#,##0.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sz val="15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1"/>
      <color rgb="FFFF000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9"/>
      <color indexed="8"/>
      <name val="Times New Roman"/>
      <family val="1"/>
    </font>
    <font>
      <sz val="15"/>
      <name val="Times New Roman"/>
      <family val="1"/>
    </font>
    <font>
      <b/>
      <sz val="15"/>
      <color theme="1"/>
      <name val="Times New Roman"/>
      <family val="1"/>
    </font>
    <font>
      <b/>
      <sz val="20"/>
      <name val="Times New Roman"/>
      <family val="1"/>
    </font>
    <font>
      <sz val="13"/>
      <color rgb="FFFF0000"/>
      <name val="Times New Roman"/>
      <family val="1"/>
    </font>
    <font>
      <sz val="13"/>
      <name val="Times New Roman"/>
      <family val="1"/>
    </font>
    <font>
      <sz val="10"/>
      <name val="VNI-Times"/>
    </font>
    <font>
      <sz val="12"/>
      <color indexed="8"/>
      <name val="Times New Roman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8" fillId="0" borderId="0" applyFont="0" applyFill="0" applyBorder="0" applyAlignment="0" applyProtection="0"/>
    <xf numFmtId="0" fontId="19" fillId="0" borderId="0"/>
    <xf numFmtId="0" fontId="35" fillId="0" borderId="0"/>
    <xf numFmtId="0" fontId="36" fillId="0" borderId="0"/>
    <xf numFmtId="43" fontId="36" fillId="0" borderId="0" applyFont="0" applyFill="0" applyBorder="0" applyAlignment="0" applyProtection="0"/>
    <xf numFmtId="43" fontId="19" fillId="0" borderId="0" applyFont="0" applyFill="0" applyBorder="0" applyAlignment="0" applyProtection="0"/>
  </cellStyleXfs>
  <cellXfs count="33">
    <xf numFmtId="0" fontId="18" fillId="0" borderId="0" xfId="0" applyFont="1"/>
    <xf numFmtId="0" fontId="22" fillId="0" borderId="0" xfId="43" applyFont="1"/>
    <xf numFmtId="0" fontId="20" fillId="34" borderId="13" xfId="43" applyFont="1" applyFill="1" applyBorder="1" applyAlignment="1">
      <alignment horizontal="center" vertical="center"/>
    </xf>
    <xf numFmtId="0" fontId="30" fillId="0" borderId="10" xfId="43" applyFont="1" applyBorder="1" applyAlignment="1">
      <alignment horizontal="center" vertical="center"/>
    </xf>
    <xf numFmtId="165" fontId="32" fillId="0" borderId="10" xfId="42" applyNumberFormat="1" applyFont="1" applyFill="1" applyBorder="1" applyAlignment="1">
      <alignment horizontal="center" vertical="center"/>
    </xf>
    <xf numFmtId="165" fontId="32" fillId="33" borderId="10" xfId="42" applyNumberFormat="1" applyFont="1" applyFill="1" applyBorder="1" applyAlignment="1">
      <alignment horizontal="center" vertical="center"/>
    </xf>
    <xf numFmtId="166" fontId="33" fillId="0" borderId="10" xfId="42" applyNumberFormat="1" applyFont="1" applyFill="1" applyBorder="1" applyAlignment="1">
      <alignment horizontal="center" vertical="center"/>
    </xf>
    <xf numFmtId="0" fontId="34" fillId="0" borderId="0" xfId="43" applyFont="1"/>
    <xf numFmtId="166" fontId="33" fillId="35" borderId="10" xfId="42" applyNumberFormat="1" applyFont="1" applyFill="1" applyBorder="1" applyAlignment="1">
      <alignment horizontal="center" vertical="center"/>
    </xf>
    <xf numFmtId="165" fontId="32" fillId="36" borderId="10" xfId="42" applyNumberFormat="1" applyFont="1" applyFill="1" applyBorder="1" applyAlignment="1">
      <alignment horizontal="center" vertical="center"/>
    </xf>
    <xf numFmtId="0" fontId="30" fillId="0" borderId="14" xfId="43" applyFont="1" applyBorder="1" applyAlignment="1">
      <alignment horizontal="center" vertical="center"/>
    </xf>
    <xf numFmtId="164" fontId="21" fillId="34" borderId="13" xfId="43" applyNumberFormat="1" applyFont="1" applyFill="1" applyBorder="1" applyAlignment="1">
      <alignment horizontal="center" vertical="center"/>
    </xf>
    <xf numFmtId="0" fontId="21" fillId="34" borderId="13" xfId="43" applyFont="1" applyFill="1" applyBorder="1" applyAlignment="1">
      <alignment horizontal="center" vertical="center"/>
    </xf>
    <xf numFmtId="165" fontId="21" fillId="34" borderId="13" xfId="42" applyNumberFormat="1" applyFont="1" applyFill="1" applyBorder="1" applyAlignment="1">
      <alignment horizontal="center" vertical="center"/>
    </xf>
    <xf numFmtId="165" fontId="21" fillId="33" borderId="13" xfId="42" applyNumberFormat="1" applyFont="1" applyFill="1" applyBorder="1" applyAlignment="1">
      <alignment horizontal="center" vertical="center"/>
    </xf>
    <xf numFmtId="166" fontId="26" fillId="34" borderId="13" xfId="42" applyNumberFormat="1" applyFont="1" applyFill="1" applyBorder="1" applyAlignment="1">
      <alignment horizontal="center" vertical="center"/>
    </xf>
    <xf numFmtId="166" fontId="33" fillId="0" borderId="11" xfId="42" applyNumberFormat="1" applyFont="1" applyFill="1" applyBorder="1" applyAlignment="1">
      <alignment horizontal="center" vertical="center"/>
    </xf>
    <xf numFmtId="166" fontId="33" fillId="0" borderId="13" xfId="42" applyNumberFormat="1" applyFont="1" applyFill="1" applyBorder="1" applyAlignment="1">
      <alignment horizontal="center" vertical="center"/>
    </xf>
    <xf numFmtId="0" fontId="24" fillId="33" borderId="10" xfId="43" applyFont="1" applyFill="1" applyBorder="1" applyAlignment="1">
      <alignment horizontal="center" vertical="center"/>
    </xf>
    <xf numFmtId="0" fontId="27" fillId="33" borderId="10" xfId="43" applyFont="1" applyFill="1" applyBorder="1" applyAlignment="1">
      <alignment horizontal="center" vertical="center" wrapText="1"/>
    </xf>
    <xf numFmtId="0" fontId="22" fillId="37" borderId="0" xfId="43" applyFont="1" applyFill="1"/>
    <xf numFmtId="0" fontId="23" fillId="37" borderId="10" xfId="43" applyFont="1" applyFill="1" applyBorder="1" applyAlignment="1">
      <alignment vertical="center"/>
    </xf>
    <xf numFmtId="164" fontId="31" fillId="37" borderId="10" xfId="42" applyNumberFormat="1" applyFont="1" applyFill="1" applyBorder="1" applyAlignment="1">
      <alignment horizontal="center" vertical="center" wrapText="1"/>
    </xf>
    <xf numFmtId="164" fontId="31" fillId="37" borderId="13" xfId="42" applyNumberFormat="1" applyFont="1" applyFill="1" applyBorder="1" applyAlignment="1">
      <alignment horizontal="center" vertical="center" wrapText="1"/>
    </xf>
    <xf numFmtId="0" fontId="25" fillId="37" borderId="10" xfId="43" applyFont="1" applyFill="1" applyBorder="1" applyAlignment="1">
      <alignment horizontal="center" vertical="center" wrapText="1"/>
    </xf>
    <xf numFmtId="0" fontId="25" fillId="37" borderId="13" xfId="43" applyFont="1" applyFill="1" applyBorder="1" applyAlignment="1">
      <alignment horizontal="center" vertical="center" wrapText="1"/>
    </xf>
    <xf numFmtId="0" fontId="26" fillId="37" borderId="13" xfId="43" applyFont="1" applyFill="1" applyBorder="1" applyAlignment="1">
      <alignment horizontal="center" vertical="center" wrapText="1"/>
    </xf>
    <xf numFmtId="0" fontId="29" fillId="37" borderId="0" xfId="43" applyFont="1" applyFill="1"/>
    <xf numFmtId="0" fontId="20" fillId="37" borderId="12" xfId="43" applyFont="1" applyFill="1" applyBorder="1" applyAlignment="1">
      <alignment horizontal="center" vertical="center"/>
    </xf>
    <xf numFmtId="164" fontId="23" fillId="37" borderId="10" xfId="43" applyNumberFormat="1" applyFont="1" applyFill="1" applyBorder="1" applyAlignment="1">
      <alignment vertical="center"/>
    </xf>
    <xf numFmtId="0" fontId="31" fillId="37" borderId="10" xfId="42" quotePrefix="1" applyNumberFormat="1" applyFont="1" applyFill="1" applyBorder="1" applyAlignment="1">
      <alignment horizontal="left" vertical="center" wrapText="1"/>
    </xf>
    <xf numFmtId="0" fontId="31" fillId="37" borderId="10" xfId="42" applyNumberFormat="1" applyFont="1" applyFill="1" applyBorder="1" applyAlignment="1">
      <alignment horizontal="left" vertical="center" wrapText="1"/>
    </xf>
    <xf numFmtId="0" fontId="31" fillId="37" borderId="13" xfId="42" applyNumberFormat="1" applyFont="1" applyFill="1" applyBorder="1" applyAlignment="1">
      <alignment horizontal="left" vertical="center" wrapText="1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omma 2 2" xfId="47" xr:uid="{D23869CF-D60F-4E70-B475-2742902B3E49}"/>
    <cellStyle name="Comma 4 4" xfId="46" xr:uid="{CE298CB6-1547-43B7-B5BF-34A5DA897008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3081EF14-2F7D-49C0-8FD3-BAC2C927A1EB}"/>
    <cellStyle name="Normal 2 2" xfId="44" xr:uid="{605E6803-2DA7-4112-8C7C-4CBADD8DEF42}"/>
    <cellStyle name="Normal 5 2 2" xfId="45" xr:uid="{BCB6AEC8-2C8F-4273-9D15-67BF4C84C8E3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030A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D899A-BD12-4139-9B90-344D5755C38B}">
  <dimension ref="A3:DK20"/>
  <sheetViews>
    <sheetView tabSelected="1" zoomScale="55" zoomScaleNormal="55" workbookViewId="0">
      <selection activeCell="A4" sqref="A4:XFD4"/>
    </sheetView>
  </sheetViews>
  <sheetFormatPr defaultColWidth="9.28515625" defaultRowHeight="12.75"/>
  <cols>
    <col min="1" max="1" width="8.28515625" customWidth="1"/>
    <col min="2" max="2" width="22" customWidth="1"/>
    <col min="3" max="3" width="39" customWidth="1"/>
    <col min="4" max="4" width="18.28515625" customWidth="1"/>
    <col min="5" max="6" width="13.7109375" customWidth="1"/>
    <col min="7" max="7" width="14.28515625" customWidth="1"/>
    <col min="8" max="8" width="13.85546875" customWidth="1"/>
    <col min="9" max="9" width="14.28515625" customWidth="1"/>
    <col min="10" max="10" width="13.85546875" customWidth="1"/>
    <col min="11" max="11" width="15.28515625" customWidth="1"/>
    <col min="12" max="12" width="13.7109375" customWidth="1"/>
    <col min="13" max="13" width="14.28515625" customWidth="1"/>
    <col min="14" max="14" width="13.7109375" customWidth="1"/>
    <col min="15" max="16" width="15.28515625" customWidth="1"/>
    <col min="17" max="17" width="16" customWidth="1"/>
    <col min="18" max="18" width="22.85546875" customWidth="1"/>
    <col min="19" max="19" width="17" customWidth="1"/>
    <col min="20" max="20" width="15.140625" customWidth="1"/>
    <col min="21" max="21" width="15.28515625" customWidth="1"/>
    <col min="22" max="22" width="16.28515625" customWidth="1"/>
    <col min="23" max="23" width="17" customWidth="1"/>
    <col min="24" max="24" width="16.28515625" customWidth="1"/>
    <col min="25" max="25" width="16" customWidth="1"/>
    <col min="26" max="26" width="15.42578125" customWidth="1"/>
    <col min="27" max="27" width="17" customWidth="1"/>
    <col min="28" max="28" width="17.5703125" customWidth="1"/>
    <col min="29" max="30" width="15.5703125" customWidth="1"/>
    <col min="31" max="31" width="43.140625" customWidth="1"/>
  </cols>
  <sheetData>
    <row r="3" spans="1:115" s="20" customFormat="1" ht="80.25" customHeight="1">
      <c r="A3" s="28" t="s">
        <v>0</v>
      </c>
      <c r="B3" s="29" t="s">
        <v>63</v>
      </c>
      <c r="C3" s="21" t="s">
        <v>64</v>
      </c>
      <c r="D3" s="30" t="s">
        <v>32</v>
      </c>
      <c r="E3" s="31" t="s">
        <v>34</v>
      </c>
      <c r="F3" s="32" t="s">
        <v>36</v>
      </c>
      <c r="G3" s="22" t="s">
        <v>38</v>
      </c>
      <c r="H3" s="22" t="s">
        <v>40</v>
      </c>
      <c r="I3" s="22" t="s">
        <v>42</v>
      </c>
      <c r="J3" s="22" t="s">
        <v>44</v>
      </c>
      <c r="K3" s="22" t="s">
        <v>46</v>
      </c>
      <c r="L3" s="22" t="s">
        <v>48</v>
      </c>
      <c r="M3" s="22" t="s">
        <v>50</v>
      </c>
      <c r="N3" s="22" t="s">
        <v>52</v>
      </c>
      <c r="O3" s="22" t="s">
        <v>54</v>
      </c>
      <c r="P3" s="22" t="s">
        <v>56</v>
      </c>
      <c r="Q3" s="22" t="s">
        <v>58</v>
      </c>
      <c r="R3" s="22" t="s">
        <v>60</v>
      </c>
      <c r="S3" s="22" t="s">
        <v>74</v>
      </c>
      <c r="T3" s="22" t="s">
        <v>75</v>
      </c>
      <c r="U3" s="22" t="s">
        <v>76</v>
      </c>
      <c r="V3" s="22" t="s">
        <v>77</v>
      </c>
      <c r="W3" s="22" t="s">
        <v>78</v>
      </c>
      <c r="X3" s="22" t="s">
        <v>79</v>
      </c>
      <c r="Y3" s="22" t="s">
        <v>80</v>
      </c>
      <c r="Z3" s="22" t="s">
        <v>81</v>
      </c>
      <c r="AA3" s="22" t="s">
        <v>82</v>
      </c>
      <c r="AB3" s="22" t="s">
        <v>83</v>
      </c>
      <c r="AC3" s="24"/>
      <c r="AD3" s="25"/>
      <c r="AE3" s="26"/>
      <c r="DK3" s="27"/>
    </row>
    <row r="4" spans="1:115" s="20" customFormat="1" ht="80.25" customHeight="1">
      <c r="A4" s="3">
        <v>9999</v>
      </c>
      <c r="B4" s="29" t="s">
        <v>63</v>
      </c>
      <c r="C4" s="21" t="s">
        <v>64</v>
      </c>
      <c r="D4" s="22" t="s">
        <v>31</v>
      </c>
      <c r="E4" s="22" t="s">
        <v>33</v>
      </c>
      <c r="F4" s="23" t="s">
        <v>35</v>
      </c>
      <c r="G4" s="22" t="s">
        <v>37</v>
      </c>
      <c r="H4" s="22" t="s">
        <v>39</v>
      </c>
      <c r="I4" s="22" t="s">
        <v>41</v>
      </c>
      <c r="J4" s="22" t="s">
        <v>43</v>
      </c>
      <c r="K4" s="22" t="s">
        <v>45</v>
      </c>
      <c r="L4" s="22" t="s">
        <v>47</v>
      </c>
      <c r="M4" s="22" t="s">
        <v>49</v>
      </c>
      <c r="N4" s="22" t="s">
        <v>51</v>
      </c>
      <c r="O4" s="22" t="s">
        <v>53</v>
      </c>
      <c r="P4" s="22" t="s">
        <v>55</v>
      </c>
      <c r="Q4" s="22" t="s">
        <v>57</v>
      </c>
      <c r="R4" s="22" t="s">
        <v>59</v>
      </c>
      <c r="S4" s="22" t="s">
        <v>61</v>
      </c>
      <c r="T4" s="22" t="s">
        <v>65</v>
      </c>
      <c r="U4" s="22" t="s">
        <v>66</v>
      </c>
      <c r="V4" s="22" t="s">
        <v>67</v>
      </c>
      <c r="W4" s="22" t="s">
        <v>68</v>
      </c>
      <c r="X4" s="22" t="s">
        <v>69</v>
      </c>
      <c r="Y4" s="22" t="s">
        <v>70</v>
      </c>
      <c r="Z4" s="22" t="s">
        <v>71</v>
      </c>
      <c r="AA4" s="22" t="s">
        <v>72</v>
      </c>
      <c r="AB4" s="22" t="s">
        <v>73</v>
      </c>
      <c r="AC4" s="24"/>
      <c r="AD4" s="25"/>
      <c r="AE4" s="26"/>
      <c r="DK4" s="27"/>
    </row>
    <row r="5" spans="1:115" s="7" customFormat="1" ht="43.5" customHeight="1">
      <c r="A5" s="3">
        <v>1</v>
      </c>
      <c r="B5" s="18" t="s">
        <v>1</v>
      </c>
      <c r="C5" s="19" t="s">
        <v>16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/>
      <c r="W5" s="5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6">
        <f t="shared" ref="AC5:AC20" si="0">+SUMPRODUCT($D$2:$AB$2,D5:AB5)</f>
        <v>0</v>
      </c>
      <c r="AD5" s="6"/>
      <c r="AE5" s="4"/>
    </row>
    <row r="6" spans="1:115" s="7" customFormat="1" ht="43.5" customHeight="1">
      <c r="A6" s="3">
        <v>1</v>
      </c>
      <c r="B6" s="18" t="s">
        <v>2</v>
      </c>
      <c r="C6" s="19" t="s">
        <v>17</v>
      </c>
      <c r="D6" s="4">
        <v>5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5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/>
      <c r="W6" s="5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6">
        <f t="shared" si="0"/>
        <v>0</v>
      </c>
      <c r="AD6" s="6"/>
      <c r="AE6" s="4"/>
    </row>
    <row r="7" spans="1:115" s="7" customFormat="1" ht="43.5" customHeight="1">
      <c r="A7" s="3">
        <v>1</v>
      </c>
      <c r="B7" s="18" t="s">
        <v>3</v>
      </c>
      <c r="C7" s="19" t="s">
        <v>18</v>
      </c>
      <c r="D7" s="4">
        <v>10</v>
      </c>
      <c r="E7" s="4">
        <v>3</v>
      </c>
      <c r="F7" s="4">
        <v>1</v>
      </c>
      <c r="G7" s="4">
        <v>1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5</v>
      </c>
      <c r="N7" s="4">
        <v>0</v>
      </c>
      <c r="O7" s="4">
        <v>0</v>
      </c>
      <c r="P7" s="4">
        <v>0</v>
      </c>
      <c r="Q7" s="4">
        <v>1</v>
      </c>
      <c r="R7" s="4">
        <v>0</v>
      </c>
      <c r="S7" s="4">
        <v>1</v>
      </c>
      <c r="T7" s="4">
        <v>0</v>
      </c>
      <c r="U7" s="4">
        <v>1</v>
      </c>
      <c r="V7" s="4"/>
      <c r="W7" s="5">
        <v>0</v>
      </c>
      <c r="X7" s="4">
        <v>2</v>
      </c>
      <c r="Y7" s="4">
        <v>6</v>
      </c>
      <c r="Z7" s="4">
        <v>0</v>
      </c>
      <c r="AA7" s="4">
        <v>0</v>
      </c>
      <c r="AB7" s="4">
        <v>0</v>
      </c>
      <c r="AC7" s="6">
        <f t="shared" si="0"/>
        <v>0</v>
      </c>
      <c r="AD7" s="6"/>
      <c r="AE7" s="4"/>
    </row>
    <row r="8" spans="1:115" s="7" customFormat="1" ht="43.5" customHeight="1">
      <c r="A8" s="3">
        <v>1</v>
      </c>
      <c r="B8" s="18" t="s">
        <v>4</v>
      </c>
      <c r="C8" s="19" t="s">
        <v>19</v>
      </c>
      <c r="D8" s="4">
        <v>25</v>
      </c>
      <c r="E8" s="4">
        <v>5</v>
      </c>
      <c r="F8" s="4">
        <v>0</v>
      </c>
      <c r="G8" s="4">
        <v>2</v>
      </c>
      <c r="H8" s="4">
        <v>0</v>
      </c>
      <c r="I8" s="4">
        <v>2</v>
      </c>
      <c r="J8" s="4">
        <v>6</v>
      </c>
      <c r="K8" s="4">
        <v>0</v>
      </c>
      <c r="L8" s="4">
        <v>0</v>
      </c>
      <c r="M8" s="4">
        <v>15</v>
      </c>
      <c r="N8" s="4">
        <v>1</v>
      </c>
      <c r="O8" s="4">
        <v>0</v>
      </c>
      <c r="P8" s="4">
        <v>0</v>
      </c>
      <c r="Q8" s="4">
        <v>0</v>
      </c>
      <c r="R8" s="4">
        <v>0</v>
      </c>
      <c r="S8" s="4">
        <v>1</v>
      </c>
      <c r="T8" s="4">
        <v>0</v>
      </c>
      <c r="U8" s="4">
        <v>0</v>
      </c>
      <c r="V8" s="4"/>
      <c r="W8" s="5">
        <v>0</v>
      </c>
      <c r="X8" s="4">
        <v>0</v>
      </c>
      <c r="Y8" s="4">
        <v>1</v>
      </c>
      <c r="Z8" s="4">
        <v>0</v>
      </c>
      <c r="AA8" s="4">
        <v>0</v>
      </c>
      <c r="AB8" s="4">
        <v>0</v>
      </c>
      <c r="AC8" s="6">
        <f t="shared" si="0"/>
        <v>0</v>
      </c>
      <c r="AD8" s="6"/>
      <c r="AE8" s="4"/>
    </row>
    <row r="9" spans="1:115" s="7" customFormat="1" ht="46.15" customHeight="1">
      <c r="A9" s="3">
        <v>1</v>
      </c>
      <c r="B9" s="18" t="s">
        <v>5</v>
      </c>
      <c r="C9" s="19" t="s">
        <v>20</v>
      </c>
      <c r="D9" s="4">
        <v>6</v>
      </c>
      <c r="E9" s="4">
        <v>0</v>
      </c>
      <c r="F9" s="4">
        <v>0</v>
      </c>
      <c r="G9" s="4">
        <v>0</v>
      </c>
      <c r="H9" s="4">
        <v>0</v>
      </c>
      <c r="I9" s="4">
        <v>1</v>
      </c>
      <c r="J9" s="4">
        <v>4</v>
      </c>
      <c r="K9" s="4">
        <v>0</v>
      </c>
      <c r="L9" s="4">
        <v>0</v>
      </c>
      <c r="M9" s="4">
        <v>6</v>
      </c>
      <c r="N9" s="4">
        <v>0</v>
      </c>
      <c r="O9" s="4">
        <v>0</v>
      </c>
      <c r="P9" s="4">
        <v>1</v>
      </c>
      <c r="Q9" s="4">
        <v>1</v>
      </c>
      <c r="R9" s="4">
        <v>0</v>
      </c>
      <c r="S9" s="4">
        <v>2</v>
      </c>
      <c r="T9" s="4">
        <v>0</v>
      </c>
      <c r="U9" s="4">
        <v>0</v>
      </c>
      <c r="V9" s="4"/>
      <c r="W9" s="5">
        <v>0</v>
      </c>
      <c r="X9" s="4">
        <v>0</v>
      </c>
      <c r="Y9" s="4">
        <v>6</v>
      </c>
      <c r="Z9" s="4">
        <v>0</v>
      </c>
      <c r="AA9" s="4">
        <v>0</v>
      </c>
      <c r="AB9" s="4">
        <v>0</v>
      </c>
      <c r="AC9" s="8">
        <f t="shared" si="0"/>
        <v>0</v>
      </c>
      <c r="AD9" s="8"/>
      <c r="AE9" s="4"/>
    </row>
    <row r="10" spans="1:115" s="7" customFormat="1" ht="43.5" customHeight="1">
      <c r="A10" s="3">
        <v>1</v>
      </c>
      <c r="B10" s="18" t="s">
        <v>6</v>
      </c>
      <c r="C10" s="19" t="s">
        <v>21</v>
      </c>
      <c r="D10" s="4">
        <v>14</v>
      </c>
      <c r="E10" s="4">
        <v>20</v>
      </c>
      <c r="F10" s="4">
        <v>1</v>
      </c>
      <c r="G10" s="4">
        <v>4</v>
      </c>
      <c r="H10" s="4">
        <v>0</v>
      </c>
      <c r="I10" s="4">
        <v>2</v>
      </c>
      <c r="J10" s="4">
        <v>4</v>
      </c>
      <c r="K10" s="4">
        <v>0</v>
      </c>
      <c r="L10" s="4">
        <v>0</v>
      </c>
      <c r="M10" s="4">
        <v>5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1</v>
      </c>
      <c r="T10" s="4">
        <v>1</v>
      </c>
      <c r="U10" s="4">
        <v>0</v>
      </c>
      <c r="V10" s="4"/>
      <c r="W10" s="5">
        <v>0</v>
      </c>
      <c r="X10" s="4">
        <v>0</v>
      </c>
      <c r="Y10" s="4">
        <v>4</v>
      </c>
      <c r="Z10" s="4">
        <v>0</v>
      </c>
      <c r="AA10" s="4">
        <v>0</v>
      </c>
      <c r="AB10" s="4">
        <v>0</v>
      </c>
      <c r="AC10" s="6">
        <f t="shared" si="0"/>
        <v>0</v>
      </c>
      <c r="AD10" s="6"/>
      <c r="AE10" s="4"/>
    </row>
    <row r="11" spans="1:115" s="7" customFormat="1" ht="43.5" customHeight="1">
      <c r="A11" s="3">
        <v>1</v>
      </c>
      <c r="B11" s="18" t="s">
        <v>7</v>
      </c>
      <c r="C11" s="19" t="s">
        <v>22</v>
      </c>
      <c r="D11" s="9">
        <v>10</v>
      </c>
      <c r="E11" s="4">
        <v>2</v>
      </c>
      <c r="F11" s="4">
        <v>0</v>
      </c>
      <c r="G11" s="4">
        <v>0</v>
      </c>
      <c r="H11" s="4">
        <v>0</v>
      </c>
      <c r="I11" s="4">
        <v>2</v>
      </c>
      <c r="J11" s="4">
        <v>3</v>
      </c>
      <c r="K11" s="4">
        <v>1</v>
      </c>
      <c r="L11" s="4">
        <v>0</v>
      </c>
      <c r="M11" s="4">
        <v>6</v>
      </c>
      <c r="N11" s="4">
        <v>2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/>
      <c r="W11" s="5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6">
        <f t="shared" si="0"/>
        <v>0</v>
      </c>
      <c r="AD11" s="6"/>
      <c r="AE11" s="4"/>
    </row>
    <row r="12" spans="1:115" s="7" customFormat="1" ht="43.5" customHeight="1">
      <c r="A12" s="3">
        <v>1</v>
      </c>
      <c r="B12" s="18" t="s">
        <v>8</v>
      </c>
      <c r="C12" s="19" t="s">
        <v>23</v>
      </c>
      <c r="D12" s="4">
        <v>18</v>
      </c>
      <c r="E12" s="4">
        <v>0</v>
      </c>
      <c r="F12" s="4">
        <v>0</v>
      </c>
      <c r="G12" s="4">
        <v>2</v>
      </c>
      <c r="H12" s="4">
        <v>0</v>
      </c>
      <c r="I12" s="4">
        <v>2</v>
      </c>
      <c r="J12" s="4">
        <v>3</v>
      </c>
      <c r="K12" s="4">
        <v>0</v>
      </c>
      <c r="L12" s="4">
        <v>0</v>
      </c>
      <c r="M12" s="4">
        <v>8</v>
      </c>
      <c r="N12" s="4">
        <v>0</v>
      </c>
      <c r="O12" s="4">
        <v>0</v>
      </c>
      <c r="P12" s="4">
        <v>1</v>
      </c>
      <c r="Q12" s="4">
        <v>1</v>
      </c>
      <c r="R12" s="4">
        <v>0</v>
      </c>
      <c r="S12" s="4">
        <v>1</v>
      </c>
      <c r="T12" s="4">
        <v>0</v>
      </c>
      <c r="U12" s="4">
        <v>1</v>
      </c>
      <c r="V12" s="4"/>
      <c r="W12" s="5">
        <v>0</v>
      </c>
      <c r="X12" s="4">
        <v>0</v>
      </c>
      <c r="Y12" s="4">
        <v>5</v>
      </c>
      <c r="Z12" s="4">
        <v>0</v>
      </c>
      <c r="AA12" s="4">
        <v>0</v>
      </c>
      <c r="AB12" s="4">
        <v>0</v>
      </c>
      <c r="AC12" s="6">
        <f t="shared" si="0"/>
        <v>0</v>
      </c>
      <c r="AD12" s="6"/>
      <c r="AE12" s="4"/>
    </row>
    <row r="13" spans="1:115" s="7" customFormat="1" ht="46.5" customHeight="1">
      <c r="A13" s="3">
        <v>1</v>
      </c>
      <c r="B13" s="18" t="s">
        <v>9</v>
      </c>
      <c r="C13" s="19" t="s">
        <v>24</v>
      </c>
      <c r="D13" s="4">
        <v>25</v>
      </c>
      <c r="E13" s="4">
        <v>0</v>
      </c>
      <c r="F13" s="4">
        <v>1</v>
      </c>
      <c r="G13" s="4">
        <v>2</v>
      </c>
      <c r="H13" s="4">
        <v>0</v>
      </c>
      <c r="I13" s="4">
        <v>3</v>
      </c>
      <c r="J13" s="4">
        <v>4</v>
      </c>
      <c r="K13" s="4">
        <v>0</v>
      </c>
      <c r="L13" s="4">
        <v>0</v>
      </c>
      <c r="M13" s="4">
        <v>6</v>
      </c>
      <c r="N13" s="4">
        <v>3</v>
      </c>
      <c r="O13" s="4">
        <v>0</v>
      </c>
      <c r="P13" s="4">
        <v>1</v>
      </c>
      <c r="Q13" s="4">
        <v>1</v>
      </c>
      <c r="R13" s="4">
        <v>0</v>
      </c>
      <c r="S13" s="4">
        <v>1</v>
      </c>
      <c r="T13" s="4">
        <v>0</v>
      </c>
      <c r="U13" s="4">
        <v>1</v>
      </c>
      <c r="V13" s="4"/>
      <c r="W13" s="5">
        <v>20</v>
      </c>
      <c r="X13" s="4">
        <v>5</v>
      </c>
      <c r="Y13" s="4">
        <v>5</v>
      </c>
      <c r="Z13" s="4">
        <v>0</v>
      </c>
      <c r="AA13" s="4">
        <v>1</v>
      </c>
      <c r="AB13" s="4">
        <v>0</v>
      </c>
      <c r="AC13" s="6">
        <f t="shared" si="0"/>
        <v>0</v>
      </c>
      <c r="AD13" s="6"/>
      <c r="AE13" s="4"/>
    </row>
    <row r="14" spans="1:115" s="7" customFormat="1" ht="43.5" customHeight="1">
      <c r="A14" s="3">
        <v>1</v>
      </c>
      <c r="B14" s="18" t="s">
        <v>10</v>
      </c>
      <c r="C14" s="19" t="s">
        <v>25</v>
      </c>
      <c r="D14" s="4">
        <v>8</v>
      </c>
      <c r="E14" s="4">
        <v>3</v>
      </c>
      <c r="F14" s="4">
        <v>0</v>
      </c>
      <c r="G14" s="4">
        <v>0</v>
      </c>
      <c r="H14" s="4">
        <v>0</v>
      </c>
      <c r="I14" s="4">
        <v>2</v>
      </c>
      <c r="J14" s="4">
        <v>4</v>
      </c>
      <c r="K14" s="4">
        <v>0</v>
      </c>
      <c r="L14" s="4">
        <v>0</v>
      </c>
      <c r="M14" s="4">
        <v>6</v>
      </c>
      <c r="N14" s="4">
        <v>1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1</v>
      </c>
      <c r="V14" s="4"/>
      <c r="W14" s="5">
        <v>0</v>
      </c>
      <c r="X14" s="4">
        <v>2</v>
      </c>
      <c r="Y14" s="4">
        <v>5</v>
      </c>
      <c r="Z14" s="4">
        <v>0</v>
      </c>
      <c r="AA14" s="4">
        <v>0</v>
      </c>
      <c r="AB14" s="4">
        <v>0</v>
      </c>
      <c r="AC14" s="6">
        <f t="shared" si="0"/>
        <v>0</v>
      </c>
      <c r="AD14" s="6"/>
      <c r="AE14" s="4"/>
    </row>
    <row r="15" spans="1:115" s="7" customFormat="1" ht="43.5" customHeight="1" thickBot="1">
      <c r="A15" s="3">
        <v>1</v>
      </c>
      <c r="B15" s="18" t="s">
        <v>11</v>
      </c>
      <c r="C15" s="19" t="s">
        <v>26</v>
      </c>
      <c r="D15" s="4">
        <v>12</v>
      </c>
      <c r="E15" s="4">
        <v>3</v>
      </c>
      <c r="F15" s="4">
        <v>0</v>
      </c>
      <c r="G15" s="4">
        <v>1</v>
      </c>
      <c r="H15" s="4">
        <v>0</v>
      </c>
      <c r="I15" s="4">
        <v>2</v>
      </c>
      <c r="J15" s="4">
        <v>2</v>
      </c>
      <c r="K15" s="4">
        <v>0</v>
      </c>
      <c r="L15" s="4">
        <v>0</v>
      </c>
      <c r="M15" s="4">
        <v>5</v>
      </c>
      <c r="N15" s="4">
        <v>1</v>
      </c>
      <c r="O15" s="4">
        <v>0</v>
      </c>
      <c r="P15" s="4">
        <v>0</v>
      </c>
      <c r="Q15" s="4">
        <v>0</v>
      </c>
      <c r="R15" s="4">
        <v>0</v>
      </c>
      <c r="S15" s="4">
        <v>1</v>
      </c>
      <c r="T15" s="4">
        <v>0</v>
      </c>
      <c r="U15" s="4">
        <v>0</v>
      </c>
      <c r="V15" s="4"/>
      <c r="W15" s="5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6">
        <f t="shared" si="0"/>
        <v>0</v>
      </c>
      <c r="AD15" s="16"/>
      <c r="AE15" s="10"/>
    </row>
    <row r="16" spans="1:115" s="7" customFormat="1" ht="43.5" customHeight="1" thickTop="1">
      <c r="A16" s="3">
        <v>1</v>
      </c>
      <c r="B16" s="18" t="s">
        <v>12</v>
      </c>
      <c r="C16" s="19" t="s">
        <v>27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5"/>
      <c r="X16" s="4"/>
      <c r="Y16" s="4"/>
      <c r="Z16" s="4"/>
      <c r="AA16" s="4"/>
      <c r="AB16" s="4"/>
      <c r="AC16" s="6">
        <f t="shared" si="0"/>
        <v>0</v>
      </c>
      <c r="AD16" s="6"/>
      <c r="AE16" s="4"/>
    </row>
    <row r="17" spans="1:31" s="7" customFormat="1" ht="43.5" customHeight="1">
      <c r="A17" s="3">
        <v>1</v>
      </c>
      <c r="B17" s="18" t="s">
        <v>13</v>
      </c>
      <c r="C17" s="19" t="s">
        <v>28</v>
      </c>
      <c r="D17" s="4">
        <v>10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4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/>
      <c r="W17" s="5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6">
        <f t="shared" si="0"/>
        <v>0</v>
      </c>
      <c r="AD17" s="6"/>
      <c r="AE17" s="4"/>
    </row>
    <row r="18" spans="1:31" s="7" customFormat="1" ht="43.5" customHeight="1">
      <c r="A18" s="3">
        <v>1</v>
      </c>
      <c r="B18" s="18" t="s">
        <v>14</v>
      </c>
      <c r="C18" s="19" t="s">
        <v>29</v>
      </c>
      <c r="D18" s="4">
        <v>25</v>
      </c>
      <c r="E18" s="4">
        <v>0</v>
      </c>
      <c r="F18" s="4">
        <v>0</v>
      </c>
      <c r="G18" s="4">
        <v>1</v>
      </c>
      <c r="H18" s="4">
        <v>0</v>
      </c>
      <c r="I18" s="4">
        <v>1</v>
      </c>
      <c r="J18" s="4">
        <v>5</v>
      </c>
      <c r="K18" s="4">
        <v>3</v>
      </c>
      <c r="L18" s="4">
        <v>0</v>
      </c>
      <c r="M18" s="4">
        <v>5</v>
      </c>
      <c r="N18" s="4">
        <v>0</v>
      </c>
      <c r="O18" s="4">
        <v>0</v>
      </c>
      <c r="P18" s="4">
        <v>1</v>
      </c>
      <c r="Q18" s="4">
        <v>0</v>
      </c>
      <c r="R18" s="4">
        <v>0</v>
      </c>
      <c r="S18" s="4">
        <v>1</v>
      </c>
      <c r="T18" s="4">
        <v>0</v>
      </c>
      <c r="U18" s="4">
        <v>1</v>
      </c>
      <c r="V18" s="4"/>
      <c r="W18" s="5">
        <v>0</v>
      </c>
      <c r="X18" s="4">
        <v>5</v>
      </c>
      <c r="Y18" s="4">
        <v>10</v>
      </c>
      <c r="Z18" s="4">
        <v>0</v>
      </c>
      <c r="AA18" s="4">
        <v>0</v>
      </c>
      <c r="AB18" s="4">
        <v>0</v>
      </c>
      <c r="AC18" s="6">
        <f t="shared" si="0"/>
        <v>0</v>
      </c>
      <c r="AD18" s="6"/>
      <c r="AE18" s="4"/>
    </row>
    <row r="19" spans="1:31" s="7" customFormat="1" ht="43.5" customHeight="1">
      <c r="A19" s="3">
        <v>1</v>
      </c>
      <c r="B19" s="18" t="s">
        <v>15</v>
      </c>
      <c r="C19" s="19" t="s">
        <v>30</v>
      </c>
      <c r="D19" s="4">
        <v>8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</v>
      </c>
      <c r="K19" s="4">
        <v>1</v>
      </c>
      <c r="L19" s="4">
        <v>0</v>
      </c>
      <c r="M19" s="4">
        <v>4</v>
      </c>
      <c r="N19" s="4">
        <v>1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/>
      <c r="W19" s="5">
        <v>0</v>
      </c>
      <c r="X19" s="4">
        <v>0</v>
      </c>
      <c r="Y19" s="4">
        <v>1</v>
      </c>
      <c r="Z19" s="4">
        <v>0</v>
      </c>
      <c r="AA19" s="4">
        <v>0</v>
      </c>
      <c r="AB19" s="4">
        <v>0</v>
      </c>
      <c r="AC19" s="6">
        <f t="shared" si="0"/>
        <v>0</v>
      </c>
      <c r="AD19" s="6"/>
      <c r="AE19" s="4"/>
    </row>
    <row r="20" spans="1:31" s="1" customFormat="1" ht="19.5">
      <c r="A20" s="2"/>
      <c r="B20" s="11" t="s">
        <v>62</v>
      </c>
      <c r="C20" s="12">
        <f>COUNTIF(AC5:AC17,"&lt;&gt;0")</f>
        <v>0</v>
      </c>
      <c r="D20" s="13">
        <f t="shared" ref="D20:AB20" si="1">SUM(D5:D19)</f>
        <v>176</v>
      </c>
      <c r="E20" s="13">
        <f t="shared" si="1"/>
        <v>36</v>
      </c>
      <c r="F20" s="13">
        <f t="shared" si="1"/>
        <v>3</v>
      </c>
      <c r="G20" s="13">
        <f t="shared" si="1"/>
        <v>13</v>
      </c>
      <c r="H20" s="13">
        <f t="shared" si="1"/>
        <v>0</v>
      </c>
      <c r="I20" s="13">
        <f t="shared" si="1"/>
        <v>17</v>
      </c>
      <c r="J20" s="13">
        <f t="shared" si="1"/>
        <v>36</v>
      </c>
      <c r="K20" s="13">
        <f t="shared" si="1"/>
        <v>5</v>
      </c>
      <c r="L20" s="13">
        <f t="shared" si="1"/>
        <v>0</v>
      </c>
      <c r="M20" s="13">
        <f t="shared" si="1"/>
        <v>80</v>
      </c>
      <c r="N20" s="13">
        <f t="shared" si="1"/>
        <v>9</v>
      </c>
      <c r="O20" s="13">
        <f t="shared" si="1"/>
        <v>0</v>
      </c>
      <c r="P20" s="13">
        <f t="shared" si="1"/>
        <v>4</v>
      </c>
      <c r="Q20" s="13">
        <f t="shared" si="1"/>
        <v>4</v>
      </c>
      <c r="R20" s="13">
        <f t="shared" si="1"/>
        <v>0</v>
      </c>
      <c r="S20" s="13">
        <f t="shared" si="1"/>
        <v>9</v>
      </c>
      <c r="T20" s="13">
        <f t="shared" si="1"/>
        <v>1</v>
      </c>
      <c r="U20" s="13">
        <f t="shared" si="1"/>
        <v>5</v>
      </c>
      <c r="V20" s="13">
        <f t="shared" si="1"/>
        <v>0</v>
      </c>
      <c r="W20" s="14">
        <f t="shared" si="1"/>
        <v>20</v>
      </c>
      <c r="X20" s="13">
        <f t="shared" si="1"/>
        <v>14</v>
      </c>
      <c r="Y20" s="13">
        <f t="shared" si="1"/>
        <v>43</v>
      </c>
      <c r="Z20" s="13">
        <f t="shared" si="1"/>
        <v>0</v>
      </c>
      <c r="AA20" s="13">
        <f t="shared" si="1"/>
        <v>1</v>
      </c>
      <c r="AB20" s="13">
        <f t="shared" si="1"/>
        <v>0</v>
      </c>
      <c r="AC20" s="6">
        <f t="shared" si="0"/>
        <v>0</v>
      </c>
      <c r="AD20" s="17"/>
      <c r="AE20" s="15"/>
    </row>
  </sheetData>
  <conditionalFormatting sqref="B3:B4">
    <cfRule type="duplicateValues" dxfId="66" priority="34"/>
  </conditionalFormatting>
  <conditionalFormatting sqref="B20">
    <cfRule type="duplicateValues" dxfId="65" priority="95"/>
  </conditionalFormatting>
  <conditionalFormatting sqref="C3:C4">
    <cfRule type="duplicateValues" dxfId="64" priority="37"/>
    <cfRule type="duplicateValues" dxfId="63" priority="38"/>
    <cfRule type="duplicateValues" dxfId="62" priority="39" stopIfTrue="1"/>
  </conditionalFormatting>
  <conditionalFormatting sqref="C20">
    <cfRule type="duplicateValues" dxfId="61" priority="98"/>
    <cfRule type="duplicateValues" dxfId="60" priority="99"/>
    <cfRule type="duplicateValues" dxfId="59" priority="100" stopIfTrue="1"/>
  </conditionalFormatting>
  <conditionalFormatting sqref="D3">
    <cfRule type="duplicateValues" dxfId="58" priority="31" stopIfTrue="1"/>
    <cfRule type="duplicateValues" dxfId="57" priority="32"/>
    <cfRule type="duplicateValues" dxfId="56" priority="33"/>
  </conditionalFormatting>
  <conditionalFormatting sqref="D4">
    <cfRule type="duplicateValues" dxfId="55" priority="93"/>
    <cfRule type="duplicateValues" dxfId="54" priority="94"/>
  </conditionalFormatting>
  <conditionalFormatting sqref="E3">
    <cfRule type="duplicateValues" dxfId="53" priority="28" stopIfTrue="1"/>
    <cfRule type="duplicateValues" dxfId="52" priority="29"/>
    <cfRule type="duplicateValues" dxfId="51" priority="30"/>
  </conditionalFormatting>
  <conditionalFormatting sqref="E4">
    <cfRule type="duplicateValues" dxfId="50" priority="91"/>
    <cfRule type="duplicateValues" dxfId="49" priority="92"/>
  </conditionalFormatting>
  <conditionalFormatting sqref="F3">
    <cfRule type="duplicateValues" dxfId="48" priority="1"/>
    <cfRule type="duplicateValues" dxfId="47" priority="2"/>
    <cfRule type="duplicateValues" dxfId="46" priority="3" stopIfTrue="1"/>
    <cfRule type="duplicateValues" dxfId="45" priority="4"/>
    <cfRule type="duplicateValues" dxfId="44" priority="5"/>
    <cfRule type="duplicateValues" dxfId="43" priority="6" stopIfTrue="1"/>
    <cfRule type="duplicateValues" dxfId="42" priority="7"/>
    <cfRule type="duplicateValues" dxfId="41" priority="8"/>
    <cfRule type="duplicateValues" dxfId="40" priority="9" stopIfTrue="1"/>
    <cfRule type="duplicateValues" dxfId="39" priority="10" stopIfTrue="1"/>
    <cfRule type="duplicateValues" dxfId="38" priority="11"/>
    <cfRule type="duplicateValues" dxfId="37" priority="12"/>
    <cfRule type="duplicateValues" dxfId="36" priority="13"/>
    <cfRule type="duplicateValues" dxfId="35" priority="14"/>
    <cfRule type="duplicateValues" dxfId="34" priority="15" stopIfTrue="1"/>
    <cfRule type="duplicateValues" dxfId="33" priority="16" stopIfTrue="1"/>
    <cfRule type="duplicateValues" dxfId="32" priority="17"/>
    <cfRule type="duplicateValues" dxfId="31" priority="18"/>
    <cfRule type="duplicateValues" dxfId="30" priority="19" stopIfTrue="1"/>
    <cfRule type="duplicateValues" dxfId="29" priority="20"/>
    <cfRule type="duplicateValues" dxfId="28" priority="21"/>
    <cfRule type="duplicateValues" dxfId="27" priority="22"/>
    <cfRule type="duplicateValues" dxfId="26" priority="23"/>
    <cfRule type="duplicateValues" dxfId="25" priority="24" stopIfTrue="1"/>
    <cfRule type="duplicateValues" dxfId="24" priority="25" stopIfTrue="1"/>
    <cfRule type="duplicateValues" dxfId="23" priority="26"/>
    <cfRule type="duplicateValues" dxfId="22" priority="27"/>
  </conditionalFormatting>
  <conditionalFormatting sqref="F4">
    <cfRule type="duplicateValues" dxfId="21" priority="73"/>
    <cfRule type="duplicateValues" dxfId="20" priority="74"/>
    <cfRule type="duplicateValues" dxfId="19" priority="75" stopIfTrue="1"/>
    <cfRule type="duplicateValues" dxfId="18" priority="76"/>
    <cfRule type="duplicateValues" dxfId="17" priority="77"/>
    <cfRule type="duplicateValues" dxfId="16" priority="78" stopIfTrue="1"/>
    <cfRule type="duplicateValues" dxfId="15" priority="79"/>
    <cfRule type="duplicateValues" dxfId="14" priority="80"/>
    <cfRule type="duplicateValues" dxfId="13" priority="81" stopIfTrue="1"/>
    <cfRule type="duplicateValues" dxfId="12" priority="82"/>
    <cfRule type="duplicateValues" dxfId="11" priority="83"/>
    <cfRule type="duplicateValues" dxfId="10" priority="84"/>
    <cfRule type="duplicateValues" dxfId="9" priority="85" stopIfTrue="1"/>
    <cfRule type="duplicateValues" dxfId="8" priority="86" stopIfTrue="1"/>
    <cfRule type="duplicateValues" dxfId="7" priority="87"/>
    <cfRule type="duplicateValues" dxfId="6" priority="88"/>
    <cfRule type="duplicateValues" dxfId="5" priority="89"/>
    <cfRule type="duplicateValues" dxfId="4" priority="90"/>
  </conditionalFormatting>
  <conditionalFormatting sqref="G3:AB3">
    <cfRule type="duplicateValues" dxfId="3" priority="35"/>
    <cfRule type="duplicateValues" dxfId="2" priority="36"/>
  </conditionalFormatting>
  <conditionalFormatting sqref="G4:AB4">
    <cfRule type="duplicateValues" dxfId="1" priority="96"/>
    <cfRule type="duplicateValues" dxfId="0" priority="9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tuyetpt</dc:creator>
  <cp:lastModifiedBy>hoangvanbon hoangvanbon</cp:lastModifiedBy>
  <dcterms:created xsi:type="dcterms:W3CDTF">2024-01-27T01:14:50Z</dcterms:created>
  <dcterms:modified xsi:type="dcterms:W3CDTF">2024-02-23T06:53:53Z</dcterms:modified>
</cp:coreProperties>
</file>