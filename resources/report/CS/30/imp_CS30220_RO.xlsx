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dev\resources\report\CS\30\"/>
    </mc:Choice>
  </mc:AlternateContent>
  <bookViews>
    <workbookView xWindow="0" yWindow="0" windowWidth="28800" windowHeight="13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1" l="1"/>
  <c r="X4" i="1" s="1"/>
  <c r="V4" i="1"/>
  <c r="AD4" i="1" s="1"/>
  <c r="W3" i="1"/>
  <c r="X3" i="1" s="1"/>
  <c r="V3" i="1"/>
  <c r="AC3" i="1" s="1"/>
  <c r="AD3" i="1" l="1"/>
  <c r="AC4" i="1"/>
</calcChain>
</file>

<file path=xl/sharedStrings.xml><?xml version="1.0" encoding="utf-8"?>
<sst xmlns="http://schemas.openxmlformats.org/spreadsheetml/2006/main" count="125" uniqueCount="82">
  <si>
    <t>PHẢI CÓ</t>
  </si>
  <si>
    <t>ĐỐI CHIẾU LẠI, NẾU SAI PHẢI BÁO</t>
  </si>
  <si>
    <t>CÓ THÌ GHI NHẬN, KHÔNG THÌ THÔI</t>
  </si>
  <si>
    <t>Sales Doc.</t>
  </si>
  <si>
    <t>Sold-To Pt</t>
  </si>
  <si>
    <t>Sold-to party Name</t>
  </si>
  <si>
    <t>Ship-to pa</t>
  </si>
  <si>
    <t>Ship-to party Name</t>
  </si>
  <si>
    <t>Key Custom</t>
  </si>
  <si>
    <t>Item</t>
  </si>
  <si>
    <t>DATE</t>
  </si>
  <si>
    <t>Consignor ID</t>
  </si>
  <si>
    <t>Truck/cont No</t>
  </si>
  <si>
    <t>Material</t>
  </si>
  <si>
    <t>Description</t>
  </si>
  <si>
    <t>EXPIRED DATE</t>
  </si>
  <si>
    <t>MANUFACTURE DATE</t>
  </si>
  <si>
    <t>REMARK</t>
  </si>
  <si>
    <t>Plnt</t>
  </si>
  <si>
    <t>SLoc</t>
  </si>
  <si>
    <t xml:space="preserve"> Order Qty</t>
  </si>
  <si>
    <t>Old confir</t>
  </si>
  <si>
    <t>Cum.cf.qty</t>
  </si>
  <si>
    <t>Plan</t>
  </si>
  <si>
    <t>OOS</t>
  </si>
  <si>
    <t>Reservation</t>
  </si>
  <si>
    <t>OvCS</t>
  </si>
  <si>
    <t>UoM</t>
  </si>
  <si>
    <t>Difference</t>
  </si>
  <si>
    <t>Reason Des</t>
  </si>
  <si>
    <t>Gross (by kg)</t>
  </si>
  <si>
    <t>Net value</t>
  </si>
  <si>
    <t>Available</t>
  </si>
  <si>
    <t>Gross Weig</t>
  </si>
  <si>
    <t>Net Weight</t>
  </si>
  <si>
    <t>On</t>
  </si>
  <si>
    <t>Old Goods</t>
  </si>
  <si>
    <t>Old Schedu</t>
  </si>
  <si>
    <t>BOP date</t>
  </si>
  <si>
    <t>BOP name</t>
  </si>
  <si>
    <t>BOP User</t>
  </si>
  <si>
    <t>SOrg.</t>
  </si>
  <si>
    <t>SaTy</t>
  </si>
  <si>
    <t>Time</t>
  </si>
  <si>
    <t>SU</t>
  </si>
  <si>
    <t>BUn</t>
  </si>
  <si>
    <t>DPrio</t>
  </si>
  <si>
    <t>PO Number</t>
  </si>
  <si>
    <t>Prod. Hierarchy</t>
  </si>
  <si>
    <t>ItCa</t>
  </si>
  <si>
    <t>Mat.Av.Dt.</t>
  </si>
  <si>
    <t>GI Date</t>
  </si>
  <si>
    <t>Net price</t>
  </si>
  <si>
    <t>Curr.</t>
  </si>
  <si>
    <t>Dlv.Date</t>
  </si>
  <si>
    <t>Reason</t>
  </si>
  <si>
    <t>Before Bop</t>
  </si>
  <si>
    <t>After Bop</t>
  </si>
  <si>
    <t>CONG TY CO PHAN DICH VU THUONG MAI</t>
  </si>
  <si>
    <t>WM+ HDG QUAN TRANH, NINH GIANG - 60</t>
  </si>
  <si>
    <t>WINMART PLUS</t>
  </si>
  <si>
    <t>2022-09-06</t>
  </si>
  <si>
    <t>A-01</t>
  </si>
  <si>
    <t>50H-14427</t>
  </si>
  <si>
    <t>WALLS KEM SLT STRWCHS RE116 6X750ML/450G</t>
  </si>
  <si>
    <t>French Bread</t>
  </si>
  <si>
    <t>V106</t>
  </si>
  <si>
    <t>V001</t>
  </si>
  <si>
    <t>D</t>
  </si>
  <si>
    <t>CS</t>
  </si>
  <si>
    <t>19.08.2022</t>
  </si>
  <si>
    <t>22.08.2022</t>
  </si>
  <si>
    <t>20.08.2022</t>
  </si>
  <si>
    <t>VN0092001</t>
  </si>
  <si>
    <t>TUANANH_N500</t>
  </si>
  <si>
    <t>ZTA</t>
  </si>
  <si>
    <t>3E1162687L6100828</t>
  </si>
  <si>
    <t>ZTAN</t>
  </si>
  <si>
    <t>VND</t>
  </si>
  <si>
    <t>VIN PLUS</t>
  </si>
  <si>
    <t>KEM MINI CORNETTO SOCOLA&amp;VANI 6X12X28ML</t>
  </si>
  <si>
    <t>3E1162018L312A311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</si>
</sst>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14" fontId="0" fillId="0" borderId="0" xfId="0" quotePrefix="1" applyNumberFormat="1"/>
    <xf numFmtId="0" fontId="3" fillId="0" borderId="0" xfId="0" applyFont="1"/>
    <xf numFmtId="43" fontId="3" fillId="0" borderId="0" xfId="1" applyFont="1"/>
    <xf numFmtId="3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"/>
  <sheetViews>
    <sheetView tabSelected="1" workbookViewId="0">
      <selection activeCell="I4" sqref="I4"/>
    </sheetView>
  </sheetViews>
  <sheetFormatPr defaultColWidth="10.7109375" defaultRowHeight="15" x14ac:dyDescent="0.25"/>
  <cols>
    <col min="1" max="1" width="11" bestFit="1" customWidth="1"/>
    <col min="2" max="2" width="10" bestFit="1" customWidth="1"/>
    <col min="3" max="3" width="38.140625" bestFit="1" customWidth="1"/>
    <col min="4" max="4" width="10" bestFit="1" customWidth="1"/>
    <col min="5" max="5" width="38.85546875" bestFit="1" customWidth="1"/>
    <col min="6" max="6" width="11.42578125" bestFit="1" customWidth="1"/>
    <col min="7" max="7" width="14.85546875" bestFit="1" customWidth="1"/>
    <col min="8" max="8" width="5.140625" bestFit="1" customWidth="1"/>
    <col min="9" max="9" width="10.42578125" bestFit="1" customWidth="1"/>
    <col min="10" max="10" width="12.140625" bestFit="1" customWidth="1"/>
    <col min="11" max="11" width="13.5703125" bestFit="1" customWidth="1"/>
    <col min="12" max="12" width="9" bestFit="1" customWidth="1"/>
    <col min="13" max="13" width="44.5703125" bestFit="1" customWidth="1"/>
    <col min="14" max="14" width="30.85546875" bestFit="1" customWidth="1"/>
    <col min="15" max="16" width="32.5703125" bestFit="1" customWidth="1"/>
    <col min="17" max="18" width="5.28515625" bestFit="1" customWidth="1"/>
    <col min="19" max="19" width="10.140625" bestFit="1" customWidth="1"/>
    <col min="20" max="20" width="9.7109375" bestFit="1" customWidth="1"/>
    <col min="21" max="21" width="10.5703125" bestFit="1" customWidth="1"/>
    <col min="22" max="23" width="4.85546875" bestFit="1" customWidth="1"/>
    <col min="24" max="24" width="11.5703125" bestFit="1" customWidth="1"/>
    <col min="25" max="25" width="5.5703125" bestFit="1" customWidth="1"/>
    <col min="26" max="26" width="5.42578125" bestFit="1" customWidth="1"/>
    <col min="27" max="27" width="10.42578125" bestFit="1" customWidth="1"/>
    <col min="28" max="28" width="11.140625" bestFit="1" customWidth="1"/>
    <col min="29" max="29" width="12.42578125" bestFit="1" customWidth="1"/>
    <col min="30" max="30" width="9.5703125" bestFit="1" customWidth="1"/>
    <col min="31" max="31" width="9.28515625" bestFit="1" customWidth="1"/>
    <col min="32" max="32" width="11.140625" bestFit="1" customWidth="1"/>
    <col min="33" max="33" width="11.28515625" bestFit="1" customWidth="1"/>
    <col min="34" max="34" width="10.140625" bestFit="1" customWidth="1"/>
    <col min="35" max="35" width="10.28515625" bestFit="1" customWidth="1"/>
    <col min="36" max="36" width="11" bestFit="1" customWidth="1"/>
    <col min="37" max="37" width="10.140625" bestFit="1" customWidth="1"/>
    <col min="39" max="39" width="15.5703125" bestFit="1" customWidth="1"/>
    <col min="40" max="40" width="5.7109375" bestFit="1" customWidth="1"/>
    <col min="41" max="41" width="5" bestFit="1" customWidth="1"/>
    <col min="42" max="42" width="8.140625" bestFit="1" customWidth="1"/>
    <col min="43" max="43" width="3.42578125" bestFit="1" customWidth="1"/>
    <col min="44" max="44" width="4.7109375" bestFit="1" customWidth="1"/>
    <col min="45" max="45" width="5.85546875" bestFit="1" customWidth="1"/>
    <col min="46" max="46" width="11.28515625" bestFit="1" customWidth="1"/>
    <col min="47" max="47" width="18.42578125" bestFit="1" customWidth="1"/>
    <col min="48" max="48" width="5.7109375" bestFit="1" customWidth="1"/>
    <col min="49" max="49" width="10.5703125" bestFit="1" customWidth="1"/>
    <col min="50" max="50" width="10.140625" bestFit="1" customWidth="1"/>
    <col min="51" max="51" width="9.140625" bestFit="1" customWidth="1"/>
    <col min="52" max="52" width="5.28515625" bestFit="1" customWidth="1"/>
    <col min="53" max="54" width="11.42578125" bestFit="1" customWidth="1"/>
    <col min="55" max="55" width="10.140625" bestFit="1" customWidth="1"/>
    <col min="56" max="56" width="7.42578125" bestFit="1" customWidth="1"/>
    <col min="57" max="57" width="10.85546875" bestFit="1" customWidth="1"/>
    <col min="58" max="58" width="9.42578125" bestFit="1" customWidth="1"/>
  </cols>
  <sheetData>
    <row r="1" spans="1:58" x14ac:dyDescent="0.25">
      <c r="I1" t="s">
        <v>0</v>
      </c>
      <c r="J1" t="s">
        <v>0</v>
      </c>
      <c r="K1" t="s">
        <v>0</v>
      </c>
      <c r="L1" t="s">
        <v>0</v>
      </c>
      <c r="M1" t="s">
        <v>1</v>
      </c>
      <c r="N1" t="s">
        <v>1</v>
      </c>
      <c r="O1" t="s">
        <v>2</v>
      </c>
      <c r="P1" t="s">
        <v>2</v>
      </c>
      <c r="U1" t="s">
        <v>0</v>
      </c>
    </row>
    <row r="2" spans="1:58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8</v>
      </c>
      <c r="BB2" s="1" t="s">
        <v>8</v>
      </c>
      <c r="BC2" s="1" t="s">
        <v>54</v>
      </c>
      <c r="BD2" s="1" t="s">
        <v>55</v>
      </c>
      <c r="BE2" s="1" t="s">
        <v>56</v>
      </c>
      <c r="BF2" s="1" t="s">
        <v>57</v>
      </c>
    </row>
    <row r="3" spans="1:58" x14ac:dyDescent="0.25">
      <c r="A3">
        <v>1701730650</v>
      </c>
      <c r="B3">
        <v>15488138</v>
      </c>
      <c r="C3" t="s">
        <v>58</v>
      </c>
      <c r="D3">
        <v>15616055</v>
      </c>
      <c r="E3" t="s">
        <v>59</v>
      </c>
      <c r="F3">
        <v>205272</v>
      </c>
      <c r="G3" t="s">
        <v>60</v>
      </c>
      <c r="H3">
        <v>10</v>
      </c>
      <c r="I3" s="2" t="s">
        <v>61</v>
      </c>
      <c r="J3" t="s">
        <v>62</v>
      </c>
      <c r="K3" t="s">
        <v>63</v>
      </c>
      <c r="L3">
        <v>67115038</v>
      </c>
      <c r="M3" t="s">
        <v>64</v>
      </c>
      <c r="P3" t="s">
        <v>65</v>
      </c>
      <c r="Q3" t="s">
        <v>66</v>
      </c>
      <c r="R3" t="s">
        <v>67</v>
      </c>
      <c r="S3">
        <v>1</v>
      </c>
      <c r="T3">
        <v>0</v>
      </c>
      <c r="U3">
        <v>1</v>
      </c>
      <c r="V3" s="3">
        <f t="shared" ref="V3:V4" si="0">U3-T3</f>
        <v>1</v>
      </c>
      <c r="W3" s="3">
        <f t="shared" ref="W3:W4" si="1">S3-U3</f>
        <v>0</v>
      </c>
      <c r="X3" s="3">
        <f t="shared" ref="X3:X4" si="2">S3-U3-W3</f>
        <v>0</v>
      </c>
      <c r="Y3" t="s">
        <v>68</v>
      </c>
      <c r="Z3" t="s">
        <v>69</v>
      </c>
      <c r="AC3" s="4">
        <f t="shared" ref="AC3:AC4" si="3">V3*AF3</f>
        <v>3.12</v>
      </c>
      <c r="AD3" s="4">
        <f t="shared" ref="AD3:AD4" si="4">V3*AY3/10^6</f>
        <v>0</v>
      </c>
      <c r="AE3" s="5">
        <v>4491</v>
      </c>
      <c r="AF3">
        <v>3.12</v>
      </c>
      <c r="AG3">
        <v>2.7</v>
      </c>
      <c r="AH3" t="s">
        <v>70</v>
      </c>
      <c r="AI3" t="s">
        <v>71</v>
      </c>
      <c r="AJ3" t="s">
        <v>71</v>
      </c>
      <c r="AK3" t="s">
        <v>72</v>
      </c>
      <c r="AL3" t="s">
        <v>73</v>
      </c>
      <c r="AM3" t="s">
        <v>74</v>
      </c>
      <c r="AN3" t="s">
        <v>67</v>
      </c>
      <c r="AO3" t="s">
        <v>75</v>
      </c>
      <c r="AP3" s="6">
        <v>0.43121527777777779</v>
      </c>
      <c r="AQ3" t="s">
        <v>69</v>
      </c>
      <c r="AR3" t="s">
        <v>69</v>
      </c>
      <c r="AS3">
        <v>30</v>
      </c>
      <c r="AT3">
        <v>4141201189</v>
      </c>
      <c r="AU3" s="7" t="s">
        <v>76</v>
      </c>
      <c r="AV3" t="s">
        <v>77</v>
      </c>
      <c r="AW3" t="s">
        <v>71</v>
      </c>
      <c r="AX3" t="s">
        <v>71</v>
      </c>
      <c r="AY3" s="5"/>
      <c r="AZ3" t="s">
        <v>78</v>
      </c>
      <c r="BA3">
        <v>317613</v>
      </c>
      <c r="BB3" t="s">
        <v>79</v>
      </c>
      <c r="BC3" t="s">
        <v>71</v>
      </c>
      <c r="BE3">
        <v>0</v>
      </c>
      <c r="BF3">
        <v>0</v>
      </c>
    </row>
    <row r="4" spans="1:58" x14ac:dyDescent="0.25">
      <c r="A4">
        <v>1701730650</v>
      </c>
      <c r="B4">
        <v>15488138</v>
      </c>
      <c r="C4" t="s">
        <v>58</v>
      </c>
      <c r="D4">
        <v>15616055</v>
      </c>
      <c r="E4" t="s">
        <v>59</v>
      </c>
      <c r="F4">
        <v>205272</v>
      </c>
      <c r="G4" t="s">
        <v>60</v>
      </c>
      <c r="H4">
        <v>20</v>
      </c>
      <c r="I4" s="2" t="s">
        <v>61</v>
      </c>
      <c r="J4" t="s">
        <v>62</v>
      </c>
      <c r="K4" t="s">
        <v>63</v>
      </c>
      <c r="L4">
        <v>68837303</v>
      </c>
      <c r="M4" t="s">
        <v>80</v>
      </c>
      <c r="P4" t="s">
        <v>65</v>
      </c>
      <c r="Q4" t="s">
        <v>66</v>
      </c>
      <c r="R4" t="s">
        <v>67</v>
      </c>
      <c r="S4">
        <v>1</v>
      </c>
      <c r="T4">
        <v>0</v>
      </c>
      <c r="U4">
        <v>1</v>
      </c>
      <c r="V4" s="3">
        <f t="shared" si="0"/>
        <v>1</v>
      </c>
      <c r="W4" s="3">
        <f t="shared" si="1"/>
        <v>0</v>
      </c>
      <c r="X4" s="3">
        <f t="shared" si="2"/>
        <v>0</v>
      </c>
      <c r="Y4" t="s">
        <v>68</v>
      </c>
      <c r="Z4" t="s">
        <v>69</v>
      </c>
      <c r="AC4" s="4">
        <f t="shared" si="3"/>
        <v>2.0990000000000002</v>
      </c>
      <c r="AD4" s="4">
        <f t="shared" si="4"/>
        <v>0</v>
      </c>
      <c r="AE4" s="5">
        <v>6317</v>
      </c>
      <c r="AF4">
        <v>2.0990000000000002</v>
      </c>
      <c r="AG4">
        <v>1.296</v>
      </c>
      <c r="AH4" t="s">
        <v>70</v>
      </c>
      <c r="AI4" t="s">
        <v>71</v>
      </c>
      <c r="AJ4" t="s">
        <v>71</v>
      </c>
      <c r="AK4" t="s">
        <v>72</v>
      </c>
      <c r="AL4" t="s">
        <v>73</v>
      </c>
      <c r="AM4" t="s">
        <v>74</v>
      </c>
      <c r="AN4" t="s">
        <v>67</v>
      </c>
      <c r="AO4" t="s">
        <v>75</v>
      </c>
      <c r="AP4" s="6">
        <v>0.43121527777777779</v>
      </c>
      <c r="AQ4" t="s">
        <v>69</v>
      </c>
      <c r="AR4" t="s">
        <v>69</v>
      </c>
      <c r="AS4">
        <v>30</v>
      </c>
      <c r="AT4">
        <v>4141201189</v>
      </c>
      <c r="AU4" s="7" t="s">
        <v>81</v>
      </c>
      <c r="AV4" t="s">
        <v>77</v>
      </c>
      <c r="AW4" t="s">
        <v>71</v>
      </c>
      <c r="AX4" t="s">
        <v>71</v>
      </c>
      <c r="AY4" s="5"/>
      <c r="AZ4" t="s">
        <v>78</v>
      </c>
      <c r="BA4">
        <v>317613</v>
      </c>
      <c r="BB4" t="s">
        <v>79</v>
      </c>
      <c r="BC4" t="s">
        <v>71</v>
      </c>
      <c r="BE4">
        <v>0</v>
      </c>
      <c r="B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2023-03-16T04:28:08Z</dcterms:created>
  <dcterms:modified xsi:type="dcterms:W3CDTF">2023-03-17T02:26:50Z</dcterms:modified>
</cp:coreProperties>
</file>