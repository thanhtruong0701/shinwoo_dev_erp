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00\VuejsProjects\gsf20dev\resources\report\CS\30\"/>
    </mc:Choice>
  </mc:AlternateContent>
  <bookViews>
    <workbookView xWindow="0" yWindow="0" windowWidth="28800" windowHeight="137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4" i="1" l="1"/>
  <c r="Y4" i="1" s="1"/>
  <c r="W4" i="1"/>
  <c r="AE4" i="1" s="1"/>
  <c r="X3" i="1"/>
  <c r="Y3" i="1" s="1"/>
  <c r="W3" i="1"/>
  <c r="AD3" i="1" s="1"/>
  <c r="AE3" i="1" l="1"/>
  <c r="AD4" i="1"/>
</calcChain>
</file>

<file path=xl/sharedStrings.xml><?xml version="1.0" encoding="utf-8"?>
<sst xmlns="http://schemas.openxmlformats.org/spreadsheetml/2006/main" count="126" uniqueCount="83">
  <si>
    <t>PHẢI CÓ</t>
  </si>
  <si>
    <t>ĐỐI CHIẾU LẠI, NẾU SAI PHẢI BÁO</t>
  </si>
  <si>
    <t>CÓ THÌ GHI NHẬN, KHÔNG THÌ THÔI</t>
  </si>
  <si>
    <t>Sales Doc.</t>
  </si>
  <si>
    <t>Sold-To Pt</t>
  </si>
  <si>
    <t>Sold-to party Name</t>
  </si>
  <si>
    <t>Ship-to pa</t>
  </si>
  <si>
    <t>Ship-to party Name</t>
  </si>
  <si>
    <t>Key Custom</t>
  </si>
  <si>
    <t>Item</t>
  </si>
  <si>
    <t>RO No</t>
  </si>
  <si>
    <t>DATE</t>
  </si>
  <si>
    <t>Consignor ID</t>
  </si>
  <si>
    <t>Truck/cont No</t>
  </si>
  <si>
    <t>Material</t>
  </si>
  <si>
    <t>Description</t>
  </si>
  <si>
    <t>EXPIRED DATE</t>
  </si>
  <si>
    <t>MANUFACTURE DATE</t>
  </si>
  <si>
    <t>REMARK</t>
  </si>
  <si>
    <t>Plnt</t>
  </si>
  <si>
    <t>SLoc</t>
  </si>
  <si>
    <t xml:space="preserve"> Order Qty</t>
  </si>
  <si>
    <t>Old confir</t>
  </si>
  <si>
    <t>Cum.cf.qty</t>
  </si>
  <si>
    <t>Plan</t>
  </si>
  <si>
    <t>OOS</t>
  </si>
  <si>
    <t>Reservation</t>
  </si>
  <si>
    <t>OvCS</t>
  </si>
  <si>
    <t>UoM</t>
  </si>
  <si>
    <t>Difference</t>
  </si>
  <si>
    <t>Reason Des</t>
  </si>
  <si>
    <t>Gross (by kg)</t>
  </si>
  <si>
    <t>Net value</t>
  </si>
  <si>
    <t>Available</t>
  </si>
  <si>
    <t>Gross Weig</t>
  </si>
  <si>
    <t>Net Weight</t>
  </si>
  <si>
    <t>On</t>
  </si>
  <si>
    <t>Old Goods</t>
  </si>
  <si>
    <t>Old Schedu</t>
  </si>
  <si>
    <t>BOP date</t>
  </si>
  <si>
    <t>BOP name</t>
  </si>
  <si>
    <t>BOP User</t>
  </si>
  <si>
    <t>SOrg.</t>
  </si>
  <si>
    <t>SaTy</t>
  </si>
  <si>
    <t>Time</t>
  </si>
  <si>
    <t>SU</t>
  </si>
  <si>
    <t>BUn</t>
  </si>
  <si>
    <t>DPrio</t>
  </si>
  <si>
    <t>PO Number</t>
  </si>
  <si>
    <t>Prod. Hierarchy</t>
  </si>
  <si>
    <t>ItCa</t>
  </si>
  <si>
    <t>Mat.Av.Dt.</t>
  </si>
  <si>
    <t>GI Date</t>
  </si>
  <si>
    <t>Net price</t>
  </si>
  <si>
    <t>Curr.</t>
  </si>
  <si>
    <t>Dlv.Date</t>
  </si>
  <si>
    <t>Reason</t>
  </si>
  <si>
    <t>Before Bop</t>
  </si>
  <si>
    <t>After Bop</t>
  </si>
  <si>
    <t>CONG TY CO PHAN DICH VU THUONG MAI</t>
  </si>
  <si>
    <t>WM+ HDG QUAN TRANH, NINH GIANG - 60</t>
  </si>
  <si>
    <t>WINMART PLUS</t>
  </si>
  <si>
    <t>2022-09-06</t>
  </si>
  <si>
    <t>A-01</t>
  </si>
  <si>
    <t>50H-14427</t>
  </si>
  <si>
    <t>WALLS KEM SLT STRWCHS RE116 6X750ML/450G</t>
  </si>
  <si>
    <t>French Bread</t>
  </si>
  <si>
    <t>V106</t>
  </si>
  <si>
    <t>V001</t>
  </si>
  <si>
    <t>D</t>
  </si>
  <si>
    <t>CS</t>
  </si>
  <si>
    <t>19.08.2022</t>
  </si>
  <si>
    <t>22.08.2022</t>
  </si>
  <si>
    <t>20.08.2022</t>
  </si>
  <si>
    <t>VN0092001</t>
  </si>
  <si>
    <t>TUANANH_N500</t>
  </si>
  <si>
    <t>ZTA</t>
  </si>
  <si>
    <t>3E1162687L6100828</t>
  </si>
  <si>
    <t>ZTAN</t>
  </si>
  <si>
    <t>VND</t>
  </si>
  <si>
    <t>VIN PLUS</t>
  </si>
  <si>
    <t>KEM MINI CORNETTO SOCOLA&amp;VANI 6X12X28ML</t>
  </si>
  <si>
    <t>3E1162018L312A311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</si>
</sst>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/>
    <xf numFmtId="14" fontId="0" fillId="0" borderId="0" xfId="0" quotePrefix="1" applyNumberFormat="1"/>
    <xf numFmtId="0" fontId="3" fillId="0" borderId="0" xfId="0" applyFont="1"/>
    <xf numFmtId="43" fontId="3" fillId="0" borderId="0" xfId="1" applyFont="1"/>
    <xf numFmtId="3" fontId="0" fillId="0" borderId="0" xfId="0" applyNumberFormat="1"/>
    <xf numFmtId="21" fontId="0" fillId="0" borderId="0" xfId="0" applyNumberFormat="1"/>
    <xf numFmtId="11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680357</xdr:colOff>
      <xdr:row>1</xdr:row>
      <xdr:rowOff>0</xdr:rowOff>
    </xdr:from>
    <xdr:to>
      <xdr:col>12</xdr:col>
      <xdr:colOff>906575</xdr:colOff>
      <xdr:row>2</xdr:row>
      <xdr:rowOff>95249</xdr:rowOff>
    </xdr:to>
    <xdr:sp macro="" textlink="">
      <xdr:nvSpPr>
        <xdr:cNvPr id="3" name="Rectangle 2"/>
        <xdr:cNvSpPr/>
      </xdr:nvSpPr>
      <xdr:spPr>
        <a:xfrm>
          <a:off x="15520307" y="190500"/>
          <a:ext cx="226218" cy="285749"/>
        </a:xfrm>
        <a:prstGeom prst="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5</a:t>
          </a:r>
        </a:p>
      </xdr:txBody>
    </xdr:sp>
    <xdr:clientData/>
  </xdr:twoCellAnchor>
  <xdr:twoCellAnchor>
    <xdr:from>
      <xdr:col>21</xdr:col>
      <xdr:colOff>690904</xdr:colOff>
      <xdr:row>1</xdr:row>
      <xdr:rowOff>13946</xdr:rowOff>
    </xdr:from>
    <xdr:to>
      <xdr:col>21</xdr:col>
      <xdr:colOff>917122</xdr:colOff>
      <xdr:row>2</xdr:row>
      <xdr:rowOff>109196</xdr:rowOff>
    </xdr:to>
    <xdr:sp macro="" textlink="">
      <xdr:nvSpPr>
        <xdr:cNvPr id="6" name="Rectangle 5"/>
        <xdr:cNvSpPr/>
      </xdr:nvSpPr>
      <xdr:spPr>
        <a:xfrm>
          <a:off x="29818354" y="204446"/>
          <a:ext cx="226218" cy="285750"/>
        </a:xfrm>
        <a:prstGeom prst="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7</a:t>
          </a:r>
        </a:p>
      </xdr:txBody>
    </xdr:sp>
    <xdr:clientData/>
  </xdr:twoCellAnchor>
  <xdr:twoCellAnchor>
    <xdr:from>
      <xdr:col>10</xdr:col>
      <xdr:colOff>918486</xdr:colOff>
      <xdr:row>1</xdr:row>
      <xdr:rowOff>10204</xdr:rowOff>
    </xdr:from>
    <xdr:to>
      <xdr:col>10</xdr:col>
      <xdr:colOff>1150144</xdr:colOff>
      <xdr:row>2</xdr:row>
      <xdr:rowOff>78581</xdr:rowOff>
    </xdr:to>
    <xdr:sp macro="" textlink="">
      <xdr:nvSpPr>
        <xdr:cNvPr id="11" name="Rectangle 10"/>
        <xdr:cNvSpPr/>
      </xdr:nvSpPr>
      <xdr:spPr>
        <a:xfrm>
          <a:off x="13024761" y="200704"/>
          <a:ext cx="231658" cy="258877"/>
        </a:xfrm>
        <a:prstGeom prst="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3</a:t>
          </a:r>
        </a:p>
      </xdr:txBody>
    </xdr:sp>
    <xdr:clientData/>
  </xdr:twoCellAnchor>
  <xdr:twoCellAnchor>
    <xdr:from>
      <xdr:col>11</xdr:col>
      <xdr:colOff>1011355</xdr:colOff>
      <xdr:row>1</xdr:row>
      <xdr:rowOff>19729</xdr:rowOff>
    </xdr:from>
    <xdr:to>
      <xdr:col>11</xdr:col>
      <xdr:colOff>1243013</xdr:colOff>
      <xdr:row>2</xdr:row>
      <xdr:rowOff>88106</xdr:rowOff>
    </xdr:to>
    <xdr:sp macro="" textlink="">
      <xdr:nvSpPr>
        <xdr:cNvPr id="12" name="Rectangle 11"/>
        <xdr:cNvSpPr/>
      </xdr:nvSpPr>
      <xdr:spPr>
        <a:xfrm>
          <a:off x="14441605" y="210229"/>
          <a:ext cx="231658" cy="258877"/>
        </a:xfrm>
        <a:prstGeom prst="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4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4"/>
  <sheetViews>
    <sheetView tabSelected="1" workbookViewId="0">
      <selection activeCell="E11" sqref="E11"/>
    </sheetView>
  </sheetViews>
  <sheetFormatPr defaultRowHeight="15" x14ac:dyDescent="0.25"/>
  <cols>
    <col min="1" max="1" width="11" bestFit="1" customWidth="1"/>
    <col min="2" max="2" width="10" bestFit="1" customWidth="1"/>
    <col min="3" max="3" width="38.140625" bestFit="1" customWidth="1"/>
    <col min="4" max="4" width="10" bestFit="1" customWidth="1"/>
    <col min="5" max="5" width="38.85546875" bestFit="1" customWidth="1"/>
    <col min="6" max="6" width="11.42578125" bestFit="1" customWidth="1"/>
    <col min="7" max="7" width="14.85546875" bestFit="1" customWidth="1"/>
    <col min="8" max="8" width="5.140625" bestFit="1" customWidth="1"/>
    <col min="9" max="9" width="6.5703125" bestFit="1" customWidth="1"/>
    <col min="10" max="10" width="10.42578125" bestFit="1" customWidth="1"/>
    <col min="11" max="11" width="12.140625" bestFit="1" customWidth="1"/>
    <col min="12" max="12" width="13.5703125" bestFit="1" customWidth="1"/>
    <col min="13" max="13" width="9" bestFit="1" customWidth="1"/>
    <col min="14" max="14" width="44.85546875" bestFit="1" customWidth="1"/>
    <col min="15" max="15" width="30.85546875" bestFit="1" customWidth="1"/>
    <col min="16" max="17" width="32.5703125" bestFit="1" customWidth="1"/>
    <col min="18" max="19" width="5.28515625" bestFit="1" customWidth="1"/>
    <col min="20" max="20" width="10.140625" bestFit="1" customWidth="1"/>
    <col min="21" max="21" width="9.7109375" bestFit="1" customWidth="1"/>
    <col min="22" max="22" width="10.5703125" bestFit="1" customWidth="1"/>
    <col min="23" max="24" width="4.85546875" bestFit="1" customWidth="1"/>
    <col min="25" max="25" width="11.5703125" bestFit="1" customWidth="1"/>
    <col min="26" max="26" width="5.5703125" bestFit="1" customWidth="1"/>
    <col min="27" max="27" width="5.42578125" bestFit="1" customWidth="1"/>
    <col min="28" max="28" width="10.42578125" bestFit="1" customWidth="1"/>
    <col min="29" max="29" width="11.140625" bestFit="1" customWidth="1"/>
    <col min="30" max="30" width="12.42578125" bestFit="1" customWidth="1"/>
    <col min="31" max="31" width="9.5703125" bestFit="1" customWidth="1"/>
    <col min="32" max="32" width="9.28515625" bestFit="1" customWidth="1"/>
    <col min="33" max="33" width="11.140625" bestFit="1" customWidth="1"/>
    <col min="34" max="34" width="11.28515625" bestFit="1" customWidth="1"/>
    <col min="35" max="35" width="10.140625" bestFit="1" customWidth="1"/>
    <col min="36" max="36" width="10.28515625" bestFit="1" customWidth="1"/>
    <col min="37" max="37" width="11" bestFit="1" customWidth="1"/>
    <col min="38" max="38" width="10.140625" bestFit="1" customWidth="1"/>
    <col min="39" max="39" width="10.7109375" bestFit="1" customWidth="1"/>
    <col min="40" max="40" width="15.5703125" bestFit="1" customWidth="1"/>
    <col min="41" max="41" width="5.7109375" bestFit="1" customWidth="1"/>
    <col min="42" max="42" width="5" bestFit="1" customWidth="1"/>
    <col min="43" max="43" width="8.140625" bestFit="1" customWidth="1"/>
    <col min="44" max="44" width="3.42578125" bestFit="1" customWidth="1"/>
    <col min="45" max="45" width="4.7109375" bestFit="1" customWidth="1"/>
    <col min="46" max="46" width="5.85546875" bestFit="1" customWidth="1"/>
    <col min="47" max="47" width="25.140625" bestFit="1" customWidth="1"/>
    <col min="48" max="48" width="18.42578125" bestFit="1" customWidth="1"/>
    <col min="49" max="49" width="5.85546875" bestFit="1" customWidth="1"/>
    <col min="50" max="50" width="10.5703125" bestFit="1" customWidth="1"/>
    <col min="51" max="51" width="10.140625" bestFit="1" customWidth="1"/>
    <col min="53" max="53" width="5.28515625" bestFit="1" customWidth="1"/>
    <col min="54" max="54" width="11.42578125" bestFit="1" customWidth="1"/>
    <col min="55" max="55" width="19.28515625" bestFit="1" customWidth="1"/>
    <col min="56" max="56" width="10.140625" bestFit="1" customWidth="1"/>
    <col min="57" max="57" width="7.42578125" bestFit="1" customWidth="1"/>
    <col min="58" max="58" width="10.85546875" bestFit="1" customWidth="1"/>
    <col min="59" max="59" width="9.42578125" bestFit="1" customWidth="1"/>
  </cols>
  <sheetData>
    <row r="1" spans="1:59" x14ac:dyDescent="0.25">
      <c r="J1" t="s">
        <v>0</v>
      </c>
      <c r="K1" t="s">
        <v>0</v>
      </c>
      <c r="L1" t="s">
        <v>0</v>
      </c>
      <c r="M1" t="s">
        <v>0</v>
      </c>
      <c r="N1" t="s">
        <v>1</v>
      </c>
      <c r="O1" t="s">
        <v>1</v>
      </c>
      <c r="P1" t="s">
        <v>2</v>
      </c>
      <c r="Q1" t="s">
        <v>2</v>
      </c>
      <c r="V1" t="s">
        <v>0</v>
      </c>
    </row>
    <row r="2" spans="1:59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43</v>
      </c>
      <c r="AQ2" s="1" t="s">
        <v>44</v>
      </c>
      <c r="AR2" s="1" t="s">
        <v>45</v>
      </c>
      <c r="AS2" s="1" t="s">
        <v>46</v>
      </c>
      <c r="AT2" s="1" t="s">
        <v>47</v>
      </c>
      <c r="AU2" s="1" t="s">
        <v>48</v>
      </c>
      <c r="AV2" s="1" t="s">
        <v>49</v>
      </c>
      <c r="AW2" s="1" t="s">
        <v>50</v>
      </c>
      <c r="AX2" s="1" t="s">
        <v>51</v>
      </c>
      <c r="AY2" s="1" t="s">
        <v>52</v>
      </c>
      <c r="AZ2" s="1" t="s">
        <v>53</v>
      </c>
      <c r="BA2" s="1" t="s">
        <v>54</v>
      </c>
      <c r="BB2" s="1" t="s">
        <v>8</v>
      </c>
      <c r="BC2" s="1" t="s">
        <v>8</v>
      </c>
      <c r="BD2" s="1" t="s">
        <v>55</v>
      </c>
      <c r="BE2" s="1" t="s">
        <v>56</v>
      </c>
      <c r="BF2" s="1" t="s">
        <v>57</v>
      </c>
      <c r="BG2" s="1" t="s">
        <v>58</v>
      </c>
    </row>
    <row r="3" spans="1:59" x14ac:dyDescent="0.25">
      <c r="A3">
        <v>1701730650</v>
      </c>
      <c r="B3">
        <v>15488138</v>
      </c>
      <c r="C3" t="s">
        <v>59</v>
      </c>
      <c r="D3">
        <v>15616055</v>
      </c>
      <c r="E3" t="s">
        <v>60</v>
      </c>
      <c r="F3">
        <v>205272</v>
      </c>
      <c r="G3" t="s">
        <v>61</v>
      </c>
      <c r="H3">
        <v>10</v>
      </c>
      <c r="J3" s="2" t="s">
        <v>62</v>
      </c>
      <c r="K3" t="s">
        <v>63</v>
      </c>
      <c r="L3" t="s">
        <v>64</v>
      </c>
      <c r="M3">
        <v>67115038</v>
      </c>
      <c r="N3" t="s">
        <v>65</v>
      </c>
      <c r="Q3" t="s">
        <v>66</v>
      </c>
      <c r="R3" t="s">
        <v>67</v>
      </c>
      <c r="S3" t="s">
        <v>68</v>
      </c>
      <c r="T3">
        <v>1</v>
      </c>
      <c r="U3">
        <v>0</v>
      </c>
      <c r="V3">
        <v>1</v>
      </c>
      <c r="W3" s="3">
        <f t="shared" ref="W3:W4" si="0">V3-U3</f>
        <v>1</v>
      </c>
      <c r="X3" s="3">
        <f t="shared" ref="X3:X4" si="1">T3-V3</f>
        <v>0</v>
      </c>
      <c r="Y3" s="3">
        <f t="shared" ref="Y3:Y4" si="2">T3-V3-X3</f>
        <v>0</v>
      </c>
      <c r="Z3" t="s">
        <v>69</v>
      </c>
      <c r="AA3" t="s">
        <v>70</v>
      </c>
      <c r="AD3" s="4">
        <f t="shared" ref="AD3:AD4" si="3">W3*AG3</f>
        <v>3.12</v>
      </c>
      <c r="AE3" s="4">
        <f t="shared" ref="AE3:AE4" si="4">W3*AZ3/10^6</f>
        <v>0</v>
      </c>
      <c r="AF3" s="5">
        <v>4491</v>
      </c>
      <c r="AG3">
        <v>3.12</v>
      </c>
      <c r="AH3">
        <v>2.7</v>
      </c>
      <c r="AI3" t="s">
        <v>71</v>
      </c>
      <c r="AJ3" t="s">
        <v>72</v>
      </c>
      <c r="AK3" t="s">
        <v>72</v>
      </c>
      <c r="AL3" t="s">
        <v>73</v>
      </c>
      <c r="AM3" t="s">
        <v>74</v>
      </c>
      <c r="AN3" t="s">
        <v>75</v>
      </c>
      <c r="AO3" t="s">
        <v>68</v>
      </c>
      <c r="AP3" t="s">
        <v>76</v>
      </c>
      <c r="AQ3" s="6">
        <v>0.43121527777777779</v>
      </c>
      <c r="AR3" t="s">
        <v>70</v>
      </c>
      <c r="AS3" t="s">
        <v>70</v>
      </c>
      <c r="AT3">
        <v>30</v>
      </c>
      <c r="AU3">
        <v>4141201189</v>
      </c>
      <c r="AV3" s="7" t="s">
        <v>77</v>
      </c>
      <c r="AW3" t="s">
        <v>78</v>
      </c>
      <c r="AX3" t="s">
        <v>72</v>
      </c>
      <c r="AY3" t="s">
        <v>72</v>
      </c>
      <c r="AZ3" s="5"/>
      <c r="BA3" t="s">
        <v>79</v>
      </c>
      <c r="BB3">
        <v>317613</v>
      </c>
      <c r="BC3" t="s">
        <v>80</v>
      </c>
      <c r="BD3" t="s">
        <v>72</v>
      </c>
      <c r="BF3">
        <v>0</v>
      </c>
      <c r="BG3">
        <v>0</v>
      </c>
    </row>
    <row r="4" spans="1:59" x14ac:dyDescent="0.25">
      <c r="A4">
        <v>1701730650</v>
      </c>
      <c r="B4">
        <v>15488138</v>
      </c>
      <c r="C4" t="s">
        <v>59</v>
      </c>
      <c r="D4">
        <v>15616055</v>
      </c>
      <c r="E4" t="s">
        <v>60</v>
      </c>
      <c r="F4">
        <v>205272</v>
      </c>
      <c r="G4" t="s">
        <v>61</v>
      </c>
      <c r="H4">
        <v>20</v>
      </c>
      <c r="J4" s="2" t="s">
        <v>62</v>
      </c>
      <c r="K4" t="s">
        <v>63</v>
      </c>
      <c r="L4" t="s">
        <v>64</v>
      </c>
      <c r="M4">
        <v>68837303</v>
      </c>
      <c r="N4" t="s">
        <v>81</v>
      </c>
      <c r="Q4" t="s">
        <v>66</v>
      </c>
      <c r="R4" t="s">
        <v>67</v>
      </c>
      <c r="S4" t="s">
        <v>68</v>
      </c>
      <c r="T4">
        <v>1</v>
      </c>
      <c r="U4">
        <v>0</v>
      </c>
      <c r="V4">
        <v>1</v>
      </c>
      <c r="W4" s="3">
        <f t="shared" si="0"/>
        <v>1</v>
      </c>
      <c r="X4" s="3">
        <f t="shared" si="1"/>
        <v>0</v>
      </c>
      <c r="Y4" s="3">
        <f t="shared" si="2"/>
        <v>0</v>
      </c>
      <c r="Z4" t="s">
        <v>69</v>
      </c>
      <c r="AA4" t="s">
        <v>70</v>
      </c>
      <c r="AD4" s="4">
        <f t="shared" si="3"/>
        <v>2.0990000000000002</v>
      </c>
      <c r="AE4" s="4">
        <f t="shared" si="4"/>
        <v>0</v>
      </c>
      <c r="AF4" s="5">
        <v>6317</v>
      </c>
      <c r="AG4">
        <v>2.0990000000000002</v>
      </c>
      <c r="AH4">
        <v>1.296</v>
      </c>
      <c r="AI4" t="s">
        <v>71</v>
      </c>
      <c r="AJ4" t="s">
        <v>72</v>
      </c>
      <c r="AK4" t="s">
        <v>72</v>
      </c>
      <c r="AL4" t="s">
        <v>73</v>
      </c>
      <c r="AM4" t="s">
        <v>74</v>
      </c>
      <c r="AN4" t="s">
        <v>75</v>
      </c>
      <c r="AO4" t="s">
        <v>68</v>
      </c>
      <c r="AP4" t="s">
        <v>76</v>
      </c>
      <c r="AQ4" s="6">
        <v>0.43121527777777779</v>
      </c>
      <c r="AR4" t="s">
        <v>70</v>
      </c>
      <c r="AS4" t="s">
        <v>70</v>
      </c>
      <c r="AT4">
        <v>30</v>
      </c>
      <c r="AU4">
        <v>4141201189</v>
      </c>
      <c r="AV4" s="7" t="s">
        <v>82</v>
      </c>
      <c r="AW4" t="s">
        <v>78</v>
      </c>
      <c r="AX4" t="s">
        <v>72</v>
      </c>
      <c r="AY4" t="s">
        <v>72</v>
      </c>
      <c r="AZ4" s="5"/>
      <c r="BA4" t="s">
        <v>79</v>
      </c>
      <c r="BB4">
        <v>317613</v>
      </c>
      <c r="BC4" t="s">
        <v>80</v>
      </c>
      <c r="BD4" t="s">
        <v>72</v>
      </c>
      <c r="BF4">
        <v>0</v>
      </c>
      <c r="BG4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VNG-279</dc:creator>
  <cp:lastModifiedBy>VNG-279</cp:lastModifiedBy>
  <dcterms:created xsi:type="dcterms:W3CDTF">2023-03-16T04:28:08Z</dcterms:created>
  <dcterms:modified xsi:type="dcterms:W3CDTF">2023-03-16T06:25:26Z</dcterms:modified>
</cp:coreProperties>
</file>