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000\VuejsProjects\gsf204003\resources\report\40\60\"/>
    </mc:Choice>
  </mc:AlternateContent>
  <bookViews>
    <workbookView xWindow="0" yWindow="0" windowWidth="21570" windowHeight="8175"/>
  </bookViews>
  <sheets>
    <sheet name="sử dụng 1 file vật tư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27" i="1" l="1"/>
  <c r="Q24" i="1"/>
  <c r="U19" i="1"/>
</calcChain>
</file>

<file path=xl/sharedStrings.xml><?xml version="1.0" encoding="utf-8"?>
<sst xmlns="http://schemas.openxmlformats.org/spreadsheetml/2006/main" count="309" uniqueCount="130">
  <si>
    <t>TỜ CHỈ  THỊ LÀM VIỆC &amp; CUNG ỨNG VẬT TƯ</t>
    <phoneticPr fontId="0" type="noConversion"/>
  </si>
  <si>
    <t>TỜ CHỈ THỊ VIỆC LÀM &amp; CUNG ỨNG VẬT TƯ</t>
  </si>
  <si>
    <t>TỜ CHỈ  THỊ LÀM VIỆC</t>
  </si>
  <si>
    <t xml:space="preserve">        MAY :   ROTARY</t>
  </si>
  <si>
    <t>NGAY…16.. /…07…/2015</t>
  </si>
  <si>
    <t xml:space="preserve">TÊN CÔNG TY </t>
    <phoneticPr fontId="0" type="noConversion"/>
  </si>
  <si>
    <t xml:space="preserve">TÊN CÔNG TY </t>
  </si>
  <si>
    <t>ESTEC</t>
  </si>
  <si>
    <t>TÊN HÀNG</t>
  </si>
  <si>
    <t>C29-736727 (Al tot, mang mo, 6.6 CM)</t>
  </si>
  <si>
    <t>ORDER NUMBER</t>
  </si>
  <si>
    <t>1276-1572</t>
  </si>
  <si>
    <t>BAO GỒM HÀNG TỒN</t>
  </si>
  <si>
    <t>SỐ LƯỢNG</t>
    <phoneticPr fontId="0" type="noConversion"/>
  </si>
  <si>
    <t>VẬT TƯ</t>
    <phoneticPr fontId="0" type="noConversion"/>
  </si>
  <si>
    <t>GIẤY</t>
    <phoneticPr fontId="0" type="noConversion"/>
  </si>
  <si>
    <t>MÀNG</t>
    <phoneticPr fontId="0" type="noConversion"/>
  </si>
  <si>
    <t>SỐ LƯỢNG ĐẶT HÀNG</t>
  </si>
  <si>
    <t>pcs</t>
    <phoneticPr fontId="0" type="noConversion"/>
  </si>
  <si>
    <t>m</t>
    <phoneticPr fontId="0" type="noConversion"/>
  </si>
  <si>
    <t>HÀNG TỒN CŨ</t>
  </si>
  <si>
    <t>SỐ LƯỢNG CẦN IN</t>
  </si>
  <si>
    <t>SỐ LƯỢNG SẢN XUẤT</t>
  </si>
  <si>
    <t>lần</t>
    <phoneticPr fontId="0" type="noConversion"/>
  </si>
  <si>
    <t>SỐ LƯỢNG CHO IN</t>
    <phoneticPr fontId="0" type="noConversion"/>
  </si>
  <si>
    <t>SỐ LƯỢNG IN</t>
  </si>
  <si>
    <t>DỰ ĐỊNH TỒN</t>
  </si>
  <si>
    <t>NGÀY GIAO HÀNG</t>
  </si>
  <si>
    <t>THÔNG TIN CON TEM</t>
  </si>
  <si>
    <t>QUY CÁCH (CON TEM)</t>
  </si>
  <si>
    <t>cm</t>
    <phoneticPr fontId="0" type="noConversion"/>
  </si>
  <si>
    <t>BUOC NHAY</t>
    <phoneticPr fontId="0" type="noConversion"/>
  </si>
  <si>
    <t>Ø (6.6) cm</t>
  </si>
  <si>
    <t>BUOC NHAY</t>
  </si>
  <si>
    <t>SỐ BẾ</t>
  </si>
  <si>
    <t>SỐ MÀU</t>
    <phoneticPr fontId="0" type="noConversion"/>
  </si>
  <si>
    <t>Ø (6.6)</t>
  </si>
  <si>
    <t>cm</t>
  </si>
  <si>
    <t>SỐ LƯỢNG CON / LẦN</t>
    <phoneticPr fontId="0" type="noConversion"/>
  </si>
  <si>
    <t>IN 1 LẦN MẤY CON</t>
  </si>
  <si>
    <t>PCS</t>
  </si>
  <si>
    <t>THÔNG TIN VẬT TƯ</t>
    <phoneticPr fontId="0" type="noConversion"/>
  </si>
  <si>
    <t>LOẠI VẬT TƯ</t>
    <phoneticPr fontId="0" type="noConversion"/>
  </si>
  <si>
    <t>KHỔ</t>
    <phoneticPr fontId="0" type="noConversion"/>
  </si>
  <si>
    <t>DÙNG VẬT TƯ &amp;  KHO</t>
  </si>
  <si>
    <t>AL TOT (SW7325) (15cm x 1000m)</t>
  </si>
  <si>
    <t>LOẠI MÀNG</t>
    <phoneticPr fontId="0" type="noConversion"/>
  </si>
  <si>
    <t>X</t>
  </si>
  <si>
    <t>CÁN MÀNG</t>
  </si>
  <si>
    <t>LOẠI NƯỚC UV</t>
    <phoneticPr fontId="0" type="noConversion"/>
  </si>
  <si>
    <t>KẾT QUẢ SX</t>
    <phoneticPr fontId="0" type="noConversion"/>
  </si>
  <si>
    <t>CHỈNHMÁY</t>
  </si>
  <si>
    <t>cuộn</t>
    <phoneticPr fontId="0" type="noConversion"/>
  </si>
  <si>
    <t>XUẤT VẬT TƯ</t>
  </si>
  <si>
    <t>CUỘN</t>
  </si>
  <si>
    <t>M</t>
  </si>
  <si>
    <t>CHỈNH 
MÁY</t>
    <phoneticPr fontId="0" type="noConversion"/>
  </si>
  <si>
    <t>SẢN 
XUẤT</t>
    <phoneticPr fontId="0" type="noConversion"/>
  </si>
  <si>
    <t>IN SỐ LƯỢNG</t>
  </si>
  <si>
    <t>LAN</t>
  </si>
  <si>
    <t>CẦN VẬT TƯ</t>
  </si>
  <si>
    <t>LOSS</t>
  </si>
  <si>
    <t>TỔNG
XUẤT</t>
    <phoneticPr fontId="0" type="noConversion"/>
  </si>
  <si>
    <t>BẾ</t>
  </si>
  <si>
    <t xml:space="preserve">        ____2___PCS/ 1LAN</t>
  </si>
  <si>
    <t>CẮT</t>
  </si>
  <si>
    <t>CẮT TỜ</t>
  </si>
  <si>
    <t xml:space="preserve">    4_PCS / TO</t>
  </si>
  <si>
    <t>GIAO CUỘN</t>
  </si>
  <si>
    <t>GIAO CHO KHÁCH HÀNG</t>
  </si>
  <si>
    <t>SWV DÙNG</t>
  </si>
  <si>
    <t>TIÊN</t>
  </si>
  <si>
    <t xml:space="preserve">NGƯỜI NHẬN </t>
  </si>
  <si>
    <t xml:space="preserve">NGƯỜI GIAO </t>
  </si>
  <si>
    <t>THỦ KHO</t>
  </si>
  <si>
    <t>QUẢN LÝ SX</t>
  </si>
  <si>
    <t>ĐỨNG MÁY</t>
  </si>
  <si>
    <t>QC</t>
  </si>
  <si>
    <t>$[H1]</t>
  </si>
  <si>
    <t>$[A2]</t>
  </si>
  <si>
    <t>$[F2]</t>
  </si>
  <si>
    <t>$[D3]</t>
  </si>
  <si>
    <t>$[D4]</t>
  </si>
  <si>
    <t>$[D5]</t>
  </si>
  <si>
    <t>$[D8]</t>
  </si>
  <si>
    <t>$[D9]</t>
  </si>
  <si>
    <t>$[D10]</t>
  </si>
  <si>
    <t>$[D11]</t>
  </si>
  <si>
    <t>$[D12]</t>
  </si>
  <si>
    <t>$[D13]</t>
  </si>
  <si>
    <t>$[D14]</t>
  </si>
  <si>
    <t>$[D15]</t>
  </si>
  <si>
    <t>$[D17]</t>
  </si>
  <si>
    <t>$[D18]</t>
  </si>
  <si>
    <t>$[D19]</t>
  </si>
  <si>
    <t>$[I17]</t>
  </si>
  <si>
    <t>$[I18]</t>
  </si>
  <si>
    <t>$[D21]</t>
  </si>
  <si>
    <t>$[D22]</t>
  </si>
  <si>
    <t>$[I21]</t>
  </si>
  <si>
    <t>$[J21]</t>
  </si>
  <si>
    <t>$[I22]</t>
  </si>
  <si>
    <t>$[J22]</t>
  </si>
  <si>
    <t>$[D23]</t>
  </si>
  <si>
    <t>$[D24]</t>
  </si>
  <si>
    <t>$[D25]</t>
  </si>
  <si>
    <t>$[D26]</t>
  </si>
  <si>
    <t>$[D27]</t>
  </si>
  <si>
    <t>$[D28]</t>
  </si>
  <si>
    <t>$[D29]</t>
  </si>
  <si>
    <t>$[G24]</t>
  </si>
  <si>
    <t>$[G25]</t>
  </si>
  <si>
    <t>$[G26]</t>
  </si>
  <si>
    <t>$[G27]</t>
  </si>
  <si>
    <t>$[G28]</t>
  </si>
  <si>
    <t>$[G29]</t>
  </si>
  <si>
    <t>$[G8]</t>
  </si>
  <si>
    <t>$[G14]</t>
  </si>
  <si>
    <t>$[G12]</t>
  </si>
  <si>
    <t>$[G10]</t>
  </si>
  <si>
    <t>$[G9]</t>
  </si>
  <si>
    <t>$[I8]</t>
  </si>
  <si>
    <t>$[I9]</t>
  </si>
  <si>
    <t>$[I10]</t>
  </si>
  <si>
    <t>$[I12]</t>
  </si>
  <si>
    <t>$[I14]</t>
  </si>
  <si>
    <t>$[G30]</t>
  </si>
  <si>
    <t>$[G31]</t>
  </si>
  <si>
    <t>$[G32]</t>
  </si>
  <si>
    <t>$[G33]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</si>
</sst>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4">
    <numFmt numFmtId="41" formatCode="_(* #,##0_);_(* \(#,##0\);_(* &quot;-&quot;_);_(@_)"/>
    <numFmt numFmtId="164" formatCode="#,##0\ &quot;PCS&quot;"/>
    <numFmt numFmtId="165" formatCode="_-* #,##0_-;\-* #,##0_-;_-* &quot;-&quot;_-;_-@_-"/>
    <numFmt numFmtId="166" formatCode="[$-1010000]m/d/yyyy;@"/>
    <numFmt numFmtId="167" formatCode="[$-1010000]d/m/yy;@"/>
    <numFmt numFmtId="168" formatCode="_(* #,##0.0_);_(* \(#,##0.0\);_(* &quot;-&quot;_);_(@_)"/>
    <numFmt numFmtId="169" formatCode="#,##0.0&quot; cm&quot;"/>
    <numFmt numFmtId="170" formatCode="#,##0&quot; PCS/LẦN&quot;"/>
    <numFmt numFmtId="171" formatCode="General&quot;cm x&quot;"/>
    <numFmt numFmtId="172" formatCode="General&quot;m&quot;"/>
    <numFmt numFmtId="173" formatCode="_-* #,##0.0000_-;\-* #,##0.0000_-;_-* &quot;-&quot;_-;_-@_-"/>
    <numFmt numFmtId="174" formatCode="0.0"/>
    <numFmt numFmtId="175" formatCode="_-* #,##0.000_-;\-* #,##0.000_-;_-* &quot;-&quot;_-;_-@_-"/>
    <numFmt numFmtId="176" formatCode="0.000"/>
  </numFmts>
  <fonts count="9">
    <font>
      <sz val="10"/>
      <name val="Arial"/>
    </font>
    <font>
      <b/>
      <sz val="11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8"/>
      <color theme="1" tint="0.34998626667073579"/>
      <name val="Arial"/>
      <family val="2"/>
    </font>
    <font>
      <sz val="7"/>
      <color theme="1" tint="0.34998626667073579"/>
      <name val="Arial"/>
      <family val="2"/>
    </font>
    <font>
      <sz val="8"/>
      <color theme="1" tint="0.34998626667073579"/>
      <name val="돋움"/>
      <family val="3"/>
      <charset val="129"/>
    </font>
    <font>
      <sz val="9"/>
      <name val="Arial"/>
      <family val="2"/>
    </font>
    <font>
      <b/>
      <sz val="9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F79646"/>
        <bgColor indexed="64"/>
      </patternFill>
    </fill>
    <fill>
      <patternFill patternType="solid">
        <fgColor rgb="FFFCD5B4"/>
        <bgColor indexed="64"/>
      </patternFill>
    </fill>
    <fill>
      <patternFill patternType="solid">
        <fgColor rgb="FFEEECE1"/>
        <bgColor indexed="64"/>
      </patternFill>
    </fill>
  </fills>
  <borders count="6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/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 style="dotted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/>
      <diagonal/>
    </border>
    <border>
      <left style="dotted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dotted">
        <color indexed="64"/>
      </top>
      <bottom style="thin">
        <color indexed="64"/>
      </bottom>
      <diagonal/>
    </border>
    <border>
      <left/>
      <right style="dotted">
        <color indexed="64"/>
      </right>
      <top style="dotted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dotted">
        <color indexed="64"/>
      </right>
      <top/>
      <bottom style="thin">
        <color indexed="64"/>
      </bottom>
      <diagonal/>
    </border>
    <border>
      <left style="dotted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 diagonalUp="1" diagonalDown="1">
      <left style="thin">
        <color indexed="64"/>
      </left>
      <right/>
      <top style="thin">
        <color indexed="64"/>
      </top>
      <bottom style="thin">
        <color indexed="64"/>
      </bottom>
      <diagonal style="thin">
        <color indexed="64"/>
      </diagonal>
    </border>
    <border diagonalUp="1" diagonalDown="1">
      <left/>
      <right/>
      <top style="thin">
        <color indexed="64"/>
      </top>
      <bottom style="thin">
        <color indexed="64"/>
      </bottom>
      <diagonal style="thin">
        <color indexed="64"/>
      </diagonal>
    </border>
    <border diagonalUp="1" diagonalDown="1">
      <left/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ck">
        <color indexed="64"/>
      </bottom>
      <diagonal/>
    </border>
    <border>
      <left style="dotted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dotted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1" fontId="2" fillId="0" borderId="0" applyFont="0" applyFill="0" applyBorder="0" applyAlignment="0" applyProtection="0"/>
  </cellStyleXfs>
  <cellXfs count="169">
    <xf numFmtId="0" fontId="0" fillId="0" borderId="0" xfId="0"/>
    <xf numFmtId="0" fontId="2" fillId="0" borderId="2" xfId="0" applyFont="1" applyBorder="1" applyAlignment="1">
      <alignment vertical="center"/>
    </xf>
    <xf numFmtId="0" fontId="3" fillId="0" borderId="3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2" borderId="11" xfId="0" applyFont="1" applyFill="1" applyBorder="1" applyAlignment="1">
      <alignment vertical="center"/>
    </xf>
    <xf numFmtId="0" fontId="2" fillId="2" borderId="18" xfId="0" applyFont="1" applyFill="1" applyBorder="1" applyAlignment="1">
      <alignment vertical="center"/>
    </xf>
    <xf numFmtId="0" fontId="2" fillId="0" borderId="19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164" fontId="4" fillId="0" borderId="32" xfId="0" applyNumberFormat="1" applyFont="1" applyBorder="1" applyAlignment="1">
      <alignment horizontal="center"/>
    </xf>
    <xf numFmtId="165" fontId="2" fillId="0" borderId="30" xfId="1" applyNumberFormat="1" applyFont="1" applyBorder="1" applyAlignment="1">
      <alignment vertical="center"/>
    </xf>
    <xf numFmtId="164" fontId="4" fillId="0" borderId="31" xfId="0" applyNumberFormat="1" applyFont="1" applyBorder="1" applyAlignment="1">
      <alignment horizontal="center"/>
    </xf>
    <xf numFmtId="164" fontId="4" fillId="0" borderId="33" xfId="0" applyNumberFormat="1" applyFont="1" applyBorder="1" applyAlignment="1">
      <alignment horizontal="center"/>
    </xf>
    <xf numFmtId="41" fontId="2" fillId="0" borderId="30" xfId="1" applyFont="1" applyBorder="1" applyAlignment="1">
      <alignment vertical="center"/>
    </xf>
    <xf numFmtId="164" fontId="5" fillId="0" borderId="31" xfId="0" applyNumberFormat="1" applyFont="1" applyBorder="1" applyAlignment="1">
      <alignment horizontal="center"/>
    </xf>
    <xf numFmtId="164" fontId="5" fillId="0" borderId="33" xfId="0" applyNumberFormat="1" applyFont="1" applyBorder="1" applyAlignment="1">
      <alignment horizontal="center"/>
    </xf>
    <xf numFmtId="41" fontId="2" fillId="0" borderId="30" xfId="1" applyFont="1" applyBorder="1" applyAlignment="1"/>
    <xf numFmtId="164" fontId="4" fillId="0" borderId="36" xfId="0" applyNumberFormat="1" applyFont="1" applyBorder="1" applyAlignment="1">
      <alignment horizontal="center"/>
    </xf>
    <xf numFmtId="164" fontId="4" fillId="0" borderId="41" xfId="0" applyNumberFormat="1" applyFont="1" applyBorder="1" applyAlignment="1">
      <alignment horizontal="center"/>
    </xf>
    <xf numFmtId="164" fontId="2" fillId="0" borderId="19" xfId="0" applyNumberFormat="1" applyFont="1" applyBorder="1" applyAlignment="1">
      <alignment horizontal="center" vertical="center"/>
    </xf>
    <xf numFmtId="164" fontId="2" fillId="0" borderId="20" xfId="0" applyNumberFormat="1" applyFont="1" applyBorder="1" applyAlignment="1">
      <alignment horizontal="center" vertical="center"/>
    </xf>
    <xf numFmtId="164" fontId="2" fillId="0" borderId="21" xfId="0" applyNumberFormat="1" applyFont="1" applyBorder="1" applyAlignment="1">
      <alignment horizontal="center" vertical="center"/>
    </xf>
    <xf numFmtId="0" fontId="6" fillId="0" borderId="33" xfId="0" applyFont="1" applyBorder="1" applyAlignment="1">
      <alignment horizontal="center"/>
    </xf>
    <xf numFmtId="169" fontId="6" fillId="0" borderId="33" xfId="0" applyNumberFormat="1" applyFont="1" applyBorder="1" applyAlignment="1">
      <alignment horizontal="center"/>
    </xf>
    <xf numFmtId="0" fontId="2" fillId="2" borderId="1" xfId="0" applyFont="1" applyFill="1" applyBorder="1" applyAlignment="1">
      <alignment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right" vertical="center"/>
    </xf>
    <xf numFmtId="0" fontId="4" fillId="0" borderId="33" xfId="0" applyFont="1" applyBorder="1" applyAlignment="1">
      <alignment horizontal="center"/>
    </xf>
    <xf numFmtId="9" fontId="4" fillId="0" borderId="33" xfId="0" applyNumberFormat="1" applyFont="1" applyBorder="1" applyAlignment="1">
      <alignment horizontal="center" shrinkToFit="1"/>
    </xf>
    <xf numFmtId="174" fontId="2" fillId="0" borderId="1" xfId="0" applyNumberFormat="1" applyFont="1" applyBorder="1" applyAlignment="1">
      <alignment vertical="center"/>
    </xf>
    <xf numFmtId="41" fontId="2" fillId="0" borderId="15" xfId="1" applyFont="1" applyFill="1" applyBorder="1" applyAlignment="1">
      <alignment vertical="center"/>
    </xf>
    <xf numFmtId="9" fontId="4" fillId="0" borderId="32" xfId="0" applyNumberFormat="1" applyFont="1" applyBorder="1" applyAlignment="1">
      <alignment horizontal="center" shrinkToFit="1"/>
    </xf>
    <xf numFmtId="41" fontId="2" fillId="0" borderId="51" xfId="1" applyFont="1" applyFill="1" applyBorder="1" applyAlignment="1">
      <alignment vertical="center"/>
    </xf>
    <xf numFmtId="9" fontId="4" fillId="0" borderId="52" xfId="0" applyNumberFormat="1" applyFont="1" applyBorder="1" applyAlignment="1">
      <alignment horizontal="center" shrinkToFit="1"/>
    </xf>
    <xf numFmtId="3" fontId="2" fillId="0" borderId="1" xfId="0" applyNumberFormat="1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4" fontId="2" fillId="0" borderId="1" xfId="0" applyNumberFormat="1" applyFont="1" applyBorder="1" applyAlignment="1">
      <alignment vertical="center" shrinkToFit="1"/>
    </xf>
    <xf numFmtId="176" fontId="2" fillId="0" borderId="1" xfId="0" applyNumberFormat="1" applyFont="1" applyBorder="1" applyAlignment="1">
      <alignment vertical="center"/>
    </xf>
    <xf numFmtId="9" fontId="2" fillId="0" borderId="1" xfId="0" applyNumberFormat="1" applyFont="1" applyBorder="1" applyAlignment="1">
      <alignment horizontal="left" vertical="center" shrinkToFit="1"/>
    </xf>
    <xf numFmtId="41" fontId="3" fillId="0" borderId="15" xfId="1" applyFont="1" applyFill="1" applyBorder="1" applyAlignment="1">
      <alignment vertical="center"/>
    </xf>
    <xf numFmtId="41" fontId="3" fillId="0" borderId="51" xfId="1" applyFont="1" applyFill="1" applyBorder="1" applyAlignment="1">
      <alignment vertical="center"/>
    </xf>
    <xf numFmtId="41" fontId="3" fillId="0" borderId="53" xfId="1" applyFont="1" applyFill="1" applyBorder="1" applyAlignment="1">
      <alignment vertical="center"/>
    </xf>
    <xf numFmtId="9" fontId="4" fillId="0" borderId="54" xfId="0" applyNumberFormat="1" applyFont="1" applyBorder="1" applyAlignment="1">
      <alignment horizontal="center" shrinkToFit="1"/>
    </xf>
    <xf numFmtId="0" fontId="3" fillId="0" borderId="0" xfId="0" applyFont="1" applyAlignment="1">
      <alignment vertical="center"/>
    </xf>
    <xf numFmtId="0" fontId="2" fillId="0" borderId="58" xfId="0" applyFont="1" applyBorder="1" applyAlignment="1">
      <alignment vertical="center"/>
    </xf>
    <xf numFmtId="0" fontId="2" fillId="0" borderId="59" xfId="0" applyFont="1" applyBorder="1" applyAlignment="1">
      <alignment vertical="center"/>
    </xf>
    <xf numFmtId="0" fontId="2" fillId="0" borderId="60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2" fillId="0" borderId="9" xfId="0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176" fontId="2" fillId="0" borderId="0" xfId="0" applyNumberFormat="1" applyFont="1" applyAlignment="1">
      <alignment vertical="center"/>
    </xf>
    <xf numFmtId="168" fontId="2" fillId="5" borderId="15" xfId="1" applyNumberFormat="1" applyFont="1" applyFill="1" applyBorder="1" applyAlignment="1">
      <alignment vertical="center"/>
    </xf>
    <xf numFmtId="171" fontId="7" fillId="5" borderId="15" xfId="0" applyNumberFormat="1" applyFont="1" applyFill="1" applyBorder="1" applyAlignment="1">
      <alignment horizontal="right" vertical="center"/>
    </xf>
    <xf numFmtId="172" fontId="7" fillId="5" borderId="17" xfId="0" applyNumberFormat="1" applyFont="1" applyFill="1" applyBorder="1" applyAlignment="1">
      <alignment horizontal="left" vertical="center"/>
    </xf>
    <xf numFmtId="0" fontId="2" fillId="0" borderId="1" xfId="0" applyFont="1" applyBorder="1" applyAlignment="1">
      <alignment vertical="center"/>
    </xf>
    <xf numFmtId="0" fontId="8" fillId="2" borderId="1" xfId="0" applyFont="1" applyFill="1" applyBorder="1" applyAlignment="1">
      <alignment vertical="center"/>
    </xf>
    <xf numFmtId="0" fontId="3" fillId="0" borderId="55" xfId="0" applyFont="1" applyBorder="1" applyAlignment="1">
      <alignment horizontal="center" vertical="center"/>
    </xf>
    <xf numFmtId="0" fontId="3" fillId="0" borderId="57" xfId="0" applyFont="1" applyBorder="1" applyAlignment="1">
      <alignment horizontal="center" vertical="center"/>
    </xf>
    <xf numFmtId="0" fontId="3" fillId="0" borderId="56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175" fontId="2" fillId="0" borderId="1" xfId="1" applyNumberFormat="1" applyFont="1" applyFill="1" applyBorder="1" applyAlignment="1">
      <alignment horizontal="right" vertical="center"/>
    </xf>
    <xf numFmtId="175" fontId="2" fillId="0" borderId="15" xfId="1" applyNumberFormat="1" applyFont="1" applyFill="1" applyBorder="1" applyAlignment="1">
      <alignment horizontal="right" vertical="center"/>
    </xf>
    <xf numFmtId="175" fontId="2" fillId="0" borderId="1" xfId="1" applyNumberFormat="1" applyFont="1" applyBorder="1" applyAlignment="1">
      <alignment horizontal="right" vertical="center"/>
    </xf>
    <xf numFmtId="175" fontId="2" fillId="0" borderId="15" xfId="1" applyNumberFormat="1" applyFont="1" applyBorder="1" applyAlignment="1">
      <alignment horizontal="right" vertical="center"/>
    </xf>
    <xf numFmtId="41" fontId="2" fillId="0" borderId="15" xfId="1" applyFont="1" applyFill="1" applyBorder="1" applyAlignment="1">
      <alignment horizontal="center" vertical="center"/>
    </xf>
    <xf numFmtId="41" fontId="2" fillId="0" borderId="16" xfId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vertical="center"/>
    </xf>
    <xf numFmtId="175" fontId="3" fillId="4" borderId="15" xfId="1" applyNumberFormat="1" applyFont="1" applyFill="1" applyBorder="1" applyAlignment="1">
      <alignment horizontal="right" vertical="center"/>
    </xf>
    <xf numFmtId="175" fontId="3" fillId="4" borderId="16" xfId="1" applyNumberFormat="1" applyFont="1" applyFill="1" applyBorder="1" applyAlignment="1">
      <alignment horizontal="right" vertical="center"/>
    </xf>
    <xf numFmtId="41" fontId="3" fillId="0" borderId="15" xfId="1" applyFont="1" applyFill="1" applyBorder="1" applyAlignment="1">
      <alignment horizontal="center" vertical="center"/>
    </xf>
    <xf numFmtId="41" fontId="3" fillId="0" borderId="16" xfId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175" fontId="3" fillId="0" borderId="1" xfId="1" applyNumberFormat="1" applyFont="1" applyFill="1" applyBorder="1" applyAlignment="1">
      <alignment horizontal="right" vertical="center"/>
    </xf>
    <xf numFmtId="175" fontId="3" fillId="0" borderId="15" xfId="1" applyNumberFormat="1" applyFont="1" applyFill="1" applyBorder="1" applyAlignment="1">
      <alignment horizontal="right" vertical="center"/>
    </xf>
    <xf numFmtId="0" fontId="2" fillId="0" borderId="49" xfId="0" applyFont="1" applyBorder="1" applyAlignment="1">
      <alignment horizontal="center" vertical="center"/>
    </xf>
    <xf numFmtId="0" fontId="2" fillId="0" borderId="50" xfId="0" applyFont="1" applyBorder="1" applyAlignment="1">
      <alignment horizontal="center" vertical="center"/>
    </xf>
    <xf numFmtId="0" fontId="8" fillId="4" borderId="15" xfId="0" applyFont="1" applyFill="1" applyBorder="1" applyAlignment="1">
      <alignment vertical="center"/>
    </xf>
    <xf numFmtId="0" fontId="8" fillId="4" borderId="17" xfId="0" applyFont="1" applyFill="1" applyBorder="1" applyAlignment="1">
      <alignment vertical="center"/>
    </xf>
    <xf numFmtId="173" fontId="2" fillId="4" borderId="1" xfId="1" applyNumberFormat="1" applyFont="1" applyFill="1" applyBorder="1" applyAlignment="1">
      <alignment horizontal="right" vertical="center"/>
    </xf>
    <xf numFmtId="173" fontId="2" fillId="4" borderId="15" xfId="1" applyNumberFormat="1" applyFont="1" applyFill="1" applyBorder="1" applyAlignment="1">
      <alignment horizontal="right" vertical="center"/>
    </xf>
    <xf numFmtId="0" fontId="8" fillId="2" borderId="15" xfId="0" applyFont="1" applyFill="1" applyBorder="1" applyAlignment="1">
      <alignment vertical="center"/>
    </xf>
    <xf numFmtId="0" fontId="8" fillId="2" borderId="17" xfId="0" applyFont="1" applyFill="1" applyBorder="1" applyAlignment="1">
      <alignment vertical="center"/>
    </xf>
    <xf numFmtId="175" fontId="2" fillId="0" borderId="61" xfId="1" applyNumberFormat="1" applyFont="1" applyFill="1" applyBorder="1" applyAlignment="1">
      <alignment horizontal="right" vertical="center"/>
    </xf>
    <xf numFmtId="175" fontId="2" fillId="4" borderId="15" xfId="1" applyNumberFormat="1" applyFont="1" applyFill="1" applyBorder="1" applyAlignment="1">
      <alignment horizontal="right" vertical="center"/>
    </xf>
    <xf numFmtId="175" fontId="2" fillId="4" borderId="61" xfId="1" applyNumberFormat="1" applyFont="1" applyFill="1" applyBorder="1" applyAlignment="1">
      <alignment horizontal="right" vertical="center"/>
    </xf>
    <xf numFmtId="41" fontId="2" fillId="0" borderId="15" xfId="1" applyFont="1" applyBorder="1" applyAlignment="1">
      <alignment horizontal="center" vertical="center"/>
    </xf>
    <xf numFmtId="41" fontId="2" fillId="0" borderId="16" xfId="1" applyFont="1" applyBorder="1" applyAlignment="1">
      <alignment horizontal="center" vertical="center"/>
    </xf>
    <xf numFmtId="0" fontId="3" fillId="2" borderId="15" xfId="0" applyFont="1" applyFill="1" applyBorder="1" applyAlignment="1">
      <alignment vertical="center"/>
    </xf>
    <xf numFmtId="0" fontId="3" fillId="2" borderId="16" xfId="0" applyFont="1" applyFill="1" applyBorder="1" applyAlignment="1">
      <alignment vertical="center"/>
    </xf>
    <xf numFmtId="0" fontId="3" fillId="2" borderId="17" xfId="0" applyFont="1" applyFill="1" applyBorder="1" applyAlignment="1">
      <alignment vertical="center"/>
    </xf>
    <xf numFmtId="0" fontId="2" fillId="0" borderId="46" xfId="0" applyFont="1" applyBorder="1" applyAlignment="1">
      <alignment horizontal="center" vertical="center"/>
    </xf>
    <xf numFmtId="0" fontId="2" fillId="0" borderId="47" xfId="0" applyFont="1" applyBorder="1" applyAlignment="1">
      <alignment horizontal="center" vertical="center"/>
    </xf>
    <xf numFmtId="0" fontId="2" fillId="0" borderId="48" xfId="0" applyFont="1" applyBorder="1" applyAlignment="1">
      <alignment horizontal="center" vertical="center"/>
    </xf>
    <xf numFmtId="0" fontId="3" fillId="2" borderId="1" xfId="0" applyFont="1" applyFill="1" applyBorder="1" applyAlignment="1">
      <alignment vertical="center"/>
    </xf>
    <xf numFmtId="0" fontId="2" fillId="5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170" fontId="2" fillId="5" borderId="1" xfId="0" applyNumberFormat="1" applyFont="1" applyFill="1" applyBorder="1" applyAlignment="1">
      <alignment horizontal="center" vertical="center"/>
    </xf>
    <xf numFmtId="170" fontId="2" fillId="0" borderId="1" xfId="0" applyNumberFormat="1" applyFont="1" applyBorder="1" applyAlignment="1">
      <alignment horizontal="center" vertical="center"/>
    </xf>
    <xf numFmtId="0" fontId="2" fillId="5" borderId="15" xfId="0" applyFont="1" applyFill="1" applyBorder="1" applyAlignment="1">
      <alignment horizontal="center" vertical="center"/>
    </xf>
    <xf numFmtId="0" fontId="2" fillId="5" borderId="16" xfId="0" applyFont="1" applyFill="1" applyBorder="1" applyAlignment="1">
      <alignment horizontal="center" vertical="center"/>
    </xf>
    <xf numFmtId="0" fontId="2" fillId="5" borderId="17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66" fontId="3" fillId="5" borderId="1" xfId="0" applyNumberFormat="1" applyFont="1" applyFill="1" applyBorder="1" applyAlignment="1">
      <alignment horizontal="center" vertical="center"/>
    </xf>
    <xf numFmtId="167" fontId="2" fillId="0" borderId="44" xfId="0" applyNumberFormat="1" applyFont="1" applyBorder="1" applyAlignment="1">
      <alignment horizontal="center" vertical="center"/>
    </xf>
    <xf numFmtId="167" fontId="2" fillId="0" borderId="45" xfId="0" applyNumberFormat="1" applyFont="1" applyBorder="1" applyAlignment="1">
      <alignment horizontal="center" vertical="center"/>
    </xf>
    <xf numFmtId="164" fontId="4" fillId="0" borderId="38" xfId="0" applyNumberFormat="1" applyFont="1" applyBorder="1" applyAlignment="1">
      <alignment horizontal="center" vertical="center"/>
    </xf>
    <xf numFmtId="164" fontId="4" fillId="0" borderId="43" xfId="0" applyNumberFormat="1" applyFont="1" applyBorder="1" applyAlignment="1">
      <alignment horizontal="center" vertical="center"/>
    </xf>
    <xf numFmtId="41" fontId="3" fillId="3" borderId="39" xfId="1" applyFont="1" applyFill="1" applyBorder="1" applyAlignment="1">
      <alignment horizontal="center" vertical="center"/>
    </xf>
    <xf numFmtId="41" fontId="3" fillId="3" borderId="40" xfId="1" applyFont="1" applyFill="1" applyBorder="1" applyAlignment="1">
      <alignment horizontal="center" vertical="center"/>
    </xf>
    <xf numFmtId="41" fontId="2" fillId="0" borderId="30" xfId="1" applyFont="1" applyFill="1" applyBorder="1" applyAlignment="1">
      <alignment horizontal="center" vertical="center"/>
    </xf>
    <xf numFmtId="41" fontId="2" fillId="0" borderId="31" xfId="1" applyFont="1" applyFill="1" applyBorder="1" applyAlignment="1">
      <alignment horizontal="center" vertical="center"/>
    </xf>
    <xf numFmtId="164" fontId="2" fillId="0" borderId="19" xfId="0" applyNumberFormat="1" applyFont="1" applyBorder="1" applyAlignment="1">
      <alignment horizontal="center" vertical="center"/>
    </xf>
    <xf numFmtId="164" fontId="2" fillId="0" borderId="20" xfId="0" applyNumberFormat="1" applyFont="1" applyBorder="1" applyAlignment="1">
      <alignment horizontal="center" vertical="center"/>
    </xf>
    <xf numFmtId="164" fontId="2" fillId="0" borderId="21" xfId="0" applyNumberFormat="1" applyFont="1" applyBorder="1" applyAlignment="1">
      <alignment horizontal="center" vertical="center"/>
    </xf>
    <xf numFmtId="0" fontId="3" fillId="2" borderId="24" xfId="0" applyFont="1" applyFill="1" applyBorder="1" applyAlignment="1">
      <alignment vertical="center"/>
    </xf>
    <xf numFmtId="0" fontId="3" fillId="2" borderId="25" xfId="0" applyFont="1" applyFill="1" applyBorder="1" applyAlignment="1">
      <alignment vertical="center"/>
    </xf>
    <xf numFmtId="0" fontId="3" fillId="2" borderId="26" xfId="0" applyFont="1" applyFill="1" applyBorder="1" applyAlignment="1">
      <alignment vertical="center"/>
    </xf>
    <xf numFmtId="0" fontId="3" fillId="2" borderId="27" xfId="0" applyFont="1" applyFill="1" applyBorder="1" applyAlignment="1">
      <alignment vertical="center"/>
    </xf>
    <xf numFmtId="0" fontId="3" fillId="2" borderId="28" xfId="0" applyFont="1" applyFill="1" applyBorder="1" applyAlignment="1">
      <alignment vertical="center"/>
    </xf>
    <xf numFmtId="0" fontId="3" fillId="2" borderId="29" xfId="0" applyFont="1" applyFill="1" applyBorder="1" applyAlignment="1">
      <alignment vertical="center"/>
    </xf>
    <xf numFmtId="41" fontId="3" fillId="3" borderId="34" xfId="1" applyFont="1" applyFill="1" applyBorder="1" applyAlignment="1">
      <alignment horizontal="center" vertical="center"/>
    </xf>
    <xf numFmtId="41" fontId="3" fillId="3" borderId="35" xfId="1" applyFont="1" applyFill="1" applyBorder="1" applyAlignment="1">
      <alignment horizontal="center" vertical="center"/>
    </xf>
    <xf numFmtId="41" fontId="2" fillId="0" borderId="37" xfId="1" applyFont="1" applyBorder="1" applyAlignment="1">
      <alignment horizontal="center" vertical="center"/>
    </xf>
    <xf numFmtId="41" fontId="2" fillId="0" borderId="42" xfId="1" applyFont="1" applyBorder="1" applyAlignment="1">
      <alignment horizontal="center" vertical="center"/>
    </xf>
    <xf numFmtId="41" fontId="2" fillId="0" borderId="34" xfId="1" applyFont="1" applyFill="1" applyBorder="1" applyAlignment="1">
      <alignment horizontal="center" vertical="center"/>
    </xf>
    <xf numFmtId="41" fontId="2" fillId="0" borderId="35" xfId="1" applyFont="1" applyFill="1" applyBorder="1" applyAlignment="1">
      <alignment horizontal="center" vertical="center"/>
    </xf>
    <xf numFmtId="41" fontId="2" fillId="0" borderId="39" xfId="1" applyFont="1" applyFill="1" applyBorder="1" applyAlignment="1">
      <alignment horizontal="center" vertical="center"/>
    </xf>
    <xf numFmtId="41" fontId="2" fillId="0" borderId="40" xfId="1" applyFont="1" applyFill="1" applyBorder="1" applyAlignment="1">
      <alignment horizontal="center" vertical="center"/>
    </xf>
    <xf numFmtId="41" fontId="2" fillId="5" borderId="30" xfId="1" applyFont="1" applyFill="1" applyBorder="1" applyAlignment="1">
      <alignment horizontal="center" vertical="center"/>
    </xf>
    <xf numFmtId="41" fontId="2" fillId="5" borderId="31" xfId="1" applyFont="1" applyFill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3" borderId="24" xfId="0" applyFont="1" applyFill="1" applyBorder="1" applyAlignment="1">
      <alignment horizontal="center" vertical="center"/>
    </xf>
    <xf numFmtId="0" fontId="3" fillId="3" borderId="25" xfId="0" applyFont="1" applyFill="1" applyBorder="1" applyAlignment="1">
      <alignment horizontal="center" vertical="center"/>
    </xf>
    <xf numFmtId="0" fontId="3" fillId="3" borderId="26" xfId="0" applyFont="1" applyFill="1" applyBorder="1" applyAlignment="1">
      <alignment horizontal="center" vertical="center"/>
    </xf>
    <xf numFmtId="0" fontId="3" fillId="3" borderId="27" xfId="0" applyFont="1" applyFill="1" applyBorder="1" applyAlignment="1">
      <alignment horizontal="center" vertical="center"/>
    </xf>
    <xf numFmtId="0" fontId="3" fillId="3" borderId="28" xfId="0" applyFont="1" applyFill="1" applyBorder="1" applyAlignment="1">
      <alignment horizontal="center" vertical="center"/>
    </xf>
    <xf numFmtId="0" fontId="3" fillId="3" borderId="29" xfId="0" applyFont="1" applyFill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5" borderId="1" xfId="0" applyFont="1" applyFill="1" applyBorder="1" applyAlignment="1">
      <alignment vertical="center"/>
    </xf>
    <xf numFmtId="0" fontId="2" fillId="0" borderId="5" xfId="0" applyFont="1" applyBorder="1" applyAlignment="1">
      <alignment horizontal="left" vertical="center"/>
    </xf>
    <xf numFmtId="0" fontId="2" fillId="0" borderId="6" xfId="0" applyFont="1" applyBorder="1" applyAlignment="1">
      <alignment horizontal="left" vertical="center"/>
    </xf>
    <xf numFmtId="0" fontId="2" fillId="0" borderId="7" xfId="0" applyFont="1" applyBorder="1" applyAlignment="1">
      <alignment horizontal="left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3" fillId="0" borderId="15" xfId="0" applyFont="1" applyBorder="1" applyAlignment="1">
      <alignment horizontal="left" vertical="center"/>
    </xf>
    <xf numFmtId="0" fontId="3" fillId="0" borderId="16" xfId="0" applyFont="1" applyBorder="1" applyAlignment="1">
      <alignment horizontal="left" vertical="center"/>
    </xf>
    <xf numFmtId="0" fontId="3" fillId="0" borderId="17" xfId="0" applyFont="1" applyBorder="1" applyAlignment="1">
      <alignment horizontal="left" vertical="center"/>
    </xf>
  </cellXfs>
  <cellStyles count="2">
    <cellStyle name="Comma [0]" xfId="1" builtinId="6"/>
    <cellStyle name="Normal" xfId="0" builtinId="0"/>
  </cellStyles>
  <dxfs count="0"/>
  <tableStyles count="0" defaultTableStyle="TableStyleMedium2" defaultPivotStyle="PivotStyleLight16"/>
  <colors>
    <mruColors>
      <color rgb="FFEEECE1"/>
      <color rgb="FFFCD5B4"/>
      <color rgb="FFF7964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43"/>
  <sheetViews>
    <sheetView tabSelected="1" zoomScale="110" zoomScaleNormal="110" workbookViewId="0">
      <selection activeCell="D6" sqref="D6:F7"/>
    </sheetView>
  </sheetViews>
  <sheetFormatPr defaultColWidth="9" defaultRowHeight="12.75"/>
  <cols>
    <col min="1" max="1" width="6.42578125" style="4" bestFit="1" customWidth="1"/>
    <col min="2" max="2" width="5.5703125" style="4" customWidth="1"/>
    <col min="3" max="3" width="9.7109375" style="4" customWidth="1"/>
    <col min="4" max="4" width="7" style="4" customWidth="1"/>
    <col min="5" max="5" width="5.7109375" style="4" customWidth="1"/>
    <col min="6" max="6" width="6.7109375" style="4" customWidth="1"/>
    <col min="7" max="7" width="7.7109375" style="4" customWidth="1"/>
    <col min="8" max="8" width="6.7109375" style="4" customWidth="1"/>
    <col min="9" max="9" width="8.28515625" style="4" customWidth="1"/>
    <col min="10" max="10" width="6.7109375" style="4" customWidth="1"/>
    <col min="11" max="11" width="1.42578125" style="4" customWidth="1"/>
    <col min="12" max="12" width="23.140625" style="4" hidden="1" customWidth="1"/>
    <col min="13" max="13" width="7" style="4" hidden="1" customWidth="1"/>
    <col min="14" max="15" width="6.42578125" style="4" hidden="1" customWidth="1"/>
    <col min="16" max="18" width="7" style="4" hidden="1" customWidth="1"/>
    <col min="19" max="19" width="0" style="4" hidden="1" customWidth="1"/>
    <col min="20" max="20" width="3.7109375" style="4" customWidth="1"/>
    <col min="21" max="21" width="6.42578125" style="4" bestFit="1" customWidth="1"/>
    <col min="22" max="22" width="5.5703125" style="4" customWidth="1"/>
    <col min="23" max="23" width="9.7109375" style="4" customWidth="1"/>
    <col min="24" max="24" width="7" style="4" customWidth="1"/>
    <col min="25" max="25" width="5.7109375" style="4" customWidth="1"/>
    <col min="26" max="26" width="6.7109375" style="4" customWidth="1"/>
    <col min="27" max="27" width="7.7109375" style="4" customWidth="1"/>
    <col min="28" max="28" width="6.7109375" style="4" customWidth="1"/>
    <col min="29" max="29" width="8.28515625" style="4" customWidth="1"/>
    <col min="30" max="30" width="6.7109375" style="4" customWidth="1"/>
    <col min="31" max="16384" width="9" style="4"/>
  </cols>
  <sheetData>
    <row r="1" spans="1:30" ht="15" customHeight="1" thickBot="1">
      <c r="A1" s="158" t="s">
        <v>0</v>
      </c>
      <c r="B1" s="158"/>
      <c r="C1" s="158"/>
      <c r="D1" s="158"/>
      <c r="E1" s="158"/>
      <c r="F1" s="158"/>
      <c r="G1" s="158"/>
      <c r="H1" s="104" t="s">
        <v>78</v>
      </c>
      <c r="I1" s="104"/>
      <c r="J1" s="104"/>
      <c r="K1" s="1"/>
      <c r="L1" s="2" t="s">
        <v>1</v>
      </c>
      <c r="M1" s="2"/>
      <c r="N1" s="2"/>
      <c r="O1" s="2"/>
      <c r="P1" s="2"/>
      <c r="Q1" s="2"/>
      <c r="R1" s="3"/>
      <c r="U1" s="158" t="s">
        <v>2</v>
      </c>
      <c r="V1" s="158"/>
      <c r="W1" s="158"/>
      <c r="X1" s="158"/>
      <c r="Y1" s="158"/>
      <c r="Z1" s="158"/>
      <c r="AA1" s="158"/>
      <c r="AB1" s="64" t="s">
        <v>78</v>
      </c>
      <c r="AC1" s="64"/>
      <c r="AD1" s="64"/>
    </row>
    <row r="2" spans="1:30" ht="15" customHeight="1" thickBot="1">
      <c r="A2" s="159" t="s">
        <v>79</v>
      </c>
      <c r="B2" s="159"/>
      <c r="C2" s="159"/>
      <c r="D2" s="159"/>
      <c r="E2" s="159"/>
      <c r="F2" s="104" t="s">
        <v>80</v>
      </c>
      <c r="G2" s="104"/>
      <c r="H2" s="104"/>
      <c r="I2" s="104"/>
      <c r="J2" s="104"/>
      <c r="L2" s="160" t="s">
        <v>3</v>
      </c>
      <c r="M2" s="161"/>
      <c r="N2" s="162"/>
      <c r="O2" s="163" t="s">
        <v>4</v>
      </c>
      <c r="P2" s="164"/>
      <c r="Q2" s="164"/>
      <c r="R2" s="165"/>
      <c r="U2" s="56" t="s">
        <v>79</v>
      </c>
      <c r="V2" s="56"/>
      <c r="W2" s="56"/>
      <c r="X2" s="56"/>
      <c r="Y2" s="56"/>
      <c r="Z2" s="64" t="s">
        <v>80</v>
      </c>
      <c r="AA2" s="64"/>
      <c r="AB2" s="64"/>
      <c r="AC2" s="64"/>
      <c r="AD2" s="64"/>
    </row>
    <row r="3" spans="1:30" ht="15" customHeight="1">
      <c r="A3" s="103" t="s">
        <v>5</v>
      </c>
      <c r="B3" s="103"/>
      <c r="C3" s="103"/>
      <c r="D3" s="106" t="s">
        <v>81</v>
      </c>
      <c r="E3" s="106"/>
      <c r="F3" s="106"/>
      <c r="G3" s="106"/>
      <c r="H3" s="106"/>
      <c r="I3" s="106"/>
      <c r="J3" s="106"/>
      <c r="L3" s="5" t="s">
        <v>6</v>
      </c>
      <c r="M3" s="152" t="s">
        <v>7</v>
      </c>
      <c r="N3" s="153"/>
      <c r="O3" s="153"/>
      <c r="P3" s="153"/>
      <c r="Q3" s="153"/>
      <c r="R3" s="154"/>
      <c r="U3" s="103" t="s">
        <v>5</v>
      </c>
      <c r="V3" s="103"/>
      <c r="W3" s="103"/>
      <c r="X3" s="143" t="s">
        <v>81</v>
      </c>
      <c r="Y3" s="144"/>
      <c r="Z3" s="144"/>
      <c r="AA3" s="144"/>
      <c r="AB3" s="144"/>
      <c r="AC3" s="144"/>
      <c r="AD3" s="145"/>
    </row>
    <row r="4" spans="1:30" ht="15" customHeight="1">
      <c r="A4" s="103" t="s">
        <v>8</v>
      </c>
      <c r="B4" s="103"/>
      <c r="C4" s="103"/>
      <c r="D4" s="166" t="s">
        <v>82</v>
      </c>
      <c r="E4" s="167"/>
      <c r="F4" s="167"/>
      <c r="G4" s="167"/>
      <c r="H4" s="167"/>
      <c r="I4" s="167"/>
      <c r="J4" s="168"/>
      <c r="L4" s="6" t="s">
        <v>8</v>
      </c>
      <c r="M4" s="155" t="s">
        <v>9</v>
      </c>
      <c r="N4" s="156"/>
      <c r="O4" s="156"/>
      <c r="P4" s="156"/>
      <c r="Q4" s="156"/>
      <c r="R4" s="157"/>
      <c r="U4" s="103" t="s">
        <v>8</v>
      </c>
      <c r="V4" s="103"/>
      <c r="W4" s="103"/>
      <c r="X4" s="166" t="s">
        <v>82</v>
      </c>
      <c r="Y4" s="167"/>
      <c r="Z4" s="167"/>
      <c r="AA4" s="167"/>
      <c r="AB4" s="167"/>
      <c r="AC4" s="167"/>
      <c r="AD4" s="168"/>
    </row>
    <row r="5" spans="1:30" ht="15" customHeight="1">
      <c r="A5" s="103" t="s">
        <v>10</v>
      </c>
      <c r="B5" s="103"/>
      <c r="C5" s="103"/>
      <c r="D5" s="106" t="s">
        <v>83</v>
      </c>
      <c r="E5" s="106"/>
      <c r="F5" s="106"/>
      <c r="G5" s="106"/>
      <c r="H5" s="106"/>
      <c r="I5" s="106"/>
      <c r="J5" s="106"/>
      <c r="L5" s="6" t="s">
        <v>10</v>
      </c>
      <c r="M5" s="141" t="s">
        <v>11</v>
      </c>
      <c r="N5" s="141"/>
      <c r="O5" s="141"/>
      <c r="P5" s="141"/>
      <c r="Q5" s="141"/>
      <c r="R5" s="142"/>
      <c r="U5" s="103" t="s">
        <v>10</v>
      </c>
      <c r="V5" s="103"/>
      <c r="W5" s="103"/>
      <c r="X5" s="143" t="s">
        <v>83</v>
      </c>
      <c r="Y5" s="144"/>
      <c r="Z5" s="144"/>
      <c r="AA5" s="144"/>
      <c r="AB5" s="144"/>
      <c r="AC5" s="144"/>
      <c r="AD5" s="145"/>
    </row>
    <row r="6" spans="1:30" ht="15" customHeight="1">
      <c r="A6" s="146" t="s">
        <v>12</v>
      </c>
      <c r="B6" s="147"/>
      <c r="C6" s="148"/>
      <c r="D6" s="64" t="s">
        <v>13</v>
      </c>
      <c r="E6" s="64"/>
      <c r="F6" s="64"/>
      <c r="G6" s="64" t="s">
        <v>14</v>
      </c>
      <c r="H6" s="64"/>
      <c r="I6" s="64"/>
      <c r="J6" s="64"/>
      <c r="L6" s="6"/>
      <c r="M6" s="7"/>
      <c r="N6" s="8"/>
      <c r="O6" s="8"/>
      <c r="P6" s="8"/>
      <c r="Q6" s="8"/>
      <c r="R6" s="9"/>
      <c r="U6" s="146" t="s">
        <v>12</v>
      </c>
      <c r="V6" s="147"/>
      <c r="W6" s="148"/>
      <c r="X6" s="64" t="s">
        <v>13</v>
      </c>
      <c r="Y6" s="64"/>
      <c r="Z6" s="64"/>
      <c r="AA6" s="64" t="s">
        <v>14</v>
      </c>
      <c r="AB6" s="64"/>
      <c r="AC6" s="64"/>
      <c r="AD6" s="64"/>
    </row>
    <row r="7" spans="1:30" ht="15" customHeight="1">
      <c r="A7" s="149"/>
      <c r="B7" s="150"/>
      <c r="C7" s="151"/>
      <c r="D7" s="64"/>
      <c r="E7" s="64"/>
      <c r="F7" s="64"/>
      <c r="G7" s="64" t="s">
        <v>15</v>
      </c>
      <c r="H7" s="64"/>
      <c r="I7" s="64" t="s">
        <v>16</v>
      </c>
      <c r="J7" s="64"/>
      <c r="L7" s="6"/>
      <c r="M7" s="7"/>
      <c r="N7" s="8"/>
      <c r="O7" s="8"/>
      <c r="P7" s="8"/>
      <c r="Q7" s="8"/>
      <c r="R7" s="9"/>
      <c r="U7" s="149"/>
      <c r="V7" s="150"/>
      <c r="W7" s="151"/>
      <c r="X7" s="64"/>
      <c r="Y7" s="64"/>
      <c r="Z7" s="64"/>
      <c r="AA7" s="64" t="s">
        <v>15</v>
      </c>
      <c r="AB7" s="64"/>
      <c r="AC7" s="64" t="s">
        <v>16</v>
      </c>
      <c r="AD7" s="64"/>
    </row>
    <row r="8" spans="1:30" ht="15" customHeight="1">
      <c r="A8" s="103" t="s">
        <v>17</v>
      </c>
      <c r="B8" s="103"/>
      <c r="C8" s="103"/>
      <c r="D8" s="139" t="s">
        <v>84</v>
      </c>
      <c r="E8" s="140"/>
      <c r="F8" s="10" t="s">
        <v>18</v>
      </c>
      <c r="G8" s="11" t="s">
        <v>116</v>
      </c>
      <c r="H8" s="12" t="s">
        <v>19</v>
      </c>
      <c r="I8" s="11" t="s">
        <v>121</v>
      </c>
      <c r="J8" s="13" t="s">
        <v>19</v>
      </c>
      <c r="L8" s="6" t="s">
        <v>17</v>
      </c>
      <c r="M8" s="122"/>
      <c r="N8" s="123"/>
      <c r="O8" s="123"/>
      <c r="P8" s="123"/>
      <c r="Q8" s="123"/>
      <c r="R8" s="124"/>
      <c r="U8" s="103" t="s">
        <v>17</v>
      </c>
      <c r="V8" s="103"/>
      <c r="W8" s="103"/>
      <c r="X8" s="139" t="s">
        <v>84</v>
      </c>
      <c r="Y8" s="140"/>
      <c r="Z8" s="10" t="s">
        <v>18</v>
      </c>
      <c r="AA8" s="14" t="s">
        <v>116</v>
      </c>
      <c r="AB8" s="12" t="s">
        <v>19</v>
      </c>
      <c r="AC8" s="14" t="s">
        <v>121</v>
      </c>
      <c r="AD8" s="13" t="s">
        <v>19</v>
      </c>
    </row>
    <row r="9" spans="1:30" ht="15" customHeight="1">
      <c r="A9" s="103" t="s">
        <v>20</v>
      </c>
      <c r="B9" s="103"/>
      <c r="C9" s="103"/>
      <c r="D9" s="139" t="s">
        <v>85</v>
      </c>
      <c r="E9" s="140"/>
      <c r="F9" s="10" t="s">
        <v>18</v>
      </c>
      <c r="G9" s="11" t="s">
        <v>120</v>
      </c>
      <c r="H9" s="15" t="s">
        <v>19</v>
      </c>
      <c r="I9" s="11" t="s">
        <v>122</v>
      </c>
      <c r="J9" s="16" t="s">
        <v>19</v>
      </c>
      <c r="L9" s="6" t="s">
        <v>20</v>
      </c>
      <c r="M9" s="122"/>
      <c r="N9" s="123"/>
      <c r="O9" s="123"/>
      <c r="P9" s="123"/>
      <c r="Q9" s="123"/>
      <c r="R9" s="124"/>
      <c r="U9" s="103" t="s">
        <v>20</v>
      </c>
      <c r="V9" s="103"/>
      <c r="W9" s="103"/>
      <c r="X9" s="139" t="s">
        <v>85</v>
      </c>
      <c r="Y9" s="140"/>
      <c r="Z9" s="10" t="s">
        <v>18</v>
      </c>
      <c r="AA9" s="17" t="s">
        <v>120</v>
      </c>
      <c r="AB9" s="15" t="s">
        <v>19</v>
      </c>
      <c r="AC9" s="17" t="s">
        <v>122</v>
      </c>
      <c r="AD9" s="16" t="s">
        <v>19</v>
      </c>
    </row>
    <row r="10" spans="1:30" ht="15" customHeight="1">
      <c r="A10" s="125" t="s">
        <v>21</v>
      </c>
      <c r="B10" s="126"/>
      <c r="C10" s="127"/>
      <c r="D10" s="135" t="s">
        <v>86</v>
      </c>
      <c r="E10" s="136"/>
      <c r="F10" s="18" t="s">
        <v>18</v>
      </c>
      <c r="G10" s="133" t="s">
        <v>119</v>
      </c>
      <c r="H10" s="116" t="s">
        <v>19</v>
      </c>
      <c r="I10" s="133" t="s">
        <v>123</v>
      </c>
      <c r="J10" s="116" t="s">
        <v>19</v>
      </c>
      <c r="L10" s="6" t="s">
        <v>22</v>
      </c>
      <c r="M10" s="122"/>
      <c r="N10" s="123"/>
      <c r="O10" s="123"/>
      <c r="P10" s="123"/>
      <c r="Q10" s="123"/>
      <c r="R10" s="124"/>
      <c r="U10" s="125" t="s">
        <v>21</v>
      </c>
      <c r="V10" s="126"/>
      <c r="W10" s="127"/>
      <c r="X10" s="135" t="s">
        <v>86</v>
      </c>
      <c r="Y10" s="136"/>
      <c r="Z10" s="18" t="s">
        <v>18</v>
      </c>
      <c r="AA10" s="133" t="s">
        <v>119</v>
      </c>
      <c r="AB10" s="116" t="s">
        <v>19</v>
      </c>
      <c r="AC10" s="133" t="s">
        <v>123</v>
      </c>
      <c r="AD10" s="116" t="s">
        <v>19</v>
      </c>
    </row>
    <row r="11" spans="1:30" ht="15" customHeight="1">
      <c r="A11" s="128"/>
      <c r="B11" s="129"/>
      <c r="C11" s="130"/>
      <c r="D11" s="137" t="s">
        <v>87</v>
      </c>
      <c r="E11" s="138"/>
      <c r="F11" s="19" t="s">
        <v>23</v>
      </c>
      <c r="G11" s="134"/>
      <c r="H11" s="117"/>
      <c r="I11" s="134"/>
      <c r="J11" s="117"/>
      <c r="L11" s="6"/>
      <c r="M11" s="20"/>
      <c r="N11" s="21"/>
      <c r="O11" s="21"/>
      <c r="P11" s="21"/>
      <c r="Q11" s="21"/>
      <c r="R11" s="22"/>
      <c r="U11" s="128"/>
      <c r="V11" s="129"/>
      <c r="W11" s="130"/>
      <c r="X11" s="137" t="s">
        <v>87</v>
      </c>
      <c r="Y11" s="138"/>
      <c r="Z11" s="19" t="s">
        <v>23</v>
      </c>
      <c r="AA11" s="134"/>
      <c r="AB11" s="117"/>
      <c r="AC11" s="134"/>
      <c r="AD11" s="117"/>
    </row>
    <row r="12" spans="1:30" ht="15" customHeight="1">
      <c r="A12" s="125" t="s">
        <v>24</v>
      </c>
      <c r="B12" s="126"/>
      <c r="C12" s="127"/>
      <c r="D12" s="131" t="s">
        <v>88</v>
      </c>
      <c r="E12" s="132"/>
      <c r="F12" s="18" t="s">
        <v>18</v>
      </c>
      <c r="G12" s="133" t="s">
        <v>118</v>
      </c>
      <c r="H12" s="116" t="s">
        <v>19</v>
      </c>
      <c r="I12" s="133" t="s">
        <v>124</v>
      </c>
      <c r="J12" s="116" t="s">
        <v>19</v>
      </c>
      <c r="L12" s="6" t="s">
        <v>25</v>
      </c>
      <c r="M12" s="122"/>
      <c r="N12" s="123"/>
      <c r="O12" s="123"/>
      <c r="P12" s="123"/>
      <c r="Q12" s="123"/>
      <c r="R12" s="124"/>
      <c r="U12" s="125" t="s">
        <v>24</v>
      </c>
      <c r="V12" s="126"/>
      <c r="W12" s="127"/>
      <c r="X12" s="131" t="s">
        <v>88</v>
      </c>
      <c r="Y12" s="132"/>
      <c r="Z12" s="18" t="s">
        <v>18</v>
      </c>
      <c r="AA12" s="133" t="s">
        <v>118</v>
      </c>
      <c r="AB12" s="116" t="s">
        <v>19</v>
      </c>
      <c r="AC12" s="133" t="s">
        <v>124</v>
      </c>
      <c r="AD12" s="116" t="s">
        <v>19</v>
      </c>
    </row>
    <row r="13" spans="1:30" ht="15" customHeight="1">
      <c r="A13" s="128"/>
      <c r="B13" s="129"/>
      <c r="C13" s="130"/>
      <c r="D13" s="118" t="s">
        <v>89</v>
      </c>
      <c r="E13" s="119"/>
      <c r="F13" s="19" t="s">
        <v>23</v>
      </c>
      <c r="G13" s="134"/>
      <c r="H13" s="117"/>
      <c r="I13" s="134"/>
      <c r="J13" s="117"/>
      <c r="L13" s="6"/>
      <c r="M13" s="20"/>
      <c r="N13" s="21"/>
      <c r="O13" s="21"/>
      <c r="P13" s="21"/>
      <c r="Q13" s="21"/>
      <c r="R13" s="22"/>
      <c r="U13" s="128"/>
      <c r="V13" s="129"/>
      <c r="W13" s="130"/>
      <c r="X13" s="118" t="s">
        <v>89</v>
      </c>
      <c r="Y13" s="119"/>
      <c r="Z13" s="19" t="s">
        <v>23</v>
      </c>
      <c r="AA13" s="134"/>
      <c r="AB13" s="117"/>
      <c r="AC13" s="134"/>
      <c r="AD13" s="117"/>
    </row>
    <row r="14" spans="1:30" ht="15" customHeight="1">
      <c r="A14" s="103" t="s">
        <v>26</v>
      </c>
      <c r="B14" s="103"/>
      <c r="C14" s="103"/>
      <c r="D14" s="120" t="s">
        <v>90</v>
      </c>
      <c r="E14" s="121"/>
      <c r="F14" s="10" t="s">
        <v>18</v>
      </c>
      <c r="G14" s="14" t="s">
        <v>117</v>
      </c>
      <c r="H14" s="12" t="s">
        <v>19</v>
      </c>
      <c r="I14" s="14" t="s">
        <v>125</v>
      </c>
      <c r="J14" s="13" t="s">
        <v>19</v>
      </c>
      <c r="L14" s="6" t="s">
        <v>26</v>
      </c>
      <c r="M14" s="122"/>
      <c r="N14" s="123"/>
      <c r="O14" s="123"/>
      <c r="P14" s="123"/>
      <c r="Q14" s="123"/>
      <c r="R14" s="124"/>
      <c r="U14" s="103" t="s">
        <v>26</v>
      </c>
      <c r="V14" s="103"/>
      <c r="W14" s="103"/>
      <c r="X14" s="120" t="s">
        <v>90</v>
      </c>
      <c r="Y14" s="121"/>
      <c r="Z14" s="10" t="s">
        <v>18</v>
      </c>
      <c r="AA14" s="14" t="s">
        <v>117</v>
      </c>
      <c r="AB14" s="12" t="s">
        <v>19</v>
      </c>
      <c r="AC14" s="14" t="s">
        <v>125</v>
      </c>
      <c r="AD14" s="13" t="s">
        <v>19</v>
      </c>
    </row>
    <row r="15" spans="1:30" ht="15" customHeight="1" thickBot="1">
      <c r="A15" s="103" t="s">
        <v>27</v>
      </c>
      <c r="B15" s="103"/>
      <c r="C15" s="103"/>
      <c r="D15" s="113" t="s">
        <v>91</v>
      </c>
      <c r="E15" s="113"/>
      <c r="F15" s="113"/>
      <c r="G15" s="113"/>
      <c r="H15" s="113"/>
      <c r="I15" s="113"/>
      <c r="J15" s="113"/>
      <c r="L15" s="6" t="s">
        <v>27</v>
      </c>
      <c r="M15" s="114">
        <v>42214</v>
      </c>
      <c r="N15" s="114"/>
      <c r="O15" s="114"/>
      <c r="P15" s="114"/>
      <c r="Q15" s="114"/>
      <c r="R15" s="115"/>
      <c r="U15" s="103" t="s">
        <v>27</v>
      </c>
      <c r="V15" s="103"/>
      <c r="W15" s="103"/>
      <c r="X15" s="113" t="s">
        <v>91</v>
      </c>
      <c r="Y15" s="113"/>
      <c r="Z15" s="113"/>
      <c r="AA15" s="113"/>
      <c r="AB15" s="113"/>
      <c r="AC15" s="113"/>
      <c r="AD15" s="113"/>
    </row>
    <row r="16" spans="1:30" ht="15" customHeight="1">
      <c r="A16" s="106" t="s">
        <v>28</v>
      </c>
      <c r="B16" s="106"/>
      <c r="C16" s="106"/>
      <c r="D16" s="106"/>
      <c r="E16" s="106"/>
      <c r="F16" s="106"/>
      <c r="G16" s="106"/>
      <c r="H16" s="106"/>
      <c r="I16" s="106"/>
      <c r="J16" s="106"/>
      <c r="L16" s="64" t="s">
        <v>28</v>
      </c>
      <c r="M16" s="64"/>
      <c r="N16" s="64"/>
      <c r="O16" s="64"/>
      <c r="P16" s="64"/>
      <c r="Q16" s="64"/>
      <c r="R16" s="64"/>
      <c r="U16" s="106" t="s">
        <v>28</v>
      </c>
      <c r="V16" s="106"/>
      <c r="W16" s="106"/>
      <c r="X16" s="106"/>
      <c r="Y16" s="106"/>
      <c r="Z16" s="106"/>
      <c r="AA16" s="106"/>
      <c r="AB16" s="106"/>
      <c r="AC16" s="106"/>
      <c r="AD16" s="106"/>
    </row>
    <row r="17" spans="1:30" ht="15" customHeight="1">
      <c r="A17" s="103" t="s">
        <v>29</v>
      </c>
      <c r="B17" s="103"/>
      <c r="C17" s="103"/>
      <c r="D17" s="109" t="s">
        <v>92</v>
      </c>
      <c r="E17" s="110"/>
      <c r="F17" s="23" t="s">
        <v>30</v>
      </c>
      <c r="G17" s="103" t="s">
        <v>31</v>
      </c>
      <c r="H17" s="103"/>
      <c r="I17" s="53" t="s">
        <v>95</v>
      </c>
      <c r="J17" s="24" t="s">
        <v>30</v>
      </c>
      <c r="L17" s="25" t="s">
        <v>29</v>
      </c>
      <c r="M17" s="64" t="s">
        <v>32</v>
      </c>
      <c r="N17" s="64"/>
      <c r="O17" s="105" t="s">
        <v>33</v>
      </c>
      <c r="P17" s="105"/>
      <c r="Q17" s="105"/>
      <c r="R17" s="26">
        <v>6.9</v>
      </c>
      <c r="U17" s="103" t="s">
        <v>29</v>
      </c>
      <c r="V17" s="103"/>
      <c r="W17" s="103"/>
      <c r="X17" s="61" t="s">
        <v>92</v>
      </c>
      <c r="Y17" s="62"/>
      <c r="Z17" s="23" t="s">
        <v>30</v>
      </c>
      <c r="AA17" s="103" t="s">
        <v>31</v>
      </c>
      <c r="AB17" s="103"/>
      <c r="AC17" s="53" t="s">
        <v>95</v>
      </c>
      <c r="AD17" s="24" t="s">
        <v>30</v>
      </c>
    </row>
    <row r="18" spans="1:30" ht="15" customHeight="1">
      <c r="A18" s="103" t="s">
        <v>34</v>
      </c>
      <c r="B18" s="103"/>
      <c r="C18" s="103"/>
      <c r="D18" s="109" t="s">
        <v>93</v>
      </c>
      <c r="E18" s="110"/>
      <c r="F18" s="111"/>
      <c r="G18" s="112" t="s">
        <v>35</v>
      </c>
      <c r="H18" s="112"/>
      <c r="I18" s="104" t="s">
        <v>96</v>
      </c>
      <c r="J18" s="104"/>
      <c r="L18" s="25" t="s">
        <v>34</v>
      </c>
      <c r="M18" s="27"/>
      <c r="N18" s="105" t="s">
        <v>36</v>
      </c>
      <c r="O18" s="105"/>
      <c r="P18" s="27" t="s">
        <v>37</v>
      </c>
      <c r="Q18" s="27"/>
      <c r="R18" s="27"/>
      <c r="U18" s="103" t="s">
        <v>34</v>
      </c>
      <c r="V18" s="103"/>
      <c r="W18" s="103"/>
      <c r="X18" s="61" t="s">
        <v>93</v>
      </c>
      <c r="Y18" s="62"/>
      <c r="Z18" s="63"/>
      <c r="AA18" s="112" t="s">
        <v>35</v>
      </c>
      <c r="AB18" s="112"/>
      <c r="AC18" s="64" t="s">
        <v>96</v>
      </c>
      <c r="AD18" s="64"/>
    </row>
    <row r="19" spans="1:30" ht="15" customHeight="1">
      <c r="A19" s="103" t="s">
        <v>38</v>
      </c>
      <c r="B19" s="103"/>
      <c r="C19" s="103"/>
      <c r="D19" s="107" t="s">
        <v>94</v>
      </c>
      <c r="E19" s="107"/>
      <c r="F19" s="107"/>
      <c r="G19" s="107"/>
      <c r="H19" s="107"/>
      <c r="I19" s="107"/>
      <c r="J19" s="107"/>
      <c r="L19" s="25" t="s">
        <v>39</v>
      </c>
      <c r="M19" s="27"/>
      <c r="N19" s="105">
        <v>2</v>
      </c>
      <c r="O19" s="105"/>
      <c r="P19" s="27" t="s">
        <v>40</v>
      </c>
      <c r="Q19" s="27"/>
      <c r="R19" s="27"/>
      <c r="U19" s="103" t="str">
        <f>A19</f>
        <v>SỐ LƯỢNG CON / LẦN</v>
      </c>
      <c r="V19" s="103"/>
      <c r="W19" s="103"/>
      <c r="X19" s="108" t="s">
        <v>94</v>
      </c>
      <c r="Y19" s="108"/>
      <c r="Z19" s="108"/>
      <c r="AA19" s="108"/>
      <c r="AB19" s="108"/>
      <c r="AC19" s="108"/>
      <c r="AD19" s="108"/>
    </row>
    <row r="20" spans="1:30" ht="15" customHeight="1">
      <c r="A20" s="106" t="s">
        <v>41</v>
      </c>
      <c r="B20" s="106"/>
      <c r="C20" s="106"/>
      <c r="D20" s="106"/>
      <c r="E20" s="106"/>
      <c r="F20" s="106"/>
      <c r="G20" s="106"/>
      <c r="H20" s="106"/>
      <c r="I20" s="106"/>
      <c r="J20" s="106"/>
      <c r="L20" s="25"/>
      <c r="M20" s="27"/>
      <c r="N20" s="28"/>
      <c r="O20" s="28"/>
      <c r="P20" s="27"/>
      <c r="Q20" s="27"/>
      <c r="R20" s="27"/>
      <c r="U20" s="106" t="s">
        <v>41</v>
      </c>
      <c r="V20" s="106"/>
      <c r="W20" s="106"/>
      <c r="X20" s="106"/>
      <c r="Y20" s="106"/>
      <c r="Z20" s="106"/>
      <c r="AA20" s="106"/>
      <c r="AB20" s="106"/>
      <c r="AC20" s="106"/>
      <c r="AD20" s="106"/>
    </row>
    <row r="21" spans="1:30" ht="15" customHeight="1">
      <c r="A21" s="103" t="s">
        <v>42</v>
      </c>
      <c r="B21" s="103"/>
      <c r="C21" s="103"/>
      <c r="D21" s="104" t="s">
        <v>97</v>
      </c>
      <c r="E21" s="104"/>
      <c r="F21" s="104"/>
      <c r="G21" s="65" t="s">
        <v>43</v>
      </c>
      <c r="H21" s="65"/>
      <c r="I21" s="54" t="s">
        <v>99</v>
      </c>
      <c r="J21" s="55" t="s">
        <v>100</v>
      </c>
      <c r="L21" s="25" t="s">
        <v>44</v>
      </c>
      <c r="M21" s="64" t="s">
        <v>45</v>
      </c>
      <c r="N21" s="64"/>
      <c r="O21" s="64"/>
      <c r="P21" s="64"/>
      <c r="Q21" s="64"/>
      <c r="R21" s="64"/>
      <c r="U21" s="103" t="s">
        <v>42</v>
      </c>
      <c r="V21" s="103"/>
      <c r="W21" s="103"/>
      <c r="X21" s="104" t="s">
        <v>97</v>
      </c>
      <c r="Y21" s="104"/>
      <c r="Z21" s="104"/>
      <c r="AA21" s="65" t="s">
        <v>43</v>
      </c>
      <c r="AB21" s="65"/>
      <c r="AC21" s="54" t="s">
        <v>99</v>
      </c>
      <c r="AD21" s="55" t="s">
        <v>100</v>
      </c>
    </row>
    <row r="22" spans="1:30" ht="15" customHeight="1" thickBot="1">
      <c r="A22" s="103" t="s">
        <v>46</v>
      </c>
      <c r="B22" s="103"/>
      <c r="C22" s="103"/>
      <c r="D22" s="104" t="s">
        <v>98</v>
      </c>
      <c r="E22" s="104"/>
      <c r="F22" s="104"/>
      <c r="G22" s="65" t="s">
        <v>43</v>
      </c>
      <c r="H22" s="65"/>
      <c r="I22" s="54" t="s">
        <v>101</v>
      </c>
      <c r="J22" s="55" t="s">
        <v>102</v>
      </c>
      <c r="L22" s="25" t="s">
        <v>48</v>
      </c>
      <c r="M22" s="105" t="s">
        <v>47</v>
      </c>
      <c r="N22" s="105"/>
      <c r="O22" s="105"/>
      <c r="P22" s="27"/>
      <c r="Q22" s="27"/>
      <c r="R22" s="27"/>
      <c r="U22" s="103" t="s">
        <v>46</v>
      </c>
      <c r="V22" s="103"/>
      <c r="W22" s="103"/>
      <c r="X22" s="64" t="s">
        <v>98</v>
      </c>
      <c r="Y22" s="64"/>
      <c r="Z22" s="64"/>
      <c r="AA22" s="65" t="s">
        <v>43</v>
      </c>
      <c r="AB22" s="65"/>
      <c r="AC22" s="54" t="s">
        <v>101</v>
      </c>
      <c r="AD22" s="55" t="s">
        <v>102</v>
      </c>
    </row>
    <row r="23" spans="1:30" ht="15" customHeight="1" thickTop="1">
      <c r="A23" s="97" t="s">
        <v>49</v>
      </c>
      <c r="B23" s="98"/>
      <c r="C23" s="99"/>
      <c r="D23" s="64" t="s">
        <v>103</v>
      </c>
      <c r="E23" s="64"/>
      <c r="F23" s="64"/>
      <c r="G23" s="100"/>
      <c r="H23" s="101"/>
      <c r="I23" s="101"/>
      <c r="J23" s="102"/>
      <c r="L23" s="25"/>
      <c r="M23" s="28"/>
      <c r="N23" s="28"/>
      <c r="O23" s="28"/>
      <c r="P23" s="27"/>
      <c r="Q23" s="27"/>
      <c r="R23" s="27"/>
      <c r="U23" s="97" t="s">
        <v>49</v>
      </c>
      <c r="V23" s="98"/>
      <c r="W23" s="99"/>
      <c r="X23" s="61" t="s">
        <v>103</v>
      </c>
      <c r="Y23" s="62"/>
      <c r="Z23" s="62"/>
      <c r="AA23" s="100"/>
      <c r="AB23" s="101"/>
      <c r="AC23" s="84" t="s">
        <v>50</v>
      </c>
      <c r="AD23" s="85"/>
    </row>
    <row r="24" spans="1:30" ht="15" customHeight="1">
      <c r="A24" s="75" t="s">
        <v>51</v>
      </c>
      <c r="B24" s="86" t="s">
        <v>15</v>
      </c>
      <c r="C24" s="87"/>
      <c r="D24" s="88" t="s">
        <v>104</v>
      </c>
      <c r="E24" s="89"/>
      <c r="F24" s="29" t="s">
        <v>52</v>
      </c>
      <c r="G24" s="72" t="s">
        <v>110</v>
      </c>
      <c r="H24" s="73"/>
      <c r="I24" s="73"/>
      <c r="J24" s="30" t="s">
        <v>19</v>
      </c>
      <c r="L24" s="25" t="s">
        <v>53</v>
      </c>
      <c r="M24" s="27">
        <v>0.17</v>
      </c>
      <c r="N24" s="27" t="s">
        <v>54</v>
      </c>
      <c r="O24" s="31"/>
      <c r="P24" s="27"/>
      <c r="Q24" s="27">
        <f>+M24*1000</f>
        <v>170</v>
      </c>
      <c r="R24" s="27" t="s">
        <v>55</v>
      </c>
      <c r="U24" s="75" t="s">
        <v>56</v>
      </c>
      <c r="V24" s="90" t="s">
        <v>15</v>
      </c>
      <c r="W24" s="91"/>
      <c r="X24" s="68" t="s">
        <v>104</v>
      </c>
      <c r="Y24" s="69"/>
      <c r="Z24" s="29" t="s">
        <v>52</v>
      </c>
      <c r="AA24" s="32" t="s">
        <v>110</v>
      </c>
      <c r="AB24" s="33" t="s">
        <v>19</v>
      </c>
      <c r="AC24" s="34"/>
      <c r="AD24" s="35" t="s">
        <v>19</v>
      </c>
    </row>
    <row r="25" spans="1:30" ht="15" customHeight="1">
      <c r="A25" s="75"/>
      <c r="B25" s="57" t="s">
        <v>16</v>
      </c>
      <c r="C25" s="57"/>
      <c r="D25" s="69" t="s">
        <v>105</v>
      </c>
      <c r="E25" s="92"/>
      <c r="F25" s="29" t="s">
        <v>52</v>
      </c>
      <c r="G25" s="72" t="s">
        <v>111</v>
      </c>
      <c r="H25" s="73"/>
      <c r="I25" s="73"/>
      <c r="J25" s="30" t="s">
        <v>19</v>
      </c>
      <c r="L25" s="25"/>
      <c r="M25" s="27"/>
      <c r="N25" s="27"/>
      <c r="O25" s="31"/>
      <c r="P25" s="27"/>
      <c r="Q25" s="27"/>
      <c r="R25" s="27"/>
      <c r="U25" s="75"/>
      <c r="V25" s="57" t="s">
        <v>16</v>
      </c>
      <c r="W25" s="57"/>
      <c r="X25" s="68" t="s">
        <v>105</v>
      </c>
      <c r="Y25" s="69"/>
      <c r="Z25" s="29" t="s">
        <v>52</v>
      </c>
      <c r="AA25" s="32" t="s">
        <v>111</v>
      </c>
      <c r="AB25" s="33" t="s">
        <v>19</v>
      </c>
      <c r="AC25" s="34"/>
      <c r="AD25" s="35" t="s">
        <v>19</v>
      </c>
    </row>
    <row r="26" spans="1:30" ht="15" customHeight="1">
      <c r="A26" s="75" t="s">
        <v>57</v>
      </c>
      <c r="B26" s="76" t="s">
        <v>15</v>
      </c>
      <c r="C26" s="76"/>
      <c r="D26" s="93" t="s">
        <v>106</v>
      </c>
      <c r="E26" s="94"/>
      <c r="F26" s="29" t="s">
        <v>52</v>
      </c>
      <c r="G26" s="95" t="s">
        <v>112</v>
      </c>
      <c r="H26" s="96"/>
      <c r="I26" s="96"/>
      <c r="J26" s="30" t="s">
        <v>19</v>
      </c>
      <c r="L26" s="25" t="s">
        <v>58</v>
      </c>
      <c r="M26" s="27"/>
      <c r="N26" s="27"/>
      <c r="O26" s="36">
        <v>2000</v>
      </c>
      <c r="P26" s="27" t="s">
        <v>59</v>
      </c>
      <c r="Q26" s="37"/>
      <c r="R26" s="38"/>
      <c r="U26" s="75" t="s">
        <v>57</v>
      </c>
      <c r="V26" s="57" t="s">
        <v>15</v>
      </c>
      <c r="W26" s="57"/>
      <c r="X26" s="68" t="s">
        <v>106</v>
      </c>
      <c r="Y26" s="69"/>
      <c r="Z26" s="29" t="s">
        <v>52</v>
      </c>
      <c r="AA26" s="32" t="s">
        <v>112</v>
      </c>
      <c r="AB26" s="33" t="s">
        <v>19</v>
      </c>
      <c r="AC26" s="34"/>
      <c r="AD26" s="35" t="s">
        <v>19</v>
      </c>
    </row>
    <row r="27" spans="1:30" ht="15" customHeight="1">
      <c r="A27" s="65"/>
      <c r="B27" s="57" t="s">
        <v>16</v>
      </c>
      <c r="C27" s="57"/>
      <c r="D27" s="70" t="s">
        <v>107</v>
      </c>
      <c r="E27" s="71"/>
      <c r="F27" s="29" t="s">
        <v>52</v>
      </c>
      <c r="G27" s="72" t="s">
        <v>113</v>
      </c>
      <c r="H27" s="73"/>
      <c r="I27" s="73"/>
      <c r="J27" s="30" t="s">
        <v>19</v>
      </c>
      <c r="L27" s="25" t="s">
        <v>60</v>
      </c>
      <c r="M27" s="39"/>
      <c r="N27" s="27"/>
      <c r="O27" s="39">
        <f>((O26*R17)/100000)+0.03</f>
        <v>0.16800000000000001</v>
      </c>
      <c r="P27" s="27" t="s">
        <v>54</v>
      </c>
      <c r="Q27" s="37" t="s">
        <v>61</v>
      </c>
      <c r="R27" s="40">
        <v>0.05</v>
      </c>
      <c r="U27" s="65"/>
      <c r="V27" s="57" t="s">
        <v>16</v>
      </c>
      <c r="W27" s="57"/>
      <c r="X27" s="68" t="s">
        <v>107</v>
      </c>
      <c r="Y27" s="69"/>
      <c r="Z27" s="29" t="s">
        <v>52</v>
      </c>
      <c r="AA27" s="32" t="s">
        <v>113</v>
      </c>
      <c r="AB27" s="33" t="s">
        <v>19</v>
      </c>
      <c r="AC27" s="34"/>
      <c r="AD27" s="35" t="s">
        <v>19</v>
      </c>
    </row>
    <row r="28" spans="1:30" ht="15" customHeight="1">
      <c r="A28" s="75" t="s">
        <v>62</v>
      </c>
      <c r="B28" s="76" t="s">
        <v>15</v>
      </c>
      <c r="C28" s="76"/>
      <c r="D28" s="77" t="s">
        <v>108</v>
      </c>
      <c r="E28" s="78"/>
      <c r="F28" s="29" t="s">
        <v>52</v>
      </c>
      <c r="G28" s="79" t="s">
        <v>114</v>
      </c>
      <c r="H28" s="80"/>
      <c r="I28" s="80"/>
      <c r="J28" s="30" t="s">
        <v>19</v>
      </c>
      <c r="L28" s="25" t="s">
        <v>63</v>
      </c>
      <c r="M28" s="81" t="s">
        <v>64</v>
      </c>
      <c r="N28" s="81"/>
      <c r="O28" s="81"/>
      <c r="P28" s="81"/>
      <c r="Q28" s="81"/>
      <c r="R28" s="81"/>
      <c r="U28" s="75" t="s">
        <v>62</v>
      </c>
      <c r="V28" s="57" t="s">
        <v>15</v>
      </c>
      <c r="W28" s="57"/>
      <c r="X28" s="82" t="s">
        <v>108</v>
      </c>
      <c r="Y28" s="83"/>
      <c r="Z28" s="29" t="s">
        <v>52</v>
      </c>
      <c r="AA28" s="41" t="s">
        <v>114</v>
      </c>
      <c r="AB28" s="33" t="s">
        <v>19</v>
      </c>
      <c r="AC28" s="42"/>
      <c r="AD28" s="35" t="s">
        <v>19</v>
      </c>
    </row>
    <row r="29" spans="1:30" ht="15" customHeight="1" thickBot="1">
      <c r="A29" s="65"/>
      <c r="B29" s="57" t="s">
        <v>16</v>
      </c>
      <c r="C29" s="57"/>
      <c r="D29" s="82" t="s">
        <v>109</v>
      </c>
      <c r="E29" s="83"/>
      <c r="F29" s="29" t="s">
        <v>52</v>
      </c>
      <c r="G29" s="79" t="s">
        <v>115</v>
      </c>
      <c r="H29" s="80"/>
      <c r="I29" s="80"/>
      <c r="J29" s="30" t="s">
        <v>19</v>
      </c>
      <c r="L29" s="25"/>
      <c r="M29" s="26"/>
      <c r="N29" s="26"/>
      <c r="O29" s="26"/>
      <c r="P29" s="26"/>
      <c r="Q29" s="26"/>
      <c r="R29" s="26"/>
      <c r="U29" s="65"/>
      <c r="V29" s="57" t="s">
        <v>16</v>
      </c>
      <c r="W29" s="57"/>
      <c r="X29" s="82" t="s">
        <v>109</v>
      </c>
      <c r="Y29" s="83"/>
      <c r="Z29" s="29" t="s">
        <v>52</v>
      </c>
      <c r="AA29" s="41" t="s">
        <v>115</v>
      </c>
      <c r="AB29" s="33" t="s">
        <v>19</v>
      </c>
      <c r="AC29" s="43"/>
      <c r="AD29" s="44" t="s">
        <v>19</v>
      </c>
    </row>
    <row r="30" spans="1:30" ht="15" customHeight="1" thickTop="1">
      <c r="A30" s="65" t="s">
        <v>65</v>
      </c>
      <c r="B30" s="65"/>
      <c r="C30" s="56" t="s">
        <v>66</v>
      </c>
      <c r="D30" s="56"/>
      <c r="E30" s="56"/>
      <c r="F30" s="56"/>
      <c r="G30" s="61" t="s">
        <v>126</v>
      </c>
      <c r="H30" s="62"/>
      <c r="I30" s="62"/>
      <c r="J30" s="63"/>
      <c r="L30" s="74" t="s">
        <v>65</v>
      </c>
      <c r="M30" s="64" t="s">
        <v>66</v>
      </c>
      <c r="N30" s="64"/>
      <c r="O30" s="64" t="s">
        <v>67</v>
      </c>
      <c r="P30" s="64"/>
      <c r="Q30" s="64"/>
      <c r="R30" s="64"/>
      <c r="U30" s="65" t="s">
        <v>65</v>
      </c>
      <c r="V30" s="65"/>
      <c r="W30" s="56" t="s">
        <v>66</v>
      </c>
      <c r="X30" s="56"/>
      <c r="Y30" s="56"/>
      <c r="Z30" s="56"/>
      <c r="AA30" s="61" t="s">
        <v>126</v>
      </c>
      <c r="AB30" s="62"/>
      <c r="AC30" s="66"/>
      <c r="AD30" s="67"/>
    </row>
    <row r="31" spans="1:30" ht="15" customHeight="1">
      <c r="A31" s="65"/>
      <c r="B31" s="65"/>
      <c r="C31" s="56" t="s">
        <v>68</v>
      </c>
      <c r="D31" s="56"/>
      <c r="E31" s="56"/>
      <c r="F31" s="56"/>
      <c r="G31" s="61" t="s">
        <v>127</v>
      </c>
      <c r="H31" s="62"/>
      <c r="I31" s="62"/>
      <c r="J31" s="63"/>
      <c r="L31" s="74"/>
      <c r="M31" s="64" t="s">
        <v>68</v>
      </c>
      <c r="N31" s="64"/>
      <c r="O31" s="64" t="s">
        <v>47</v>
      </c>
      <c r="P31" s="64"/>
      <c r="Q31" s="64"/>
      <c r="R31" s="64"/>
      <c r="U31" s="65"/>
      <c r="V31" s="65"/>
      <c r="W31" s="56" t="s">
        <v>68</v>
      </c>
      <c r="X31" s="56"/>
      <c r="Y31" s="56"/>
      <c r="Z31" s="56"/>
      <c r="AA31" s="61" t="s">
        <v>127</v>
      </c>
      <c r="AB31" s="62"/>
      <c r="AC31" s="62"/>
      <c r="AD31" s="63"/>
    </row>
    <row r="32" spans="1:30" ht="15" customHeight="1">
      <c r="A32" s="65"/>
      <c r="B32" s="65"/>
      <c r="C32" s="56" t="s">
        <v>69</v>
      </c>
      <c r="D32" s="56"/>
      <c r="E32" s="56"/>
      <c r="F32" s="56"/>
      <c r="G32" s="61" t="s">
        <v>128</v>
      </c>
      <c r="H32" s="62"/>
      <c r="I32" s="62"/>
      <c r="J32" s="63"/>
      <c r="L32" s="74"/>
      <c r="M32" s="64" t="s">
        <v>69</v>
      </c>
      <c r="N32" s="64"/>
      <c r="O32" s="64"/>
      <c r="P32" s="64"/>
      <c r="Q32" s="64" t="s">
        <v>7</v>
      </c>
      <c r="R32" s="64"/>
      <c r="U32" s="65"/>
      <c r="V32" s="65"/>
      <c r="W32" s="56" t="s">
        <v>69</v>
      </c>
      <c r="X32" s="56"/>
      <c r="Y32" s="56"/>
      <c r="Z32" s="56"/>
      <c r="AA32" s="61" t="s">
        <v>128</v>
      </c>
      <c r="AB32" s="62"/>
      <c r="AC32" s="62"/>
      <c r="AD32" s="63"/>
    </row>
    <row r="33" spans="1:30" ht="15" customHeight="1">
      <c r="A33" s="65"/>
      <c r="B33" s="65"/>
      <c r="C33" s="56" t="s">
        <v>70</v>
      </c>
      <c r="D33" s="56"/>
      <c r="E33" s="56"/>
      <c r="F33" s="56"/>
      <c r="G33" s="61" t="s">
        <v>129</v>
      </c>
      <c r="H33" s="62"/>
      <c r="I33" s="62"/>
      <c r="J33" s="63"/>
      <c r="L33" s="74"/>
      <c r="M33" s="64" t="s">
        <v>70</v>
      </c>
      <c r="N33" s="64"/>
      <c r="O33" s="64"/>
      <c r="P33" s="64" t="s">
        <v>47</v>
      </c>
      <c r="Q33" s="64"/>
      <c r="R33" s="64"/>
      <c r="U33" s="65"/>
      <c r="V33" s="65"/>
      <c r="W33" s="56" t="s">
        <v>70</v>
      </c>
      <c r="X33" s="56"/>
      <c r="Y33" s="56"/>
      <c r="Z33" s="56"/>
      <c r="AA33" s="61" t="s">
        <v>129</v>
      </c>
      <c r="AB33" s="62"/>
      <c r="AC33" s="62"/>
      <c r="AD33" s="63"/>
    </row>
    <row r="34" spans="1:30" ht="15" customHeight="1" thickBot="1"/>
    <row r="35" spans="1:30" ht="15" customHeight="1">
      <c r="A35" s="58" t="s">
        <v>71</v>
      </c>
      <c r="B35" s="60"/>
      <c r="C35" s="59"/>
      <c r="D35" s="60" t="s">
        <v>72</v>
      </c>
      <c r="E35" s="59"/>
      <c r="F35" s="58" t="s">
        <v>73</v>
      </c>
      <c r="G35" s="59"/>
      <c r="H35" s="60" t="s">
        <v>74</v>
      </c>
      <c r="I35" s="60"/>
      <c r="J35" s="59"/>
      <c r="K35" s="45"/>
      <c r="L35" s="45"/>
      <c r="M35" s="45"/>
      <c r="N35" s="45"/>
      <c r="O35" s="45"/>
      <c r="P35" s="45"/>
      <c r="Q35" s="45"/>
      <c r="R35" s="45"/>
      <c r="S35" s="45"/>
      <c r="T35" s="45"/>
      <c r="U35" s="58" t="s">
        <v>71</v>
      </c>
      <c r="V35" s="60"/>
      <c r="W35" s="59"/>
      <c r="X35" s="60" t="s">
        <v>75</v>
      </c>
      <c r="Y35" s="59"/>
      <c r="Z35" s="58" t="s">
        <v>76</v>
      </c>
      <c r="AA35" s="59"/>
      <c r="AB35" s="60" t="s">
        <v>77</v>
      </c>
      <c r="AC35" s="60"/>
      <c r="AD35" s="59"/>
    </row>
    <row r="36" spans="1:30" ht="15" customHeight="1">
      <c r="A36" s="46"/>
      <c r="C36" s="47"/>
      <c r="E36" s="48"/>
      <c r="F36" s="46"/>
      <c r="G36" s="47"/>
      <c r="J36" s="47"/>
      <c r="U36" s="46"/>
      <c r="W36" s="47"/>
      <c r="Y36" s="48"/>
      <c r="Z36" s="46"/>
      <c r="AA36" s="47"/>
      <c r="AD36" s="47"/>
    </row>
    <row r="37" spans="1:30" ht="15" customHeight="1">
      <c r="A37" s="46"/>
      <c r="C37" s="47"/>
      <c r="E37" s="47"/>
      <c r="F37" s="46"/>
      <c r="G37" s="47"/>
      <c r="J37" s="47"/>
      <c r="U37" s="46"/>
      <c r="W37" s="47"/>
      <c r="Y37" s="47"/>
      <c r="Z37" s="46"/>
      <c r="AA37" s="47"/>
      <c r="AD37" s="47"/>
    </row>
    <row r="38" spans="1:30" ht="15" customHeight="1" thickBot="1">
      <c r="A38" s="49"/>
      <c r="B38" s="50"/>
      <c r="C38" s="51"/>
      <c r="D38" s="50"/>
      <c r="E38" s="51"/>
      <c r="F38" s="49"/>
      <c r="G38" s="51"/>
      <c r="H38" s="50"/>
      <c r="I38" s="50"/>
      <c r="J38" s="51"/>
      <c r="U38" s="49"/>
      <c r="V38" s="50"/>
      <c r="W38" s="51"/>
      <c r="X38" s="50"/>
      <c r="Y38" s="51"/>
      <c r="Z38" s="49"/>
      <c r="AA38" s="51"/>
      <c r="AB38" s="50"/>
      <c r="AC38" s="50"/>
      <c r="AD38" s="51"/>
    </row>
    <row r="43" spans="1:30">
      <c r="D43" s="52"/>
    </row>
  </sheetData>
  <mergeCells count="205">
    <mergeCell ref="A1:G1"/>
    <mergeCell ref="H1:J1"/>
    <mergeCell ref="U1:AA1"/>
    <mergeCell ref="AB1:AD1"/>
    <mergeCell ref="A2:E2"/>
    <mergeCell ref="F2:J2"/>
    <mergeCell ref="L2:N2"/>
    <mergeCell ref="O2:R2"/>
    <mergeCell ref="U2:Y2"/>
    <mergeCell ref="Z2:AD2"/>
    <mergeCell ref="A3:C3"/>
    <mergeCell ref="D3:J3"/>
    <mergeCell ref="M3:R3"/>
    <mergeCell ref="U3:W3"/>
    <mergeCell ref="X3:AD3"/>
    <mergeCell ref="A4:C4"/>
    <mergeCell ref="D4:J4"/>
    <mergeCell ref="M4:R4"/>
    <mergeCell ref="U4:W4"/>
    <mergeCell ref="X4:AD4"/>
    <mergeCell ref="A5:C5"/>
    <mergeCell ref="D5:J5"/>
    <mergeCell ref="M5:R5"/>
    <mergeCell ref="U5:W5"/>
    <mergeCell ref="X5:AD5"/>
    <mergeCell ref="A6:C7"/>
    <mergeCell ref="D6:F7"/>
    <mergeCell ref="G6:J6"/>
    <mergeCell ref="U6:W7"/>
    <mergeCell ref="X6:Z7"/>
    <mergeCell ref="AA6:AD6"/>
    <mergeCell ref="G7:H7"/>
    <mergeCell ref="I7:J7"/>
    <mergeCell ref="AA7:AB7"/>
    <mergeCell ref="AC7:AD7"/>
    <mergeCell ref="AC10:AC11"/>
    <mergeCell ref="AD10:AD11"/>
    <mergeCell ref="D11:E11"/>
    <mergeCell ref="X11:Y11"/>
    <mergeCell ref="X10:Y10"/>
    <mergeCell ref="AA10:AA11"/>
    <mergeCell ref="AB10:AB11"/>
    <mergeCell ref="A8:C8"/>
    <mergeCell ref="D8:E8"/>
    <mergeCell ref="M8:R8"/>
    <mergeCell ref="U8:W8"/>
    <mergeCell ref="X8:Y8"/>
    <mergeCell ref="A9:C9"/>
    <mergeCell ref="D9:E9"/>
    <mergeCell ref="M9:R9"/>
    <mergeCell ref="U9:W9"/>
    <mergeCell ref="X9:Y9"/>
    <mergeCell ref="G12:G13"/>
    <mergeCell ref="H12:H13"/>
    <mergeCell ref="I12:I13"/>
    <mergeCell ref="J12:J13"/>
    <mergeCell ref="J10:J11"/>
    <mergeCell ref="M10:R10"/>
    <mergeCell ref="U10:W11"/>
    <mergeCell ref="A10:C11"/>
    <mergeCell ref="D10:E10"/>
    <mergeCell ref="G10:G11"/>
    <mergeCell ref="H10:H11"/>
    <mergeCell ref="I10:I11"/>
    <mergeCell ref="A15:C15"/>
    <mergeCell ref="D15:J15"/>
    <mergeCell ref="M15:R15"/>
    <mergeCell ref="U15:W15"/>
    <mergeCell ref="X15:AD15"/>
    <mergeCell ref="A16:J16"/>
    <mergeCell ref="L16:R16"/>
    <mergeCell ref="U16:AD16"/>
    <mergeCell ref="AD12:AD13"/>
    <mergeCell ref="D13:E13"/>
    <mergeCell ref="X13:Y13"/>
    <mergeCell ref="A14:C14"/>
    <mergeCell ref="D14:E14"/>
    <mergeCell ref="M14:R14"/>
    <mergeCell ref="U14:W14"/>
    <mergeCell ref="X14:Y14"/>
    <mergeCell ref="M12:R12"/>
    <mergeCell ref="U12:W13"/>
    <mergeCell ref="X12:Y12"/>
    <mergeCell ref="AA12:AA13"/>
    <mergeCell ref="AB12:AB13"/>
    <mergeCell ref="AC12:AC13"/>
    <mergeCell ref="A12:C13"/>
    <mergeCell ref="D12:E12"/>
    <mergeCell ref="AC18:AD18"/>
    <mergeCell ref="A19:C19"/>
    <mergeCell ref="D19:J19"/>
    <mergeCell ref="N19:O19"/>
    <mergeCell ref="U19:W19"/>
    <mergeCell ref="X19:AD19"/>
    <mergeCell ref="X17:Y17"/>
    <mergeCell ref="AA17:AB17"/>
    <mergeCell ref="A18:C18"/>
    <mergeCell ref="D18:F18"/>
    <mergeCell ref="G18:H18"/>
    <mergeCell ref="I18:J18"/>
    <mergeCell ref="N18:O18"/>
    <mergeCell ref="U18:W18"/>
    <mergeCell ref="X18:Z18"/>
    <mergeCell ref="AA18:AB18"/>
    <mergeCell ref="A17:C17"/>
    <mergeCell ref="D17:E17"/>
    <mergeCell ref="G17:H17"/>
    <mergeCell ref="M17:N17"/>
    <mergeCell ref="O17:Q17"/>
    <mergeCell ref="U17:W17"/>
    <mergeCell ref="A20:J20"/>
    <mergeCell ref="U20:AD20"/>
    <mergeCell ref="A21:C21"/>
    <mergeCell ref="D21:F21"/>
    <mergeCell ref="G21:H21"/>
    <mergeCell ref="M21:R21"/>
    <mergeCell ref="U21:W21"/>
    <mergeCell ref="X21:Z21"/>
    <mergeCell ref="AA21:AB21"/>
    <mergeCell ref="V26:W26"/>
    <mergeCell ref="AA22:AB22"/>
    <mergeCell ref="A23:C23"/>
    <mergeCell ref="D23:F23"/>
    <mergeCell ref="G23:J23"/>
    <mergeCell ref="U23:W23"/>
    <mergeCell ref="X23:Z23"/>
    <mergeCell ref="AA23:AB23"/>
    <mergeCell ref="A22:C22"/>
    <mergeCell ref="D22:F22"/>
    <mergeCell ref="G22:H22"/>
    <mergeCell ref="M22:O22"/>
    <mergeCell ref="U22:W22"/>
    <mergeCell ref="X22:Z22"/>
    <mergeCell ref="X28:Y28"/>
    <mergeCell ref="D29:E29"/>
    <mergeCell ref="G29:I29"/>
    <mergeCell ref="V29:W29"/>
    <mergeCell ref="X29:Y29"/>
    <mergeCell ref="B27:C27"/>
    <mergeCell ref="AC23:AD23"/>
    <mergeCell ref="A24:A25"/>
    <mergeCell ref="B24:C24"/>
    <mergeCell ref="D24:E24"/>
    <mergeCell ref="G24:I24"/>
    <mergeCell ref="U24:U25"/>
    <mergeCell ref="V24:W24"/>
    <mergeCell ref="X24:Y24"/>
    <mergeCell ref="B25:C25"/>
    <mergeCell ref="D25:E25"/>
    <mergeCell ref="G25:I25"/>
    <mergeCell ref="V25:W25"/>
    <mergeCell ref="X25:Y25"/>
    <mergeCell ref="A26:A27"/>
    <mergeCell ref="B26:C26"/>
    <mergeCell ref="D26:E26"/>
    <mergeCell ref="G26:I26"/>
    <mergeCell ref="U26:U27"/>
    <mergeCell ref="O31:R31"/>
    <mergeCell ref="X26:Y26"/>
    <mergeCell ref="D27:E27"/>
    <mergeCell ref="G27:I27"/>
    <mergeCell ref="V27:W27"/>
    <mergeCell ref="X27:Y27"/>
    <mergeCell ref="AA31:AD31"/>
    <mergeCell ref="C32:F32"/>
    <mergeCell ref="A30:B33"/>
    <mergeCell ref="C30:F30"/>
    <mergeCell ref="G30:J30"/>
    <mergeCell ref="L30:L33"/>
    <mergeCell ref="M30:N30"/>
    <mergeCell ref="O30:R30"/>
    <mergeCell ref="G32:J32"/>
    <mergeCell ref="M32:P32"/>
    <mergeCell ref="Q32:R32"/>
    <mergeCell ref="A28:A29"/>
    <mergeCell ref="B28:C28"/>
    <mergeCell ref="D28:E28"/>
    <mergeCell ref="G28:I28"/>
    <mergeCell ref="M28:R28"/>
    <mergeCell ref="U28:U29"/>
    <mergeCell ref="V28:W28"/>
    <mergeCell ref="W31:Z31"/>
    <mergeCell ref="B29:C29"/>
    <mergeCell ref="Z35:AA35"/>
    <mergeCell ref="AB35:AD35"/>
    <mergeCell ref="A35:C35"/>
    <mergeCell ref="D35:E35"/>
    <mergeCell ref="F35:G35"/>
    <mergeCell ref="H35:J35"/>
    <mergeCell ref="U35:W35"/>
    <mergeCell ref="X35:Y35"/>
    <mergeCell ref="W32:Z32"/>
    <mergeCell ref="AA32:AD32"/>
    <mergeCell ref="C33:F33"/>
    <mergeCell ref="G33:J33"/>
    <mergeCell ref="M33:O33"/>
    <mergeCell ref="P33:R33"/>
    <mergeCell ref="W33:Z33"/>
    <mergeCell ref="AA33:AD33"/>
    <mergeCell ref="U30:V33"/>
    <mergeCell ref="W30:Z30"/>
    <mergeCell ref="AA30:AD30"/>
    <mergeCell ref="C31:F31"/>
    <mergeCell ref="G31:J31"/>
    <mergeCell ref="M31:N31"/>
  </mergeCells>
  <printOptions horizontalCentered="1" verticalCentered="1"/>
  <pageMargins left="0" right="0" top="0" bottom="0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sử dụng 1 file vật tư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PQT123</dc:creator>
  <cp:lastModifiedBy>PQT123</cp:lastModifiedBy>
  <dcterms:created xsi:type="dcterms:W3CDTF">2024-09-10T08:23:22Z</dcterms:created>
  <dcterms:modified xsi:type="dcterms:W3CDTF">2024-09-13T04:38:16Z</dcterms:modified>
</cp:coreProperties>
</file>