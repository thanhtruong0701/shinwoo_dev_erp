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0\VuejsProjects\gsf204003\resources\report\20\10\"/>
    </mc:Choice>
  </mc:AlternateContent>
  <bookViews>
    <workbookView xWindow="0" yWindow="0" windowWidth="28800" windowHeight="12450"/>
  </bookViews>
  <sheets>
    <sheet name="Sheet1" sheetId="1" r:id="rId1"/>
  </sheets>
  <definedNames>
    <definedName name="_xlnm._FilterDatabase" localSheetId="0" hidden="1">Sheet1!$A$1:$AF$2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E2" i="1" s="1"/>
</calcChain>
</file>

<file path=xl/sharedStrings.xml><?xml version="1.0" encoding="utf-8"?>
<sst xmlns="http://schemas.openxmlformats.org/spreadsheetml/2006/main" count="44" uniqueCount="43">
  <si>
    <t>SEQ</t>
  </si>
  <si>
    <t>O.DATE</t>
  </si>
  <si>
    <t>CUSTOMER</t>
  </si>
  <si>
    <t>Consignee</t>
  </si>
  <si>
    <t>PO#</t>
  </si>
  <si>
    <t>CODE (Remark5)</t>
  </si>
  <si>
    <t>PURCHACE REQUISITION (Remark6)</t>
  </si>
  <si>
    <t>Item of requisition  (Remark7)</t>
  </si>
  <si>
    <t>MATERIAL  (Remark8)</t>
  </si>
  <si>
    <t>PT  (Remark9)</t>
  </si>
  <si>
    <t>LINE  (Remark10)</t>
  </si>
  <si>
    <t>DPO  (Remark11)</t>
  </si>
  <si>
    <t>PI No  (Remark12)</t>
  </si>
  <si>
    <t>Item code</t>
  </si>
  <si>
    <t>DESC SHINWOO</t>
  </si>
  <si>
    <t>DESC ORDER</t>
  </si>
  <si>
    <t>Detail
 Remark</t>
  </si>
  <si>
    <t>STYLE</t>
  </si>
  <si>
    <t>COLOR</t>
  </si>
  <si>
    <t>SIZE 1
mm</t>
  </si>
  <si>
    <t>SIZE 2
mm</t>
  </si>
  <si>
    <t>Q'TY</t>
  </si>
  <si>
    <t>D.DEL</t>
  </si>
  <si>
    <t>Unit</t>
  </si>
  <si>
    <t>U.PRICE (VND)</t>
  </si>
  <si>
    <t>U.PRICE (USD)</t>
  </si>
  <si>
    <t>AMOUNT (VND)</t>
  </si>
  <si>
    <t>AMOUNT (USD)</t>
  </si>
  <si>
    <t>VAT %</t>
  </si>
  <si>
    <t>VAT</t>
  </si>
  <si>
    <t>CASH AFTER TAXES</t>
  </si>
  <si>
    <t>20240625</t>
  </si>
  <si>
    <t>CHANG SHIN</t>
  </si>
  <si>
    <t>VJ</t>
  </si>
  <si>
    <t>PT05.15</t>
  </si>
  <si>
    <t>H</t>
  </si>
  <si>
    <t>4510291283-10</t>
  </si>
  <si>
    <t>ARGENTINA, CHILE &amp; URUGUAY HANG TAG</t>
  </si>
  <si>
    <t>FN8454-001</t>
  </si>
  <si>
    <t>20240729</t>
  </si>
  <si>
    <t>PCS</t>
  </si>
  <si>
    <t>TYPE</t>
  </si>
  <si>
    <t>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</si>
</sst>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yyyy\-mm\-dd"/>
    <numFmt numFmtId="166" formatCode="[$-409]d\-mmm;@"/>
    <numFmt numFmtId="167" formatCode="_(* #,##0.000_);_(* \(#,##0.000\);_(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center" vertical="center" shrinkToFit="1"/>
    </xf>
    <xf numFmtId="18" fontId="3" fillId="0" borderId="1" xfId="0" applyNumberFormat="1" applyFont="1" applyFill="1" applyBorder="1" applyAlignment="1">
      <alignment horizontal="left" vertical="center" shrinkToFit="1"/>
    </xf>
    <xf numFmtId="164" fontId="3" fillId="0" borderId="1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wrapText="1" shrinkToFit="1"/>
    </xf>
    <xf numFmtId="164" fontId="2" fillId="3" borderId="1" xfId="1" applyNumberFormat="1" applyFont="1" applyFill="1" applyBorder="1" applyAlignment="1">
      <alignment horizontal="center" vertical="center" wrapText="1" shrinkToFit="1"/>
    </xf>
    <xf numFmtId="164" fontId="2" fillId="3" borderId="1" xfId="1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1" xfId="0" applyFont="1" applyFill="1" applyBorder="1" applyAlignment="1">
      <alignment horizontal="left" vertical="center" shrinkToFit="1"/>
    </xf>
    <xf numFmtId="164" fontId="2" fillId="2" borderId="1" xfId="1" applyNumberFormat="1" applyFont="1" applyFill="1" applyBorder="1" applyAlignment="1">
      <alignment horizontal="center" vertical="center" shrinkToFit="1"/>
    </xf>
    <xf numFmtId="165" fontId="2" fillId="2" borderId="1" xfId="0" applyNumberFormat="1" applyFont="1" applyFill="1" applyBorder="1" applyAlignment="1">
      <alignment horizontal="center" vertical="center" shrinkToFit="1"/>
    </xf>
    <xf numFmtId="41" fontId="2" fillId="2" borderId="1" xfId="0" applyNumberFormat="1" applyFont="1" applyFill="1" applyBorder="1" applyAlignment="1">
      <alignment vertical="center" shrinkToFit="1"/>
    </xf>
    <xf numFmtId="166" fontId="3" fillId="2" borderId="1" xfId="0" applyNumberFormat="1" applyFont="1" applyFill="1" applyBorder="1" applyAlignment="1">
      <alignment horizontal="center" vertical="center" shrinkToFit="1"/>
    </xf>
    <xf numFmtId="41" fontId="3" fillId="3" borderId="1" xfId="0" applyNumberFormat="1" applyFont="1" applyFill="1" applyBorder="1" applyAlignment="1">
      <alignment vertical="center" shrinkToFit="1"/>
    </xf>
    <xf numFmtId="167" fontId="3" fillId="3" borderId="1" xfId="0" applyNumberFormat="1" applyFont="1" applyFill="1" applyBorder="1" applyAlignment="1">
      <alignment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workbookViewId="0">
      <selection activeCell="H14" activeCellId="1" sqref="U2 H14"/>
    </sheetView>
  </sheetViews>
  <sheetFormatPr defaultRowHeight="15" x14ac:dyDescent="0.25"/>
  <cols>
    <col min="1" max="1" width="9.85546875" bestFit="1" customWidth="1"/>
    <col min="2" max="2" width="13.5703125" bestFit="1" customWidth="1"/>
    <col min="3" max="3" width="14.28515625" bestFit="1" customWidth="1"/>
    <col min="4" max="4" width="13.7109375" bestFit="1" customWidth="1"/>
    <col min="5" max="5" width="13.7109375" customWidth="1"/>
    <col min="6" max="6" width="14.28515625" bestFit="1" customWidth="1"/>
    <col min="7" max="7" width="13.28515625" bestFit="1" customWidth="1"/>
    <col min="8" max="8" width="19.5703125" bestFit="1" customWidth="1"/>
    <col min="9" max="9" width="13.5703125" bestFit="1" customWidth="1"/>
    <col min="10" max="12" width="13.28515625" bestFit="1" customWidth="1"/>
    <col min="13" max="13" width="17.7109375" bestFit="1" customWidth="1"/>
    <col min="14" max="14" width="13.28515625" bestFit="1" customWidth="1"/>
    <col min="15" max="15" width="10.7109375" bestFit="1" customWidth="1"/>
    <col min="16" max="17" width="45.28515625" bestFit="1" customWidth="1"/>
    <col min="18" max="18" width="13.7109375" bestFit="1" customWidth="1"/>
    <col min="19" max="19" width="13.85546875" bestFit="1" customWidth="1"/>
    <col min="20" max="20" width="13" bestFit="1" customWidth="1"/>
    <col min="21" max="21" width="12.42578125" bestFit="1" customWidth="1"/>
    <col min="22" max="22" width="18.7109375" bestFit="1" customWidth="1"/>
    <col min="23" max="23" width="12" bestFit="1" customWidth="1"/>
    <col min="24" max="24" width="11.85546875" bestFit="1" customWidth="1"/>
    <col min="25" max="25" width="11.5703125" bestFit="1" customWidth="1"/>
    <col min="26" max="26" width="13.5703125" bestFit="1" customWidth="1"/>
    <col min="27" max="27" width="13.28515625" bestFit="1" customWidth="1"/>
    <col min="28" max="30" width="12.7109375" bestFit="1" customWidth="1"/>
    <col min="31" max="31" width="10.42578125" bestFit="1" customWidth="1"/>
    <col min="32" max="32" width="12.140625" bestFit="1" customWidth="1"/>
  </cols>
  <sheetData>
    <row r="1" spans="1:32" ht="51.75" x14ac:dyDescent="0.25">
      <c r="A1" s="1" t="s">
        <v>0</v>
      </c>
      <c r="B1" s="8" t="s">
        <v>1</v>
      </c>
      <c r="C1" s="8" t="s">
        <v>2</v>
      </c>
      <c r="D1" s="8" t="s">
        <v>3</v>
      </c>
      <c r="E1" s="8" t="s">
        <v>41</v>
      </c>
      <c r="F1" s="8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1" t="s">
        <v>13</v>
      </c>
      <c r="P1" s="12" t="s">
        <v>14</v>
      </c>
      <c r="Q1" s="12" t="s">
        <v>15</v>
      </c>
      <c r="R1" s="13" t="s">
        <v>16</v>
      </c>
      <c r="S1" s="11" t="s">
        <v>17</v>
      </c>
      <c r="T1" s="12" t="s">
        <v>18</v>
      </c>
      <c r="U1" s="14" t="s">
        <v>19</v>
      </c>
      <c r="V1" s="15" t="s">
        <v>20</v>
      </c>
      <c r="W1" s="19" t="s">
        <v>21</v>
      </c>
      <c r="X1" s="20" t="s">
        <v>22</v>
      </c>
      <c r="Y1" s="19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2" t="s">
        <v>28</v>
      </c>
      <c r="AE1" s="2" t="s">
        <v>29</v>
      </c>
      <c r="AF1" s="2" t="s">
        <v>30</v>
      </c>
    </row>
    <row r="2" spans="1:32" ht="17.25" x14ac:dyDescent="0.3">
      <c r="A2" s="3"/>
      <c r="B2" s="9" t="s">
        <v>31</v>
      </c>
      <c r="C2" s="10" t="s">
        <v>32</v>
      </c>
      <c r="D2" s="10" t="s">
        <v>33</v>
      </c>
      <c r="E2" s="10" t="s">
        <v>42</v>
      </c>
      <c r="F2" s="10">
        <v>4500784910</v>
      </c>
      <c r="G2" s="4"/>
      <c r="H2" s="4"/>
      <c r="I2" s="4"/>
      <c r="J2" s="4"/>
      <c r="K2" s="5" t="s">
        <v>34</v>
      </c>
      <c r="L2" s="5" t="s">
        <v>35</v>
      </c>
      <c r="M2" s="6" t="s">
        <v>36</v>
      </c>
      <c r="N2" s="5"/>
      <c r="O2" s="16"/>
      <c r="P2" s="17" t="s">
        <v>37</v>
      </c>
      <c r="Q2" s="18" t="s">
        <v>37</v>
      </c>
      <c r="R2" s="18"/>
      <c r="S2" s="16" t="s">
        <v>38</v>
      </c>
      <c r="T2" s="18"/>
      <c r="U2" s="16">
        <v>55</v>
      </c>
      <c r="V2" s="16">
        <v>255</v>
      </c>
      <c r="W2" s="21">
        <v>411</v>
      </c>
      <c r="X2" s="22" t="s">
        <v>39</v>
      </c>
      <c r="Y2" s="21" t="s">
        <v>40</v>
      </c>
      <c r="Z2" s="17"/>
      <c r="AA2" s="17">
        <v>3.3230000000000003E-2</v>
      </c>
      <c r="AB2" s="23">
        <f t="shared" ref="AB2" si="0">W2*Z2</f>
        <v>0</v>
      </c>
      <c r="AC2" s="24">
        <f t="shared" ref="AC2" si="1">AA2*W2</f>
        <v>13.657530000000001</v>
      </c>
      <c r="AD2" s="3"/>
      <c r="AE2" s="7">
        <f t="shared" ref="AE2" si="2">ROUND(AB2*8%,0)</f>
        <v>0</v>
      </c>
      <c r="AF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PQT123</dc:creator>
  <cp:lastModifiedBy>PQT123</cp:lastModifiedBy>
  <dcterms:created xsi:type="dcterms:W3CDTF">2024-07-31T03:39:38Z</dcterms:created>
  <dcterms:modified xsi:type="dcterms:W3CDTF">2024-08-09T03:52:45Z</dcterms:modified>
</cp:coreProperties>
</file>