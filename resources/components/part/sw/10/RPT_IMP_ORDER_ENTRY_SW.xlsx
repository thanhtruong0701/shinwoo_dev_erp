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5045" windowWidth="14805" windowHeight="1110" tabRatio="946"/>
  </bookViews>
  <sheets>
    <sheet name="02.11.2022" sheetId="1" r:id="rId1"/>
    <sheet name="GIA CONGO" sheetId="26" state="hidden" r:id="rId2"/>
    <sheet name="Sheet1" sheetId="5" state="hidden" r:id="rId3"/>
    <sheet name="Sheet2" sheetId="2" state="hidden" r:id="rId4"/>
  </sheets>
  <definedNames>
    <definedName name="_xlnm._FilterDatabase" localSheetId="0" hidden="1">'02.11.2022'!$A$3:$K$105</definedName>
    <definedName name="_xlnm._FilterDatabase" localSheetId="1" hidden="1">'GIA CONGO'!$A$3:$L$34</definedName>
    <definedName name="_xlnm._FilterDatabase" localSheetId="2" hidden="1">Sheet1!$A$2:$N$23</definedName>
    <definedName name="_xlnm.Print_Area" localSheetId="1">'GIA CONGO'!$A$1:$K$33</definedName>
    <definedName name="_xlnm.Print_Titles" localSheetId="1">'GIA CONGO'!$1:$3</definedName>
  </definedNames>
  <calcPr calcId="152511"/>
</workbook>
</file>

<file path=xl/calcChain.xml><?xml version="1.0" encoding="utf-8"?>
<calcChain xmlns="http://schemas.openxmlformats.org/spreadsheetml/2006/main">
  <c r="G9" i="1" l="1"/>
  <c r="G19" i="1"/>
  <c r="I40" i="1"/>
  <c r="I52" i="1"/>
  <c r="F103" i="1"/>
  <c r="F104" i="1"/>
  <c r="F105" i="1"/>
  <c r="J104" i="1"/>
  <c r="K104" i="1"/>
  <c r="J105" i="1"/>
  <c r="K105" i="1"/>
  <c r="F102" i="1"/>
  <c r="F101" i="1"/>
  <c r="F97" i="1"/>
  <c r="F98" i="1"/>
  <c r="F99" i="1"/>
  <c r="G100" i="1"/>
  <c r="F96" i="1"/>
  <c r="F77" i="1" l="1"/>
  <c r="F76" i="1"/>
  <c r="F75" i="1"/>
  <c r="F74" i="1"/>
  <c r="F73" i="1"/>
  <c r="F72" i="1"/>
  <c r="F71" i="1"/>
  <c r="F70" i="1"/>
  <c r="F69" i="1"/>
  <c r="G66" i="1"/>
  <c r="F68" i="1"/>
  <c r="F67" i="1"/>
  <c r="F65" i="1"/>
  <c r="F64" i="1"/>
  <c r="F63" i="1"/>
  <c r="F62" i="1"/>
  <c r="F92" i="1" l="1"/>
  <c r="F93" i="1"/>
  <c r="F94" i="1"/>
  <c r="F95" i="1"/>
  <c r="F91" i="1"/>
  <c r="F90" i="1"/>
  <c r="G89" i="1"/>
  <c r="G88" i="1"/>
  <c r="G87" i="1"/>
  <c r="F61" i="1"/>
  <c r="G56" i="1"/>
  <c r="F60" i="1"/>
  <c r="F59" i="1"/>
  <c r="F58" i="1"/>
  <c r="F57" i="1"/>
  <c r="F55" i="1"/>
  <c r="F54" i="1"/>
  <c r="F53" i="1"/>
  <c r="F52" i="1"/>
  <c r="F51" i="1"/>
  <c r="F50" i="1"/>
  <c r="G49" i="1"/>
  <c r="F48" i="1"/>
  <c r="F47" i="1"/>
  <c r="F46" i="1"/>
  <c r="F45" i="1"/>
  <c r="F44" i="1"/>
  <c r="F43" i="1"/>
  <c r="F42" i="1"/>
  <c r="F41" i="1"/>
  <c r="F40" i="1"/>
  <c r="F39" i="1"/>
  <c r="J49" i="1" l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F38" i="1"/>
  <c r="F37" i="1"/>
  <c r="F36" i="1"/>
  <c r="F35" i="1"/>
  <c r="F34" i="1"/>
  <c r="F86" i="1" l="1"/>
  <c r="F84" i="1"/>
  <c r="F85" i="1"/>
  <c r="F33" i="1"/>
  <c r="F32" i="1"/>
  <c r="F31" i="1"/>
  <c r="F30" i="1"/>
  <c r="G83" i="1"/>
  <c r="F29" i="1"/>
  <c r="F28" i="1"/>
  <c r="G27" i="1"/>
  <c r="F26" i="1"/>
  <c r="F25" i="1"/>
  <c r="F24" i="1"/>
  <c r="F23" i="1"/>
  <c r="F22" i="1" l="1"/>
  <c r="F21" i="1"/>
  <c r="G20" i="1"/>
  <c r="F18" i="1" l="1"/>
  <c r="F17" i="1"/>
  <c r="F16" i="1"/>
  <c r="F15" i="1"/>
  <c r="F14" i="1"/>
  <c r="F12" i="1"/>
  <c r="F13" i="1"/>
  <c r="F82" i="1"/>
  <c r="F81" i="1"/>
  <c r="F80" i="1"/>
  <c r="F79" i="1"/>
  <c r="F78" i="1"/>
  <c r="F8" i="1"/>
  <c r="F10" i="1"/>
  <c r="F11" i="1"/>
  <c r="F7" i="1" l="1"/>
  <c r="F6" i="1" l="1"/>
  <c r="G5" i="1" l="1"/>
  <c r="G4" i="1"/>
  <c r="K6" i="5" l="1"/>
  <c r="K10" i="5" l="1"/>
  <c r="K11" i="5" l="1"/>
  <c r="K15" i="5" l="1"/>
  <c r="K16" i="5" l="1"/>
  <c r="K4" i="5" l="1"/>
  <c r="K12" i="5"/>
  <c r="N21" i="5" l="1"/>
  <c r="K20" i="5" l="1"/>
  <c r="J12" i="1" l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9" i="1" l="1"/>
  <c r="K9" i="1"/>
  <c r="J10" i="1"/>
  <c r="K10" i="1"/>
  <c r="J11" i="1"/>
  <c r="K11" i="1"/>
  <c r="J8" i="1" l="1"/>
  <c r="K8" i="1"/>
  <c r="J11" i="5" l="1"/>
  <c r="J10" i="5" l="1"/>
  <c r="J6" i="5" l="1"/>
  <c r="J15" i="5" l="1"/>
  <c r="J16" i="5" l="1"/>
  <c r="J20" i="5" l="1"/>
  <c r="J4" i="5" l="1"/>
  <c r="I12" i="5" l="1"/>
  <c r="I11" i="5"/>
  <c r="I6" i="5" l="1"/>
  <c r="I10" i="5" l="1"/>
  <c r="I4" i="5" l="1"/>
  <c r="I20" i="5" l="1"/>
  <c r="I16" i="5" l="1"/>
  <c r="I15" i="5" l="1"/>
  <c r="H12" i="5" l="1"/>
  <c r="H11" i="5" l="1"/>
  <c r="H6" i="5" l="1"/>
  <c r="H4" i="5" l="1"/>
  <c r="H16" i="5"/>
  <c r="H20" i="5" l="1"/>
  <c r="H15" i="5" l="1"/>
  <c r="H10" i="5" l="1"/>
  <c r="E106" i="1" l="1"/>
  <c r="F106" i="1" l="1"/>
  <c r="G106" i="1"/>
  <c r="J6" i="1" l="1"/>
  <c r="K6" i="1"/>
  <c r="J7" i="1"/>
  <c r="K7" i="1"/>
  <c r="K33" i="26" l="1"/>
  <c r="J33" i="26"/>
  <c r="G33" i="26"/>
  <c r="F33" i="26"/>
  <c r="E33" i="26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G12" i="5" l="1"/>
  <c r="G20" i="5" l="1"/>
  <c r="G10" i="5"/>
  <c r="G6" i="5" l="1"/>
  <c r="G4" i="5" l="1"/>
  <c r="G16" i="5" l="1"/>
  <c r="G15" i="5" l="1"/>
  <c r="F11" i="2" l="1"/>
  <c r="F13" i="2" s="1"/>
  <c r="M23" i="5"/>
  <c r="L23" i="5"/>
  <c r="K23" i="5"/>
  <c r="J23" i="5"/>
  <c r="I23" i="5"/>
  <c r="H23" i="5"/>
  <c r="G23" i="5"/>
  <c r="D20" i="5"/>
  <c r="N20" i="5" s="1"/>
  <c r="N19" i="5"/>
  <c r="N18" i="5"/>
  <c r="N17" i="5"/>
  <c r="F16" i="5"/>
  <c r="E16" i="5"/>
  <c r="D16" i="5"/>
  <c r="C16" i="5"/>
  <c r="N16" i="5" s="1"/>
  <c r="F15" i="5"/>
  <c r="E15" i="5"/>
  <c r="D15" i="5"/>
  <c r="C15" i="5"/>
  <c r="B15" i="5"/>
  <c r="N15" i="5" s="1"/>
  <c r="N14" i="5"/>
  <c r="N13" i="5"/>
  <c r="N12" i="5"/>
  <c r="F12" i="5"/>
  <c r="E12" i="5"/>
  <c r="D12" i="5"/>
  <c r="C12" i="5"/>
  <c r="B12" i="5"/>
  <c r="F11" i="5"/>
  <c r="N11" i="5" s="1"/>
  <c r="F10" i="5"/>
  <c r="E10" i="5"/>
  <c r="D10" i="5"/>
  <c r="C10" i="5"/>
  <c r="B10" i="5"/>
  <c r="N10" i="5" s="1"/>
  <c r="E9" i="5"/>
  <c r="N9" i="5" s="1"/>
  <c r="N8" i="5"/>
  <c r="N7" i="5"/>
  <c r="F6" i="5"/>
  <c r="E6" i="5"/>
  <c r="D6" i="5"/>
  <c r="C6" i="5"/>
  <c r="B6" i="5"/>
  <c r="N6" i="5" s="1"/>
  <c r="N5" i="5"/>
  <c r="F4" i="5"/>
  <c r="F23" i="5" s="1"/>
  <c r="E4" i="5"/>
  <c r="E23" i="5" s="1"/>
  <c r="D4" i="5"/>
  <c r="C4" i="5"/>
  <c r="C23" i="5" s="1"/>
  <c r="B4" i="5"/>
  <c r="N4" i="5" s="1"/>
  <c r="N3" i="5"/>
  <c r="K5" i="1"/>
  <c r="J5" i="1"/>
  <c r="A5" i="1"/>
  <c r="A6" i="1" s="1"/>
  <c r="A7" i="1" s="1"/>
  <c r="A8" i="1" s="1"/>
  <c r="A9" i="1" s="1"/>
  <c r="A10" i="1" s="1"/>
  <c r="A11" i="1" s="1"/>
  <c r="K4" i="1"/>
  <c r="J4" i="1"/>
  <c r="B23" i="5" l="1"/>
  <c r="D23" i="5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J106" i="1"/>
  <c r="K106" i="1"/>
  <c r="N23" i="5"/>
  <c r="A49" i="1" l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</calcChain>
</file>

<file path=xl/sharedStrings.xml><?xml version="1.0" encoding="utf-8"?>
<sst xmlns="http://schemas.openxmlformats.org/spreadsheetml/2006/main" count="290" uniqueCount="113">
  <si>
    <t>NO</t>
  </si>
  <si>
    <t>RECEIVED ORDER DATE</t>
  </si>
  <si>
    <t>BUYER</t>
  </si>
  <si>
    <t>ITEMS</t>
  </si>
  <si>
    <t>QUANTILY</t>
  </si>
  <si>
    <t>UNIT PRICE</t>
  </si>
  <si>
    <t>TOTAL</t>
  </si>
  <si>
    <t>TOTAL (1+2)</t>
  </si>
  <si>
    <t>PRODUCTED BY SW (1)</t>
  </si>
  <si>
    <t>OUT WORKING (2)</t>
  </si>
  <si>
    <t>VND</t>
  </si>
  <si>
    <t>USD</t>
  </si>
  <si>
    <t>TONG HOP DON HANG NHAN TRONG NGAY 2022</t>
  </si>
  <si>
    <t>TONG HOP DON HANG NHAN TRONG NGAY 2021</t>
  </si>
  <si>
    <t>*ANNORA</t>
  </si>
  <si>
    <t>*CANSPORT</t>
  </si>
  <si>
    <t>*CHANG SHIN</t>
  </si>
  <si>
    <t>*CHANG SHIN RFID</t>
  </si>
  <si>
    <t>*DONA ORIENT</t>
  </si>
  <si>
    <t>*DONA PACIFIC</t>
  </si>
  <si>
    <t>*DONA VICTOR</t>
  </si>
  <si>
    <t>*FREETREND (VE)</t>
  </si>
  <si>
    <t>*FREETREND (VL)</t>
  </si>
  <si>
    <t>UPC RFID STICKER</t>
  </si>
  <si>
    <t>*POU SUNG</t>
  </si>
  <si>
    <t>*POU SUNG RFID</t>
  </si>
  <si>
    <t>*ROLLSPORT (VQ2)</t>
  </si>
  <si>
    <t>*POU CHEN</t>
  </si>
  <si>
    <t>*FULUH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</si>
  <si>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</si>
  <si>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</si>
  <si>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</si>
  <si>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</si>
  <si>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</si>
  <si>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</si>
  <si>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</si>
  <si>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</si>
  <si>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</si>
  <si>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</si>
  <si>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</si>
  <si>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</si>
  <si>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DV</t>
  </si>
  <si>
    <t>LW</t>
  </si>
  <si>
    <t>SMAIL</t>
  </si>
  <si>
    <t>VE</t>
  </si>
  <si>
    <t>VF</t>
  </si>
  <si>
    <t>VG</t>
  </si>
  <si>
    <t>VG2</t>
  </si>
  <si>
    <t>VH2</t>
  </si>
  <si>
    <t>VJ</t>
  </si>
  <si>
    <t>VL</t>
  </si>
  <si>
    <t>VO</t>
  </si>
  <si>
    <t>VP</t>
  </si>
  <si>
    <t>VQ</t>
  </si>
  <si>
    <t>VQ2</t>
  </si>
  <si>
    <t>VW</t>
  </si>
  <si>
    <t>VW2</t>
  </si>
  <si>
    <t>VY</t>
  </si>
  <si>
    <t>V3</t>
  </si>
  <si>
    <t>NEW CHINA QUALITY STICKER</t>
  </si>
  <si>
    <t>CHÍ</t>
  </si>
  <si>
    <t>HẰNG</t>
  </si>
  <si>
    <t>LÙN</t>
  </si>
  <si>
    <t>TRINH</t>
  </si>
  <si>
    <t>LINH</t>
  </si>
  <si>
    <t>TÌNH</t>
  </si>
  <si>
    <t>HOÀN</t>
  </si>
  <si>
    <t>YẾN</t>
  </si>
  <si>
    <t>THÚY</t>
  </si>
  <si>
    <t>ứng</t>
  </si>
  <si>
    <t>NEW BRAZIL HANGTAG</t>
  </si>
  <si>
    <t>ARGENTINA, CHILE &amp; URUGUAY HANG TAG</t>
  </si>
  <si>
    <t>SOUTH AFRICA WASHING INSTRUCITON CARD</t>
  </si>
  <si>
    <t>NIKE UCC-128 BLANK CARTON STICKER</t>
  </si>
  <si>
    <t>SAF INTRUCTION CARD (WASHING CARD)</t>
  </si>
  <si>
    <t>FUEL HO20 MTZ TIER 2 HANG TAG</t>
  </si>
  <si>
    <t>NIKE UCC-128 BLANK CARTON STICKER AR37</t>
  </si>
  <si>
    <t>NIKE UCC-128 RIBBON AR37</t>
  </si>
  <si>
    <t>NIKE UCC-128 RIBBON US150</t>
  </si>
  <si>
    <t>CARE HANG TAG (ARG&amp;CHILE)</t>
  </si>
  <si>
    <t>NIKE XDR DURABILITY HANGTAG (BLACK)</t>
  </si>
  <si>
    <t xml:space="preserve">NIKE XDR DURABILITY HANGTAG (ORANGE) </t>
  </si>
  <si>
    <t>*STELLA (V3)</t>
  </si>
  <si>
    <t>VT</t>
  </si>
  <si>
    <t>FUEL HO20 MTZ CH HANG TAG</t>
  </si>
  <si>
    <t>ARGENTINA/CHILE WASHING INSTRUCTION CARD</t>
  </si>
  <si>
    <t>UK IMPORT LABEL</t>
  </si>
  <si>
    <t>US STICKER#3</t>
  </si>
  <si>
    <t>INDIA STICKER</t>
  </si>
  <si>
    <t>INDONESIA INNER BOX STICKER</t>
  </si>
  <si>
    <t xml:space="preserve">INDONESIA SHOE BOX STICKER </t>
  </si>
  <si>
    <t>MALAYSIA STICKER</t>
  </si>
  <si>
    <t>PANAMA HANG TAG</t>
  </si>
  <si>
    <t>PICTOGRAM STICKER</t>
  </si>
  <si>
    <t>CHINA SIZE STICKER</t>
  </si>
  <si>
    <t>JAPAN HANG TAG</t>
  </si>
  <si>
    <t>AUSTRALIA STICKER</t>
  </si>
  <si>
    <t>US STICKER</t>
  </si>
  <si>
    <t>US STICKER#5</t>
  </si>
  <si>
    <t>ARGENTINA INNER BOX STICKER</t>
  </si>
  <si>
    <t>ARGENTINA SOCKLINER STICKER</t>
  </si>
  <si>
    <t>ARGENTINA STICKER</t>
  </si>
  <si>
    <t xml:space="preserve">AUSTRALIA STICKER </t>
  </si>
  <si>
    <t>SUN AND SAND SPORTS LLC CARTON STICKER</t>
  </si>
  <si>
    <t>PHILIPPINES STICKER</t>
  </si>
  <si>
    <t>INDONESIA INNER SHOE LABEL</t>
  </si>
  <si>
    <t>INDONESIA SHOE BOX LABEL</t>
  </si>
  <si>
    <t>SOLAR SOFT STICKER (SQUEEZE ME  NEW)</t>
  </si>
  <si>
    <t>INDONESIA SHOE BOX STICKER</t>
  </si>
  <si>
    <t>INDONESIA SHOE STICKER</t>
  </si>
  <si>
    <t>TAIWAN QR CODE STICKER</t>
  </si>
  <si>
    <t>PARAGUAY STICKER</t>
  </si>
  <si>
    <t>AIR TRADE MARK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</si>
</sst>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4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;@"/>
    <numFmt numFmtId="165" formatCode="_(* #,##0_);_(* \(#,##0\);_(* &quot;-&quot;??_);_(@_)"/>
    <numFmt numFmtId="166" formatCode="0.0"/>
    <numFmt numFmtId="167" formatCode="_(* #,##0.00000_);_(* \(#,##0.00000\);_(* &quot;-&quot;??_);_(@_)"/>
    <numFmt numFmtId="168" formatCode="_(* #,##0.000_);_(* \(#,##0.000\);_(* &quot;-&quot;??_);_(@_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_-* #,##0_-;\-* #,##0_-;_-* &quot;-&quot;_-;_-@_-"/>
    <numFmt numFmtId="172" formatCode="_-* #,##0.00_-;\-* #,##0.00_-;_-* &quot;-&quot;??_-;_-@_-"/>
    <numFmt numFmtId="173" formatCode="General_)"/>
    <numFmt numFmtId="174" formatCode="_-\$* #,##0_-;&quot;-$&quot;* #,##0_-;_-\$* \-_-;_-@_-"/>
    <numFmt numFmtId="175" formatCode="&quot;NT$&quot;#,##0;[Red]&quot;-NT$&quot;#,##0"/>
    <numFmt numFmtId="176" formatCode="&quot;NT$&quot;#,##0.00;[Red]&quot;-NT$&quot;#,##0.00"/>
    <numFmt numFmtId="177" formatCode="_ * #,##0.00_)\ &quot;F&quot;_ ;_ * \(#,##0.00\)\ &quot;F&quot;_ ;_ * &quot;-&quot;??_)\ &quot;F&quot;_ ;_ @_ "/>
    <numFmt numFmtId="178" formatCode="_ * #,##0.00_)\ _$_ ;_ * \(#,##0.00\)\ _$_ ;_ * &quot;-&quot;??_)\ _$_ ;_ @_ "/>
    <numFmt numFmtId="179" formatCode="0.000"/>
    <numFmt numFmtId="180" formatCode="0.000,;[Blue]\-0.000;;"/>
    <numFmt numFmtId="181" formatCode="0.0%"/>
    <numFmt numFmtId="182" formatCode="&quot;$&quot;#,##0.00"/>
    <numFmt numFmtId="183" formatCode="_ * #,##0.00_ ;_ * \-#,##0.00_ ;_ * &quot;-&quot;??_ ;_ @_ "/>
    <numFmt numFmtId="184" formatCode="00"/>
    <numFmt numFmtId="185" formatCode="#,##0;\(#,##0\)"/>
    <numFmt numFmtId="186" formatCode="_-* #,##0_-;\-* #,##0_-;_-* &quot;-&quot;??_-;_-@_-"/>
    <numFmt numFmtId="187" formatCode="\$#,##0\ ;\(\$#,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* #,##0.00\ &quot;€&quot;_-;\-* #,##0.00\ &quot;€&quot;_-;_-* &quot;-&quot;??\ &quot;€&quot;_-;_-@_-"/>
    <numFmt numFmtId="193" formatCode="#."/>
    <numFmt numFmtId="194" formatCode="0E+00"/>
    <numFmt numFmtId="195" formatCode="#,##0.0_);\(#,##0.0\)"/>
    <numFmt numFmtId="196" formatCode="_-* #,##0_-;\-* #,##0_-;_-* \-_-;_-@_-"/>
    <numFmt numFmtId="197" formatCode="_-* #,##0.00_-;\-* #,##0.00_-;_-* \-??_-;_-@_-"/>
    <numFmt numFmtId="198" formatCode="_-\$* #,##0.00_-;&quot;-$&quot;* #,##0.00_-;_-\$* \-??_-;_-@_-"/>
    <numFmt numFmtId="199" formatCode="_-&quot;$&quot;* #,##0_-;\-&quot;$&quot;* #,##0_-;_-&quot;$&quot;* &quot;-&quot;_-;_-@_-"/>
    <numFmt numFmtId="200" formatCode="_-&quot;$&quot;* #,##0.00_-;\-&quot;$&quot;* #,##0.00_-;_-&quot;$&quot;* &quot;-&quot;??_-;_-@_-"/>
    <numFmt numFmtId="201" formatCode="\t#,##0.00_);&quot;(t&quot;#,##0.00\)"/>
    <numFmt numFmtId="202" formatCode="[$-F800]dddd\,\ mmmm\ dd\,\ yyyy"/>
    <numFmt numFmtId="203" formatCode="\$#,##0_);&quot;($&quot;#,##0\)"/>
    <numFmt numFmtId="204" formatCode="0\ \ \ \ "/>
    <numFmt numFmtId="205" formatCode="_-* #,##0\ &quot;DM&quot;_-;\-* #,##0\ &quot;DM&quot;_-;_-* &quot;-&quot;\ &quot;DM&quot;_-;_-@_-"/>
    <numFmt numFmtId="206" formatCode="_-* #,##0.00\ &quot;DM&quot;_-;\-* #,##0.00\ &quot;DM&quot;_-;_-* &quot;-&quot;??\ &quot;DM&quot;_-;_-@_-"/>
    <numFmt numFmtId="207" formatCode="_ &quot;\&quot;* #,##0_ ;_ &quot;\&quot;* \-#,##0_ ;_ &quot;\&quot;* &quot;-&quot;_ ;_ @_ "/>
    <numFmt numFmtId="208" formatCode="_ &quot;\&quot;* #,##0.00_ ;_ &quot;\&quot;* \-#,##0.00_ ;_ &quot;\&quot;* &quot;-&quot;??_ ;_ @_ "/>
    <numFmt numFmtId="209" formatCode="_ * #,##0_ ;_ * \-#,##0_ ;_ * &quot;-&quot;_ ;_ @_ "/>
    <numFmt numFmtId="210" formatCode="#,##0\ &quot;$&quot;_);[Red]\(#,##0\ &quot;$&quot;\)"/>
    <numFmt numFmtId="211" formatCode="_(* #,##0.0000_);_(* \(#,##0.0000\);_(* &quot;-&quot;??_);_(@_)"/>
    <numFmt numFmtId="212" formatCode="#,##0.00000"/>
    <numFmt numFmtId="213" formatCode="#,##0.0000"/>
  </numFmts>
  <fonts count="1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sz val="12"/>
      <color indexed="20"/>
      <name val="新細明體"/>
      <family val="1"/>
      <charset val="136"/>
    </font>
    <font>
      <sz val="10"/>
      <name val="MS Sans Serif"/>
      <family val="2"/>
      <charset val="136"/>
    </font>
    <font>
      <sz val="14"/>
      <name val="??"/>
      <family val="3"/>
      <charset val="129"/>
    </font>
    <font>
      <sz val="14"/>
      <name val="??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0"/>
      <name val="???"/>
      <family val="3"/>
    </font>
    <font>
      <sz val="12"/>
      <name val="Courier New"/>
      <family val="3"/>
      <charset val="136"/>
    </font>
    <font>
      <sz val="10"/>
      <name val="Arial"/>
      <family val="2"/>
      <charset val="136"/>
    </font>
    <font>
      <sz val="12"/>
      <name val="|??¢¥¢¬¨Ï"/>
      <family val="1"/>
      <charset val="129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2"/>
      <name val="Times New Roman"/>
      <family val="1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VNI-Times"/>
      <family val="2"/>
    </font>
    <font>
      <sz val="11"/>
      <color indexed="8"/>
      <name val="Calibri"/>
      <family val="2"/>
      <charset val="136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0"/>
      <color indexed="8"/>
      <name val="細明體"/>
      <family val="3"/>
      <charset val="136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VNI-Times"/>
      <family val="2"/>
    </font>
    <font>
      <sz val="11"/>
      <color indexed="9"/>
      <name val="Calibri"/>
      <family val="2"/>
      <charset val="136"/>
    </font>
    <font>
      <sz val="11"/>
      <color indexed="9"/>
      <name val="맑은 고딕"/>
      <family val="3"/>
      <charset val="129"/>
    </font>
    <font>
      <sz val="10"/>
      <color indexed="9"/>
      <name val="細明體"/>
      <family val="3"/>
      <charset val="136"/>
    </font>
    <font>
      <sz val="12"/>
      <name val="¹UAAA¼"/>
      <family val="2"/>
      <charset val="129"/>
    </font>
    <font>
      <sz val="8"/>
      <name val="Times New Roman"/>
      <family val="1"/>
      <charset val="136"/>
    </font>
    <font>
      <sz val="8"/>
      <name val="Times New Roman"/>
      <family val="1"/>
    </font>
    <font>
      <sz val="11"/>
      <color indexed="20"/>
      <name val="VNI-Times"/>
      <family val="2"/>
    </font>
    <font>
      <sz val="11"/>
      <color indexed="20"/>
      <name val="Calibri"/>
      <family val="2"/>
      <charset val="136"/>
    </font>
    <font>
      <sz val="11"/>
      <name val="µ¸¿ò"/>
      <family val="2"/>
      <charset val="129"/>
    </font>
    <font>
      <sz val="12"/>
      <name val="¹UAAA¼"/>
      <family val="3"/>
      <charset val="129"/>
    </font>
    <font>
      <sz val="10"/>
      <name val="VNI-Times"/>
      <family val="2"/>
      <charset val="136"/>
    </font>
    <font>
      <b/>
      <sz val="11"/>
      <color indexed="53"/>
      <name val="VNI-Times"/>
      <family val="2"/>
    </font>
    <font>
      <b/>
      <sz val="11"/>
      <color indexed="52"/>
      <name val="Calibri"/>
      <family val="2"/>
      <charset val="136"/>
    </font>
    <font>
      <b/>
      <sz val="10"/>
      <name val="Helv"/>
      <family val="2"/>
    </font>
    <font>
      <b/>
      <sz val="11"/>
      <color indexed="9"/>
      <name val="VNI-Times"/>
      <family val="2"/>
    </font>
    <font>
      <b/>
      <sz val="11"/>
      <color indexed="9"/>
      <name val="Calibri"/>
      <family val="2"/>
      <charset val="136"/>
    </font>
    <font>
      <sz val="10"/>
      <name val="VNI-Aptima"/>
      <family val="2"/>
    </font>
    <font>
      <sz val="10"/>
      <name val="Arial"/>
      <family val="2"/>
      <charset val="163"/>
    </font>
    <font>
      <sz val="11"/>
      <color rgb="FF000000"/>
      <name val="Calibri"/>
      <family val="2"/>
      <scheme val="minor"/>
    </font>
    <font>
      <sz val="9"/>
      <color indexed="8"/>
      <name val="맑은 고딕"/>
      <family val="3"/>
      <charset val="129"/>
    </font>
    <font>
      <sz val="11"/>
      <color theme="1"/>
      <name val="Calibri"/>
      <family val="2"/>
      <charset val="134"/>
      <scheme val="minor"/>
    </font>
    <font>
      <sz val="10"/>
      <name val="VNI-Times"/>
    </font>
    <font>
      <sz val="12"/>
      <name val="Arial"/>
      <family val="2"/>
    </font>
    <font>
      <sz val="11"/>
      <name val="VNI-Times"/>
    </font>
    <font>
      <sz val="10"/>
      <name val="MS Serif"/>
      <family val="1"/>
      <charset val="136"/>
    </font>
    <font>
      <sz val="10"/>
      <name val="MS Serif"/>
      <family val="1"/>
    </font>
    <font>
      <sz val="10"/>
      <name val="Courier New"/>
      <family val="3"/>
      <charset val="136"/>
    </font>
    <font>
      <sz val="10"/>
      <name val="Courier"/>
      <family val="3"/>
    </font>
    <font>
      <sz val="10"/>
      <color indexed="16"/>
      <name val="MS Serif"/>
      <family val="1"/>
      <charset val="136"/>
    </font>
    <font>
      <sz val="10"/>
      <color indexed="16"/>
      <name val="MS Serif"/>
      <family val="1"/>
    </font>
    <font>
      <sz val="9"/>
      <name val="Tahoma"/>
      <family val="2"/>
    </font>
    <font>
      <sz val="12"/>
      <name val="細明體"/>
      <family val="3"/>
      <charset val="136"/>
    </font>
    <font>
      <i/>
      <sz val="11"/>
      <color indexed="23"/>
      <name val="VNI-Times"/>
      <family val="2"/>
    </font>
    <font>
      <i/>
      <sz val="11"/>
      <color indexed="23"/>
      <name val="Calibri"/>
      <family val="2"/>
      <charset val="136"/>
    </font>
    <font>
      <sz val="11"/>
      <color indexed="17"/>
      <name val="VNI-Times"/>
      <family val="2"/>
    </font>
    <font>
      <sz val="11"/>
      <color indexed="17"/>
      <name val="Calibri"/>
      <family val="2"/>
      <charset val="136"/>
    </font>
    <font>
      <sz val="8"/>
      <name val="Arial"/>
      <family val="2"/>
      <charset val="136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  <charset val="136"/>
    </font>
    <font>
      <b/>
      <sz val="12"/>
      <name val="Arial"/>
      <family val="2"/>
    </font>
    <font>
      <b/>
      <sz val="15"/>
      <color indexed="62"/>
      <name val="VNI-Times"/>
      <family val="2"/>
    </font>
    <font>
      <b/>
      <sz val="15"/>
      <color indexed="56"/>
      <name val="Calibri"/>
      <family val="2"/>
      <charset val="136"/>
    </font>
    <font>
      <b/>
      <sz val="13"/>
      <color indexed="62"/>
      <name val="VNI-Times"/>
      <family val="2"/>
    </font>
    <font>
      <b/>
      <sz val="13"/>
      <color indexed="56"/>
      <name val="Calibri"/>
      <family val="2"/>
      <charset val="136"/>
    </font>
    <font>
      <b/>
      <sz val="11"/>
      <color indexed="62"/>
      <name val="VNI-Times"/>
      <family val="2"/>
    </font>
    <font>
      <b/>
      <sz val="11"/>
      <color indexed="56"/>
      <name val="Calibri"/>
      <family val="2"/>
      <charset val="136"/>
    </font>
    <font>
      <b/>
      <sz val="1"/>
      <color indexed="8"/>
      <name val="Courier"/>
      <family val="3"/>
    </font>
    <font>
      <sz val="11"/>
      <color indexed="62"/>
      <name val="VNI-Times"/>
      <family val="2"/>
    </font>
    <font>
      <sz val="11"/>
      <color indexed="62"/>
      <name val="Calibri"/>
      <family val="2"/>
      <charset val="136"/>
    </font>
    <font>
      <sz val="12"/>
      <name val="Helv"/>
      <family val="2"/>
    </font>
    <font>
      <sz val="11"/>
      <color indexed="53"/>
      <name val="VNI-Times"/>
      <family val="2"/>
    </font>
    <font>
      <sz val="11"/>
      <color indexed="52"/>
      <name val="Calibri"/>
      <family val="2"/>
      <charset val="136"/>
    </font>
    <font>
      <sz val="12"/>
      <color indexed="9"/>
      <name val="Helv"/>
      <family val="2"/>
    </font>
    <font>
      <b/>
      <sz val="11"/>
      <name val="Helv"/>
      <family val="2"/>
    </font>
    <font>
      <sz val="11"/>
      <color indexed="60"/>
      <name val="VNI-Times"/>
      <family val="2"/>
    </font>
    <font>
      <sz val="11"/>
      <color indexed="60"/>
      <name val="Calibri"/>
      <family val="2"/>
      <charset val="136"/>
    </font>
    <font>
      <sz val="7"/>
      <name val="Small Fonts"/>
      <family val="2"/>
    </font>
    <font>
      <b/>
      <sz val="12"/>
      <name val="VN-NTime"/>
      <family val="2"/>
    </font>
    <font>
      <sz val="11"/>
      <name val="Times New Roman"/>
      <family val="1"/>
    </font>
    <font>
      <sz val="10"/>
      <color theme="1"/>
      <name val="MingLiU"/>
      <family val="3"/>
      <charset val="136"/>
    </font>
    <font>
      <sz val="7"/>
      <color theme="1"/>
      <name val="MingLiU"/>
      <family val="2"/>
      <charset val="136"/>
    </font>
    <font>
      <sz val="11"/>
      <color theme="1"/>
      <name val="Calibri"/>
      <family val="3"/>
      <charset val="134"/>
      <scheme val="minor"/>
    </font>
    <font>
      <sz val="12"/>
      <name val="宋体"/>
      <charset val="134"/>
    </font>
    <font>
      <sz val="14"/>
      <color theme="1"/>
      <name val="Calibri"/>
      <family val="2"/>
      <scheme val="minor"/>
    </font>
    <font>
      <sz val="13"/>
      <name val="VNI-Times"/>
    </font>
    <font>
      <sz val="10"/>
      <name val="新細明體"/>
      <family val="2"/>
      <charset val="136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</font>
    <font>
      <sz val="10"/>
      <color theme="1"/>
      <name val="Times New Roman"/>
      <family val="2"/>
      <charset val="136"/>
    </font>
    <font>
      <sz val="7"/>
      <color theme="1"/>
      <name val="細明體"/>
      <family val="2"/>
    </font>
    <font>
      <sz val="7"/>
      <color theme="1"/>
      <name val="MingLiU"/>
      <family val="2"/>
    </font>
    <font>
      <b/>
      <sz val="11"/>
      <color indexed="63"/>
      <name val="VNI-Times"/>
      <family val="2"/>
    </font>
    <font>
      <b/>
      <sz val="11"/>
      <color indexed="63"/>
      <name val="Calibri"/>
      <family val="2"/>
      <charset val="136"/>
    </font>
    <font>
      <sz val="10"/>
      <name val="MS Sans Serif"/>
      <family val="2"/>
    </font>
    <font>
      <sz val="10"/>
      <name val="Times New Roman"/>
      <family val="1"/>
      <charset val="136"/>
    </font>
    <font>
      <sz val="10"/>
      <name val="Tms Rmn"/>
      <family val="1"/>
    </font>
    <font>
      <sz val="8"/>
      <name val="Helv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18"/>
      <name val="Tahoma"/>
      <family val="2"/>
    </font>
    <font>
      <sz val="10"/>
      <color indexed="10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8"/>
      <color indexed="8"/>
      <name val="Arial"/>
      <family val="2"/>
      <charset val="136"/>
    </font>
    <font>
      <b/>
      <sz val="8"/>
      <color indexed="8"/>
      <name val="Helv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1"/>
      <charset val="136"/>
    </font>
    <font>
      <b/>
      <sz val="11"/>
      <color indexed="8"/>
      <name val="VNI-Times"/>
      <family val="2"/>
    </font>
    <font>
      <b/>
      <sz val="11"/>
      <color indexed="8"/>
      <name val="Calibri"/>
      <family val="2"/>
      <charset val="136"/>
    </font>
    <font>
      <sz val="10"/>
      <name val="VNI-Helve-Condense"/>
    </font>
    <font>
      <sz val="11"/>
      <color indexed="10"/>
      <name val="VNI-Times"/>
      <family val="2"/>
    </font>
    <font>
      <sz val="11"/>
      <color indexed="10"/>
      <name val="Calibri"/>
      <family val="2"/>
      <charset val="136"/>
    </font>
    <font>
      <sz val="14"/>
      <name val=".VnArial"/>
      <family val="2"/>
    </font>
    <font>
      <sz val="12"/>
      <color indexed="17"/>
      <name val="新細明體"/>
      <family val="1"/>
      <charset val="136"/>
    </font>
    <font>
      <sz val="16"/>
      <name val="AngsanaUPC"/>
      <family val="3"/>
    </font>
    <font>
      <sz val="10"/>
      <name val=" "/>
      <family val="1"/>
      <charset val="136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0"/>
      <color indexed="20"/>
      <name val="VNI-Times"/>
      <family val="2"/>
      <charset val="136"/>
    </font>
    <font>
      <sz val="14"/>
      <name val="뼻뮝"/>
      <family val="3"/>
      <charset val="129"/>
    </font>
    <font>
      <sz val="12"/>
      <name val="바탕체"/>
      <family val="1"/>
    </font>
    <font>
      <sz val="11"/>
      <color indexed="60"/>
      <name val="맑은 고딕"/>
      <family val="3"/>
      <charset val="129"/>
    </font>
    <font>
      <sz val="12"/>
      <name val="뼻뮝"/>
      <family val="1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Calibri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name val="굴림체"/>
      <family val="3"/>
    </font>
    <font>
      <u/>
      <sz val="10"/>
      <color indexed="12"/>
      <name val="VNI-Times"/>
      <family val="2"/>
      <charset val="136"/>
    </font>
    <font>
      <sz val="10"/>
      <color indexed="60"/>
      <name val="細明體"/>
      <family val="3"/>
      <charset val="136"/>
    </font>
    <font>
      <sz val="12"/>
      <color indexed="62"/>
      <name val="新細明體"/>
      <family val="1"/>
      <charset val="136"/>
    </font>
    <font>
      <sz val="9"/>
      <name val="Arial"/>
      <family val="2"/>
    </font>
    <font>
      <b/>
      <sz val="10"/>
      <color indexed="8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0"/>
      <color indexed="20"/>
      <name val="細明體"/>
      <family val="3"/>
      <charset val="136"/>
    </font>
    <font>
      <sz val="10"/>
      <color indexed="17"/>
      <name val="細明體"/>
      <family val="3"/>
      <charset val="136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1"/>
      <color indexed="8"/>
      <name val="宋体"/>
    </font>
    <font>
      <i/>
      <sz val="12"/>
      <color indexed="2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name val=".VnArial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細明體"/>
      <family val="3"/>
      <charset val="136"/>
    </font>
    <font>
      <b/>
      <sz val="13"/>
      <color indexed="62"/>
      <name val="細明體"/>
      <family val="3"/>
      <charset val="136"/>
    </font>
    <font>
      <b/>
      <sz val="11"/>
      <color indexed="62"/>
      <name val="細明體"/>
      <family val="3"/>
      <charset val="136"/>
    </font>
    <font>
      <b/>
      <sz val="10"/>
      <color indexed="9"/>
      <name val="細明體"/>
      <family val="3"/>
      <charset val="136"/>
    </font>
    <font>
      <sz val="12"/>
      <color indexed="6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0"/>
      <color indexed="53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i/>
      <sz val="10"/>
      <color indexed="23"/>
      <name val="細明體"/>
      <family val="3"/>
      <charset val="136"/>
    </font>
    <font>
      <sz val="10"/>
      <color indexed="10"/>
      <name val="細明體"/>
      <family val="3"/>
      <charset val="136"/>
    </font>
    <font>
      <u/>
      <sz val="15"/>
      <color indexed="12"/>
      <name val="Arial"/>
      <family val="2"/>
    </font>
    <font>
      <sz val="10"/>
      <color indexed="62"/>
      <name val="細明體"/>
      <family val="3"/>
      <charset val="136"/>
    </font>
    <font>
      <b/>
      <sz val="10"/>
      <color indexed="63"/>
      <name val="細明體"/>
      <family val="3"/>
      <charset val="136"/>
    </font>
    <font>
      <sz val="10"/>
      <color indexed="53"/>
      <name val="細明體"/>
      <family val="3"/>
      <charset val="136"/>
    </font>
    <font>
      <b/>
      <sz val="11"/>
      <color indexed="56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sz val="11"/>
      <name val="Calibri"/>
      <family val="1"/>
      <charset val="136"/>
      <scheme val="minor"/>
    </font>
    <font>
      <sz val="10"/>
      <color theme="1"/>
      <name val="Times New Roman"/>
      <family val="1"/>
    </font>
  </fonts>
  <fills count="6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35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7"/>
      </patternFill>
    </fill>
    <fill>
      <patternFill patternType="solid">
        <fgColor indexed="11"/>
        <bgColor indexed="49"/>
      </patternFill>
    </fill>
    <fill>
      <patternFill patternType="solid">
        <fgColor indexed="22"/>
      </patternFill>
    </fill>
    <fill>
      <patternFill patternType="solid">
        <fgColor indexed="51"/>
        <bgColor indexed="1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3"/>
      </patternFill>
    </fill>
    <fill>
      <patternFill patternType="solid">
        <fgColor indexed="55"/>
        <bgColor indexed="23"/>
      </patternFill>
    </fill>
    <fill>
      <patternFill patternType="solid">
        <fgColor indexed="50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35"/>
      </patternFill>
    </fill>
    <fill>
      <patternFill patternType="solid">
        <fgColor indexed="15"/>
      </patternFill>
    </fill>
    <fill>
      <patternFill patternType="solid">
        <fgColor indexed="12"/>
        <bgColor indexed="39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30"/>
        <bgColor indexed="6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6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8" fillId="3" borderId="0" applyNumberFormat="0" applyBorder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10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71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4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3" fontId="15" fillId="0" borderId="0"/>
    <xf numFmtId="0" fontId="16" fillId="0" borderId="0"/>
    <xf numFmtId="0" fontId="17" fillId="0" borderId="0"/>
    <xf numFmtId="38" fontId="18" fillId="0" borderId="0" applyFill="0" applyBorder="0" applyAlignment="0" applyProtection="0"/>
    <xf numFmtId="40" fontId="18" fillId="0" borderId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9" fillId="0" borderId="0"/>
    <xf numFmtId="0" fontId="2" fillId="0" borderId="0"/>
    <xf numFmtId="0" fontId="20" fillId="0" borderId="0"/>
    <xf numFmtId="0" fontId="21" fillId="5" borderId="0"/>
    <xf numFmtId="0" fontId="22" fillId="0" borderId="0"/>
    <xf numFmtId="9" fontId="23" fillId="0" borderId="0" applyFont="0" applyFill="0" applyBorder="0" applyAlignment="0" applyProtection="0"/>
    <xf numFmtId="0" fontId="24" fillId="5" borderId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3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5" fillId="6" borderId="0" applyNumberFormat="0" applyBorder="0" applyAlignment="0" applyProtection="0"/>
    <xf numFmtId="0" fontId="26" fillId="13" borderId="0" applyNumberFormat="0" applyBorder="0" applyAlignment="0" applyProtection="0"/>
    <xf numFmtId="0" fontId="25" fillId="4" borderId="0" applyNumberFormat="0" applyBorder="0" applyAlignment="0" applyProtection="0"/>
    <xf numFmtId="0" fontId="26" fillId="14" borderId="0" applyNumberFormat="0" applyBorder="0" applyAlignment="0" applyProtection="0"/>
    <xf numFmtId="0" fontId="27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/>
    <xf numFmtId="0" fontId="27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/>
    <xf numFmtId="0" fontId="27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7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/>
    <xf numFmtId="0" fontId="29" fillId="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5" borderId="0"/>
    <xf numFmtId="174" fontId="18" fillId="0" borderId="0" applyFill="0" applyBorder="0" applyAlignment="0" applyProtection="0"/>
    <xf numFmtId="175" fontId="18" fillId="0" borderId="0" applyFill="0" applyBorder="0" applyAlignment="0" applyProtection="0"/>
    <xf numFmtId="176" fontId="18" fillId="0" borderId="0" applyFill="0" applyBorder="0" applyAlignment="0" applyProtection="0"/>
    <xf numFmtId="0" fontId="31" fillId="0" borderId="0">
      <alignment wrapText="1"/>
    </xf>
    <xf numFmtId="0" fontId="25" fillId="19" borderId="0" applyNumberFormat="0" applyBorder="0" applyAlignment="0" applyProtection="0"/>
    <xf numFmtId="0" fontId="26" fillId="20" borderId="0" applyNumberFormat="0" applyBorder="0" applyAlignment="0" applyProtection="0"/>
    <xf numFmtId="0" fontId="25" fillId="8" borderId="0" applyNumberFormat="0" applyBorder="0" applyAlignment="0" applyProtection="0"/>
    <xf numFmtId="0" fontId="26" fillId="21" borderId="0" applyNumberFormat="0" applyBorder="0" applyAlignment="0" applyProtection="0"/>
    <xf numFmtId="0" fontId="25" fillId="22" borderId="0" applyNumberFormat="0" applyBorder="0" applyAlignment="0" applyProtection="0"/>
    <xf numFmtId="0" fontId="26" fillId="23" borderId="0" applyNumberFormat="0" applyBorder="0" applyAlignment="0" applyProtection="0"/>
    <xf numFmtId="0" fontId="25" fillId="24" borderId="0" applyNumberFormat="0" applyBorder="0" applyAlignment="0" applyProtection="0"/>
    <xf numFmtId="0" fontId="26" fillId="12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0" applyNumberFormat="0" applyBorder="0" applyAlignment="0" applyProtection="0"/>
    <xf numFmtId="0" fontId="25" fillId="18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/>
    <xf numFmtId="0" fontId="27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/>
    <xf numFmtId="0" fontId="27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/>
    <xf numFmtId="0" fontId="27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/>
    <xf numFmtId="0" fontId="27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/>
    <xf numFmtId="0" fontId="29" fillId="1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/>
    <xf numFmtId="0" fontId="33" fillId="29" borderId="0" applyNumberFormat="0" applyBorder="0" applyAlignment="0" applyProtection="0"/>
    <xf numFmtId="0" fontId="32" fillId="8" borderId="0" applyNumberFormat="0" applyBorder="0" applyAlignment="0" applyProtection="0"/>
    <xf numFmtId="0" fontId="33" fillId="21" borderId="0" applyNumberFormat="0" applyBorder="0" applyAlignment="0" applyProtection="0"/>
    <xf numFmtId="0" fontId="32" fillId="22" borderId="0" applyNumberFormat="0" applyBorder="0" applyAlignment="0" applyProtection="0"/>
    <xf numFmtId="0" fontId="33" fillId="23" borderId="0" applyNumberFormat="0" applyBorder="0" applyAlignment="0" applyProtection="0"/>
    <xf numFmtId="0" fontId="32" fillId="24" borderId="0" applyNumberFormat="0" applyBorder="0" applyAlignment="0" applyProtection="0"/>
    <xf numFmtId="0" fontId="33" fillId="30" borderId="0" applyNumberFormat="0" applyBorder="0" applyAlignment="0" applyProtection="0"/>
    <xf numFmtId="0" fontId="32" fillId="31" borderId="0" applyNumberFormat="0" applyBorder="0" applyAlignment="0" applyProtection="0"/>
    <xf numFmtId="0" fontId="33" fillId="32" borderId="0" applyNumberFormat="0" applyBorder="0" applyAlignment="0" applyProtection="0"/>
    <xf numFmtId="0" fontId="32" fillId="18" borderId="0" applyNumberFormat="0" applyBorder="0" applyAlignment="0" applyProtection="0"/>
    <xf numFmtId="0" fontId="33" fillId="33" borderId="0" applyNumberFormat="0" applyBorder="0" applyAlignment="0" applyProtection="0"/>
    <xf numFmtId="0" fontId="34" fillId="3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2" fillId="31" borderId="0" applyNumberFormat="0" applyBorder="0" applyAlignment="0" applyProtection="0"/>
    <xf numFmtId="0" fontId="33" fillId="37" borderId="0" applyNumberFormat="0" applyBorder="0" applyAlignment="0" applyProtection="0"/>
    <xf numFmtId="0" fontId="32" fillId="38" borderId="0" applyNumberFormat="0" applyBorder="0" applyAlignment="0" applyProtection="0"/>
    <xf numFmtId="0" fontId="33" fillId="39" borderId="0" applyNumberFormat="0" applyBorder="0" applyAlignment="0" applyProtection="0"/>
    <xf numFmtId="0" fontId="32" fillId="22" borderId="0" applyNumberFormat="0" applyBorder="0" applyAlignment="0" applyProtection="0"/>
    <xf numFmtId="0" fontId="33" fillId="40" borderId="0" applyNumberFormat="0" applyBorder="0" applyAlignment="0" applyProtection="0"/>
    <xf numFmtId="0" fontId="32" fillId="41" borderId="0" applyNumberFormat="0" applyBorder="0" applyAlignment="0" applyProtection="0"/>
    <xf numFmtId="0" fontId="33" fillId="30" borderId="0" applyNumberFormat="0" applyBorder="0" applyAlignment="0" applyProtection="0"/>
    <xf numFmtId="0" fontId="32" fillId="31" borderId="0" applyNumberFormat="0" applyBorder="0" applyAlignment="0" applyProtection="0"/>
    <xf numFmtId="0" fontId="33" fillId="32" borderId="0" applyNumberFormat="0" applyBorder="0" applyAlignment="0" applyProtection="0"/>
    <xf numFmtId="0" fontId="32" fillId="28" borderId="0" applyNumberFormat="0" applyBorder="0" applyAlignment="0" applyProtection="0"/>
    <xf numFmtId="0" fontId="33" fillId="42" borderId="0" applyNumberFormat="0" applyBorder="0" applyAlignment="0" applyProtection="0"/>
    <xf numFmtId="177" fontId="2" fillId="0" borderId="0" applyFont="0" applyFill="0" applyBorder="0" applyAlignment="0" applyProtection="0"/>
    <xf numFmtId="0" fontId="36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>
      <alignment horizontal="center" wrapText="1"/>
      <protection locked="0"/>
    </xf>
    <xf numFmtId="0" fontId="38" fillId="0" borderId="0">
      <alignment horizontal="center" wrapText="1"/>
      <protection locked="0"/>
    </xf>
    <xf numFmtId="178" fontId="2" fillId="0" borderId="0" applyFont="0" applyFill="0" applyBorder="0" applyAlignment="0" applyProtection="0"/>
    <xf numFmtId="0" fontId="36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16" borderId="0" applyNumberFormat="0" applyBorder="0" applyAlignment="0" applyProtection="0"/>
    <xf numFmtId="0" fontId="40" fillId="3" borderId="0" applyNumberFormat="0" applyBorder="0" applyAlignment="0" applyProtection="0"/>
    <xf numFmtId="0" fontId="36" fillId="0" borderId="0"/>
    <xf numFmtId="0" fontId="41" fillId="0" borderId="0"/>
    <xf numFmtId="0" fontId="42" fillId="0" borderId="0"/>
    <xf numFmtId="0" fontId="43" fillId="0" borderId="0"/>
    <xf numFmtId="180" fontId="16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181" fontId="2" fillId="0" borderId="0" applyFill="0" applyBorder="0" applyAlignment="0"/>
    <xf numFmtId="182" fontId="2" fillId="0" borderId="0" applyFill="0" applyBorder="0" applyAlignment="0"/>
    <xf numFmtId="0" fontId="44" fillId="11" borderId="7" applyNumberFormat="0" applyAlignment="0" applyProtection="0"/>
    <xf numFmtId="0" fontId="45" fillId="43" borderId="7" applyNumberFormat="0" applyAlignment="0" applyProtection="0"/>
    <xf numFmtId="0" fontId="46" fillId="0" borderId="0"/>
    <xf numFmtId="0" fontId="47" fillId="44" borderId="8" applyNumberFormat="0" applyAlignment="0" applyProtection="0"/>
    <xf numFmtId="0" fontId="48" fillId="45" borderId="8" applyNumberFormat="0" applyAlignment="0" applyProtection="0"/>
    <xf numFmtId="1" fontId="49" fillId="0" borderId="6" applyBorder="0"/>
    <xf numFmtId="18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84" fontId="52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/>
    <xf numFmtId="43" fontId="2" fillId="0" borderId="0" applyFont="0" applyFill="0" applyBorder="0" applyAlignment="0" applyProtection="0"/>
    <xf numFmtId="183" fontId="5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5" fillId="0" borderId="0" applyFont="0" applyFill="0" applyBorder="0" applyAlignment="0" applyProtection="0"/>
    <xf numFmtId="18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85" fontId="6" fillId="0" borderId="0"/>
    <xf numFmtId="3" fontId="2" fillId="0" borderId="0" applyFont="0" applyFill="0" applyBorder="0" applyAlignment="0" applyProtection="0"/>
    <xf numFmtId="0" fontId="57" fillId="0" borderId="0" applyNumberFormat="0" applyAlignment="0"/>
    <xf numFmtId="0" fontId="58" fillId="0" borderId="0" applyNumberFormat="0" applyAlignment="0">
      <alignment horizontal="left"/>
    </xf>
    <xf numFmtId="0" fontId="59" fillId="0" borderId="0" applyNumberFormat="0" applyAlignment="0"/>
    <xf numFmtId="0" fontId="60" fillId="0" borderId="0" applyNumberFormat="0" applyAlignment="0"/>
    <xf numFmtId="172" fontId="28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2" fillId="0" borderId="0" applyFont="0" applyFill="0" applyBorder="0" applyAlignment="0" applyProtection="0"/>
    <xf numFmtId="186" fontId="28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/>
    <xf numFmtId="0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91" fontId="2" fillId="0" borderId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61" fillId="0" borderId="0" applyNumberFormat="0" applyAlignment="0"/>
    <xf numFmtId="0" fontId="62" fillId="0" borderId="0" applyNumberFormat="0" applyAlignment="0">
      <alignment horizontal="left"/>
    </xf>
    <xf numFmtId="192" fontId="63" fillId="0" borderId="0" applyFont="0" applyFill="0" applyBorder="0" applyAlignment="0" applyProtection="0"/>
    <xf numFmtId="0" fontId="64" fillId="0" borderId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" fillId="0" borderId="0" applyFont="0" applyFill="0" applyBorder="0" applyAlignment="0" applyProtection="0"/>
    <xf numFmtId="0" fontId="67" fillId="46" borderId="0" applyNumberFormat="0" applyBorder="0" applyAlignment="0" applyProtection="0"/>
    <xf numFmtId="0" fontId="68" fillId="10" borderId="0" applyNumberFormat="0" applyBorder="0" applyAlignment="0" applyProtection="0"/>
    <xf numFmtId="0" fontId="69" fillId="43" borderId="0" applyNumberFormat="0" applyBorder="0" applyAlignment="0" applyProtection="0"/>
    <xf numFmtId="38" fontId="70" fillId="5" borderId="0" applyNumberFormat="0" applyBorder="0" applyAlignment="0" applyProtection="0"/>
    <xf numFmtId="0" fontId="71" fillId="0" borderId="0">
      <alignment horizontal="left"/>
    </xf>
    <xf numFmtId="0" fontId="72" fillId="0" borderId="9" applyNumberFormat="0" applyAlignment="0" applyProtection="0"/>
    <xf numFmtId="0" fontId="73" fillId="0" borderId="10" applyNumberFormat="0" applyAlignment="0" applyProtection="0">
      <alignment horizontal="left" vertical="center"/>
    </xf>
    <xf numFmtId="0" fontId="72" fillId="0" borderId="11">
      <alignment horizontal="left" vertical="center"/>
    </xf>
    <xf numFmtId="0" fontId="73" fillId="0" borderId="2">
      <alignment horizontal="left" vertical="center"/>
    </xf>
    <xf numFmtId="0" fontId="74" fillId="0" borderId="12" applyNumberFormat="0" applyFill="0" applyAlignment="0" applyProtection="0"/>
    <xf numFmtId="0" fontId="75" fillId="0" borderId="13" applyNumberFormat="0" applyFill="0" applyAlignment="0" applyProtection="0"/>
    <xf numFmtId="0" fontId="76" fillId="0" borderId="14" applyNumberFormat="0" applyFill="0" applyAlignment="0" applyProtection="0"/>
    <xf numFmtId="0" fontId="77" fillId="0" borderId="15" applyNumberFormat="0" applyFill="0" applyAlignment="0" applyProtection="0"/>
    <xf numFmtId="0" fontId="78" fillId="0" borderId="16" applyNumberFormat="0" applyFill="0" applyAlignment="0" applyProtection="0"/>
    <xf numFmtId="0" fontId="79" fillId="0" borderId="17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93" fontId="80" fillId="0" borderId="0">
      <protection locked="0"/>
    </xf>
    <xf numFmtId="193" fontId="80" fillId="0" borderId="0">
      <protection locked="0"/>
    </xf>
    <xf numFmtId="0" fontId="69" fillId="47" borderId="0" applyNumberFormat="0" applyBorder="0" applyAlignment="0" applyProtection="0"/>
    <xf numFmtId="10" fontId="70" fillId="48" borderId="5" applyNumberFormat="0" applyBorder="0" applyAlignment="0" applyProtection="0"/>
    <xf numFmtId="0" fontId="81" fillId="18" borderId="7" applyNumberFormat="0" applyAlignment="0" applyProtection="0"/>
    <xf numFmtId="0" fontId="82" fillId="14" borderId="7" applyNumberFormat="0" applyAlignment="0" applyProtection="0"/>
    <xf numFmtId="194" fontId="16" fillId="49" borderId="0"/>
    <xf numFmtId="195" fontId="83" fillId="50" borderId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84" fillId="0" borderId="18" applyNumberFormat="0" applyFill="0" applyAlignment="0" applyProtection="0"/>
    <xf numFmtId="0" fontId="85" fillId="0" borderId="19" applyNumberFormat="0" applyFill="0" applyAlignment="0" applyProtection="0"/>
    <xf numFmtId="194" fontId="16" fillId="51" borderId="0"/>
    <xf numFmtId="195" fontId="86" fillId="52" borderId="0"/>
    <xf numFmtId="196" fontId="18" fillId="0" borderId="0" applyFill="0" applyBorder="0" applyAlignment="0" applyProtection="0"/>
    <xf numFmtId="197" fontId="18" fillId="0" borderId="0" applyFill="0" applyBorder="0" applyAlignment="0" applyProtection="0"/>
    <xf numFmtId="0" fontId="87" fillId="0" borderId="20"/>
    <xf numFmtId="174" fontId="18" fillId="0" borderId="0" applyFill="0" applyBorder="0" applyAlignment="0" applyProtection="0"/>
    <xf numFmtId="198" fontId="18" fillId="0" borderId="0" applyFill="0" applyBorder="0" applyAlignment="0" applyProtection="0"/>
    <xf numFmtId="199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0" fontId="18" fillId="0" borderId="0" applyFill="0" applyBorder="0" applyAlignment="0" applyProtection="0"/>
    <xf numFmtId="201" fontId="18" fillId="0" borderId="0" applyFill="0" applyBorder="0" applyAlignment="0" applyProtection="0"/>
    <xf numFmtId="0" fontId="55" fillId="0" borderId="0" applyNumberFormat="0" applyFont="0" applyFill="0" applyAlignment="0"/>
    <xf numFmtId="0" fontId="88" fillId="53" borderId="0" applyNumberFormat="0" applyBorder="0" applyAlignment="0" applyProtection="0"/>
    <xf numFmtId="0" fontId="89" fillId="54" borderId="0" applyNumberFormat="0" applyBorder="0" applyAlignment="0" applyProtection="0"/>
    <xf numFmtId="0" fontId="6" fillId="0" borderId="0"/>
    <xf numFmtId="37" fontId="90" fillId="0" borderId="0"/>
    <xf numFmtId="0" fontId="91" fillId="0" borderId="5" applyNumberFormat="0" applyFont="0" applyFill="0" applyBorder="0" applyAlignment="0">
      <alignment horizontal="center"/>
    </xf>
    <xf numFmtId="0" fontId="16" fillId="0" borderId="0"/>
    <xf numFmtId="0" fontId="9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93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4" fillId="0" borderId="0"/>
    <xf numFmtId="0" fontId="1" fillId="0" borderId="0"/>
    <xf numFmtId="0" fontId="95" fillId="0" borderId="0">
      <alignment vertical="center"/>
    </xf>
    <xf numFmtId="0" fontId="1" fillId="0" borderId="0"/>
    <xf numFmtId="0" fontId="1" fillId="0" borderId="0"/>
    <xf numFmtId="0" fontId="2" fillId="0" borderId="0"/>
    <xf numFmtId="0" fontId="2" fillId="0" borderId="0">
      <alignment wrapText="1"/>
    </xf>
    <xf numFmtId="0" fontId="2" fillId="0" borderId="0"/>
    <xf numFmtId="0" fontId="9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97" fillId="0" borderId="0"/>
    <xf numFmtId="0" fontId="1" fillId="0" borderId="0"/>
    <xf numFmtId="0" fontId="98" fillId="0" borderId="0"/>
    <xf numFmtId="0" fontId="2" fillId="0" borderId="0"/>
    <xf numFmtId="0" fontId="96" fillId="0" borderId="0">
      <alignment vertical="center"/>
    </xf>
    <xf numFmtId="202" fontId="1" fillId="0" borderId="0"/>
    <xf numFmtId="0" fontId="1" fillId="0" borderId="0"/>
    <xf numFmtId="0" fontId="96" fillId="0" borderId="0">
      <alignment vertical="center"/>
    </xf>
    <xf numFmtId="0" fontId="54" fillId="0" borderId="0">
      <alignment vertical="top"/>
    </xf>
    <xf numFmtId="0" fontId="96" fillId="0" borderId="0">
      <alignment vertical="center"/>
    </xf>
    <xf numFmtId="0" fontId="99" fillId="0" borderId="0"/>
    <xf numFmtId="0" fontId="1" fillId="0" borderId="0"/>
    <xf numFmtId="0" fontId="53" fillId="0" borderId="0">
      <alignment vertical="center"/>
    </xf>
    <xf numFmtId="0" fontId="97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8" fillId="0" borderId="0">
      <alignment vertical="center"/>
    </xf>
    <xf numFmtId="0" fontId="10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53" fillId="0" borderId="0">
      <alignment vertical="center"/>
    </xf>
    <xf numFmtId="0" fontId="2" fillId="0" borderId="0"/>
    <xf numFmtId="0" fontId="1" fillId="0" borderId="0"/>
    <xf numFmtId="0" fontId="101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02" fillId="0" borderId="0"/>
    <xf numFmtId="0" fontId="1" fillId="0" borderId="0"/>
    <xf numFmtId="0" fontId="2" fillId="0" borderId="0"/>
    <xf numFmtId="0" fontId="103" fillId="0" borderId="0"/>
    <xf numFmtId="0" fontId="104" fillId="0" borderId="0"/>
    <xf numFmtId="0" fontId="104" fillId="0" borderId="0"/>
    <xf numFmtId="0" fontId="103" fillId="0" borderId="0"/>
    <xf numFmtId="0" fontId="2" fillId="0" borderId="0"/>
    <xf numFmtId="0" fontId="2" fillId="0" borderId="0"/>
    <xf numFmtId="0" fontId="54" fillId="0" borderId="0">
      <alignment vertical="top"/>
    </xf>
    <xf numFmtId="0" fontId="104" fillId="0" borderId="0"/>
    <xf numFmtId="0" fontId="104" fillId="0" borderId="0"/>
    <xf numFmtId="0" fontId="2" fillId="0" borderId="0"/>
    <xf numFmtId="0" fontId="2" fillId="0" borderId="0"/>
    <xf numFmtId="0" fontId="18" fillId="0" borderId="0">
      <alignment vertical="center"/>
    </xf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3" fillId="0" borderId="0">
      <alignment vertical="center"/>
    </xf>
    <xf numFmtId="0" fontId="1" fillId="0" borderId="0"/>
    <xf numFmtId="0" fontId="2" fillId="0" borderId="0"/>
    <xf numFmtId="0" fontId="2" fillId="9" borderId="7" applyNumberFormat="0" applyFont="0" applyAlignment="0" applyProtection="0"/>
    <xf numFmtId="0" fontId="18" fillId="47" borderId="21" applyNumberFormat="0" applyAlignment="0" applyProtection="0"/>
    <xf numFmtId="197" fontId="18" fillId="0" borderId="0" applyFill="0" applyBorder="0" applyAlignment="0" applyProtection="0"/>
    <xf numFmtId="196" fontId="18" fillId="0" borderId="0" applyFill="0" applyBorder="0" applyAlignment="0" applyProtection="0"/>
    <xf numFmtId="0" fontId="2" fillId="0" borderId="0" applyFont="0" applyFill="0" applyBorder="0" applyAlignment="0" applyProtection="0"/>
    <xf numFmtId="0" fontId="6" fillId="0" borderId="0"/>
    <xf numFmtId="0" fontId="105" fillId="11" borderId="22" applyNumberFormat="0" applyAlignment="0" applyProtection="0"/>
    <xf numFmtId="0" fontId="106" fillId="43" borderId="22" applyNumberFormat="0" applyAlignment="0" applyProtection="0"/>
    <xf numFmtId="14" fontId="37" fillId="0" borderId="0">
      <alignment horizontal="center" wrapText="1"/>
      <protection locked="0"/>
    </xf>
    <xf numFmtId="14" fontId="38" fillId="0" borderId="0">
      <alignment horizontal="center" wrapText="1"/>
      <protection locked="0"/>
    </xf>
    <xf numFmtId="10" fontId="18" fillId="0" borderId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Border="0"/>
    <xf numFmtId="9" fontId="107" fillId="0" borderId="23" applyNumberFormat="0" applyBorder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203" fontId="108" fillId="0" borderId="0"/>
    <xf numFmtId="5" fontId="109" fillId="0" borderId="0"/>
    <xf numFmtId="0" fontId="18" fillId="0" borderId="0" applyNumberFormat="0" applyFill="0" applyBorder="0" applyAlignment="0" applyProtection="0"/>
    <xf numFmtId="0" fontId="107" fillId="0" borderId="0" applyNumberFormat="0" applyFont="0" applyFill="0" applyBorder="0" applyAlignment="0" applyProtection="0">
      <alignment horizontal="left"/>
    </xf>
    <xf numFmtId="0" fontId="107" fillId="0" borderId="0" applyNumberFormat="0" applyFont="0" applyFill="0" applyBorder="0" applyAlignment="0" applyProtection="0">
      <alignment horizontal="left"/>
    </xf>
    <xf numFmtId="0" fontId="107" fillId="0" borderId="0" applyNumberFormat="0" applyFont="0" applyFill="0" applyBorder="0" applyAlignment="0" applyProtection="0">
      <alignment horizontal="left"/>
    </xf>
    <xf numFmtId="0" fontId="16" fillId="0" borderId="0" applyNumberFormat="0" applyFill="0" applyBorder="0" applyAlignment="0" applyProtection="0"/>
    <xf numFmtId="14" fontId="110" fillId="0" borderId="0" applyNumberFormat="0" applyFill="0" applyBorder="0" applyAlignment="0" applyProtection="0">
      <alignment horizontal="left"/>
    </xf>
    <xf numFmtId="4" fontId="111" fillId="55" borderId="0" applyNumberFormat="0" applyProtection="0">
      <alignment horizontal="left" vertical="center" indent="1"/>
    </xf>
    <xf numFmtId="4" fontId="112" fillId="56" borderId="24" applyNumberFormat="0" applyProtection="0">
      <alignment horizontal="right" vertical="center"/>
    </xf>
    <xf numFmtId="4" fontId="113" fillId="57" borderId="25">
      <alignment horizontal="left" vertical="center" indent="1"/>
    </xf>
    <xf numFmtId="0" fontId="112" fillId="55" borderId="24" applyNumberFormat="0" applyProtection="0">
      <alignment horizontal="left" vertical="top" indent="1"/>
    </xf>
    <xf numFmtId="4" fontId="114" fillId="56" borderId="24" applyNumberFormat="0" applyProtection="0">
      <alignment horizontal="right" vertical="center"/>
    </xf>
    <xf numFmtId="0" fontId="20" fillId="0" borderId="0"/>
    <xf numFmtId="0" fontId="2" fillId="0" borderId="0"/>
    <xf numFmtId="0" fontId="112" fillId="0" borderId="0">
      <alignment vertical="top"/>
    </xf>
    <xf numFmtId="0" fontId="115" fillId="18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8" borderId="0" applyNumberFormat="0" applyBorder="0" applyAlignment="0" applyProtection="0">
      <alignment vertical="center"/>
    </xf>
    <xf numFmtId="0" fontId="116" fillId="8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87" fillId="0" borderId="0"/>
    <xf numFmtId="40" fontId="117" fillId="0" borderId="0" applyBorder="0">
      <alignment horizontal="right"/>
    </xf>
    <xf numFmtId="40" fontId="118" fillId="0" borderId="0" applyBorder="0">
      <alignment horizontal="right"/>
    </xf>
    <xf numFmtId="49" fontId="11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26" applyNumberFormat="0" applyFill="0" applyAlignment="0" applyProtection="0"/>
    <xf numFmtId="0" fontId="122" fillId="0" borderId="27" applyNumberFormat="0" applyFill="0" applyAlignment="0" applyProtection="0"/>
    <xf numFmtId="196" fontId="18" fillId="0" borderId="0" applyFill="0" applyBorder="0" applyAlignment="0" applyProtection="0"/>
    <xf numFmtId="197" fontId="18" fillId="0" borderId="0" applyFill="0" applyBorder="0" applyAlignment="0" applyProtection="0"/>
    <xf numFmtId="174" fontId="18" fillId="0" borderId="0" applyFill="0" applyBorder="0" applyAlignment="0" applyProtection="0"/>
    <xf numFmtId="198" fontId="18" fillId="0" borderId="0" applyFill="0" applyBorder="0" applyAlignment="0" applyProtection="0"/>
    <xf numFmtId="204" fontId="123" fillId="0" borderId="0"/>
    <xf numFmtId="205" fontId="2" fillId="0" borderId="0" applyFont="0" applyFill="0" applyBorder="0" applyAlignment="0" applyProtection="0"/>
    <xf numFmtId="206" fontId="2" fillId="0" borderId="0" applyFon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/>
    <xf numFmtId="0" fontId="127" fillId="15" borderId="0" applyNumberFormat="0" applyBorder="0" applyAlignment="0" applyProtection="0">
      <alignment vertical="center"/>
    </xf>
    <xf numFmtId="42" fontId="128" fillId="0" borderId="0" applyFont="0" applyFill="0" applyBorder="0" applyAlignment="0" applyProtection="0"/>
    <xf numFmtId="44" fontId="128" fillId="0" borderId="0" applyFont="0" applyFill="0" applyBorder="0" applyAlignment="0" applyProtection="0"/>
    <xf numFmtId="0" fontId="128" fillId="0" borderId="0"/>
    <xf numFmtId="0" fontId="129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20" fillId="0" borderId="0">
      <alignment vertical="center"/>
    </xf>
    <xf numFmtId="0" fontId="34" fillId="58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24" borderId="7" applyNumberFormat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/>
    <xf numFmtId="40" fontId="134" fillId="0" borderId="0" applyFont="0" applyFill="0" applyBorder="0" applyAlignment="0" applyProtection="0"/>
    <xf numFmtId="38" fontId="134" fillId="0" borderId="0" applyFont="0" applyFill="0" applyBorder="0" applyAlignment="0" applyProtection="0"/>
    <xf numFmtId="0" fontId="2" fillId="9" borderId="21" applyNumberFormat="0" applyFont="0" applyAlignment="0" applyProtection="0">
      <alignment vertical="center"/>
    </xf>
    <xf numFmtId="0" fontId="28" fillId="9" borderId="21" applyNumberFormat="0" applyFont="0" applyAlignment="0" applyProtection="0"/>
    <xf numFmtId="0" fontId="134" fillId="0" borderId="0" applyFont="0" applyFill="0" applyBorder="0" applyAlignment="0" applyProtection="0"/>
    <xf numFmtId="0" fontId="134" fillId="0" borderId="0" applyFont="0" applyFill="0" applyBorder="0" applyAlignment="0" applyProtection="0"/>
    <xf numFmtId="9" fontId="135" fillId="0" borderId="0" applyFont="0" applyFill="0" applyBorder="0" applyAlignment="0" applyProtection="0"/>
    <xf numFmtId="0" fontId="136" fillId="53" borderId="0" applyNumberFormat="0" applyBorder="0" applyAlignment="0" applyProtection="0">
      <alignment vertical="center"/>
    </xf>
    <xf numFmtId="0" fontId="137" fillId="0" borderId="0"/>
    <xf numFmtId="0" fontId="138" fillId="0" borderId="0" applyNumberFormat="0" applyFill="0" applyBorder="0" applyAlignment="0" applyProtection="0">
      <alignment vertical="center"/>
    </xf>
    <xf numFmtId="0" fontId="139" fillId="19" borderId="8" applyNumberFormat="0" applyAlignment="0" applyProtection="0">
      <alignment vertical="center"/>
    </xf>
    <xf numFmtId="171" fontId="140" fillId="0" borderId="0" applyFont="0" applyFill="0" applyBorder="0" applyAlignment="0" applyProtection="0"/>
    <xf numFmtId="196" fontId="18" fillId="0" borderId="0" applyFill="0" applyBorder="0" applyAlignment="0" applyProtection="0"/>
    <xf numFmtId="0" fontId="141" fillId="0" borderId="19" applyNumberFormat="0" applyFill="0" applyAlignment="0" applyProtection="0">
      <alignment vertical="center"/>
    </xf>
    <xf numFmtId="0" fontId="142" fillId="0" borderId="27" applyNumberFormat="0" applyFill="0" applyAlignment="0" applyProtection="0">
      <alignment vertical="center"/>
    </xf>
    <xf numFmtId="0" fontId="143" fillId="18" borderId="7" applyNumberFormat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13" applyNumberFormat="0" applyFill="0" applyAlignment="0" applyProtection="0">
      <alignment vertical="center"/>
    </xf>
    <xf numFmtId="0" fontId="146" fillId="0" borderId="15" applyNumberFormat="0" applyFill="0" applyAlignment="0" applyProtection="0">
      <alignment vertical="center"/>
    </xf>
    <xf numFmtId="0" fontId="147" fillId="0" borderId="17" applyNumberFormat="0" applyFill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9" fillId="24" borderId="22" applyNumberFormat="0" applyAlignment="0" applyProtection="0">
      <alignment vertical="center"/>
    </xf>
    <xf numFmtId="0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207" fontId="150" fillId="0" borderId="0" applyFont="0" applyFill="0" applyBorder="0" applyAlignment="0" applyProtection="0"/>
    <xf numFmtId="208" fontId="150" fillId="0" borderId="0" applyFont="0" applyFill="0" applyBorder="0" applyAlignment="0" applyProtection="0"/>
    <xf numFmtId="0" fontId="140" fillId="0" borderId="0"/>
    <xf numFmtId="0" fontId="140" fillId="0" borderId="0">
      <alignment vertical="center"/>
    </xf>
    <xf numFmtId="0" fontId="2" fillId="0" borderId="0"/>
    <xf numFmtId="0" fontId="151" fillId="0" borderId="0">
      <alignment vertical="center"/>
    </xf>
    <xf numFmtId="0" fontId="151" fillId="0" borderId="0">
      <alignment vertical="center"/>
    </xf>
    <xf numFmtId="0" fontId="140" fillId="0" borderId="0"/>
    <xf numFmtId="0" fontId="140" fillId="0" borderId="0">
      <alignment vertical="center"/>
    </xf>
    <xf numFmtId="0" fontId="2" fillId="0" borderId="0"/>
    <xf numFmtId="0" fontId="152" fillId="0" borderId="0">
      <alignment vertical="center"/>
    </xf>
    <xf numFmtId="0" fontId="153" fillId="0" borderId="0"/>
    <xf numFmtId="0" fontId="154" fillId="0" borderId="0" applyNumberFormat="0" applyFill="0" applyBorder="0" applyAlignment="0" applyProtection="0"/>
    <xf numFmtId="0" fontId="55" fillId="0" borderId="0"/>
    <xf numFmtId="0" fontId="155" fillId="53" borderId="0" applyNumberFormat="0" applyBorder="0" applyAlignment="0" applyProtection="0">
      <alignment vertical="center"/>
    </xf>
    <xf numFmtId="0" fontId="2" fillId="9" borderId="7" applyNumberFormat="0" applyFont="0" applyAlignment="0" applyProtection="0">
      <alignment vertical="center"/>
    </xf>
    <xf numFmtId="0" fontId="156" fillId="18" borderId="7" applyNumberFormat="0" applyAlignment="0" applyProtection="0">
      <alignment vertical="center"/>
    </xf>
    <xf numFmtId="42" fontId="2" fillId="0" borderId="0" applyFont="0" applyFill="0" applyBorder="0" applyAlignment="0" applyProtection="0"/>
    <xf numFmtId="171" fontId="157" fillId="0" borderId="0" applyFont="0" applyFill="0" applyBorder="0" applyAlignment="0" applyProtection="0"/>
    <xf numFmtId="172" fontId="157" fillId="0" borderId="0" applyFont="0" applyFill="0" applyBorder="0" applyAlignment="0" applyProtection="0"/>
    <xf numFmtId="0" fontId="158" fillId="0" borderId="26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1" fillId="46" borderId="0" applyNumberFormat="0" applyBorder="0" applyAlignment="0" applyProtection="0">
      <alignment vertical="center"/>
    </xf>
    <xf numFmtId="0" fontId="162" fillId="0" borderId="0">
      <alignment vertical="center"/>
    </xf>
    <xf numFmtId="0" fontId="163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5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4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66" fillId="0" borderId="0" applyNumberFormat="0" applyFill="0" applyBorder="0" applyAlignment="0" applyProtection="0">
      <alignment vertical="center"/>
    </xf>
    <xf numFmtId="0" fontId="167" fillId="19" borderId="8" applyNumberFormat="0" applyAlignment="0" applyProtection="0">
      <alignment vertical="center"/>
    </xf>
    <xf numFmtId="183" fontId="168" fillId="0" borderId="0" applyFont="0" applyFill="0" applyBorder="0" applyAlignment="0" applyProtection="0"/>
    <xf numFmtId="209" fontId="168" fillId="0" borderId="0" applyFont="0" applyFill="0" applyBorder="0" applyAlignment="0" applyProtection="0"/>
    <xf numFmtId="0" fontId="168" fillId="0" borderId="0"/>
    <xf numFmtId="0" fontId="169" fillId="0" borderId="0" applyNumberFormat="0" applyFill="0" applyBorder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1" fillId="0" borderId="14" applyNumberFormat="0" applyFill="0" applyAlignment="0" applyProtection="0">
      <alignment vertical="center"/>
    </xf>
    <xf numFmtId="0" fontId="172" fillId="0" borderId="16" applyNumberFormat="0" applyFill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12" fillId="0" borderId="0">
      <alignment vertical="top"/>
    </xf>
    <xf numFmtId="0" fontId="173" fillId="44" borderId="8" applyNumberFormat="0" applyAlignment="0" applyProtection="0">
      <alignment vertical="center"/>
    </xf>
    <xf numFmtId="0" fontId="174" fillId="53" borderId="0" applyNumberFormat="0" applyBorder="0" applyAlignment="0" applyProtection="0">
      <alignment vertical="center"/>
    </xf>
    <xf numFmtId="0" fontId="175" fillId="24" borderId="7" applyNumberFormat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18" fillId="0" borderId="0"/>
    <xf numFmtId="0" fontId="116" fillId="22" borderId="0" applyNumberFormat="0" applyBorder="0" applyAlignment="0" applyProtection="0">
      <alignment vertical="center"/>
    </xf>
    <xf numFmtId="0" fontId="177" fillId="11" borderId="7" applyNumberFormat="0" applyAlignment="0" applyProtection="0">
      <alignment vertical="center"/>
    </xf>
    <xf numFmtId="0" fontId="18" fillId="9" borderId="21" applyNumberFormat="0" applyFont="0" applyAlignment="0" applyProtection="0">
      <alignment vertical="center"/>
    </xf>
    <xf numFmtId="0" fontId="178" fillId="0" borderId="27" applyNumberFormat="0" applyFill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199" fontId="157" fillId="0" borderId="0" applyFont="0" applyFill="0" applyBorder="0" applyAlignment="0" applyProtection="0"/>
    <xf numFmtId="210" fontId="13" fillId="0" borderId="0" applyFont="0" applyFill="0" applyBorder="0" applyAlignment="0" applyProtection="0"/>
    <xf numFmtId="200" fontId="157" fillId="0" borderId="0" applyFont="0" applyFill="0" applyBorder="0" applyAlignment="0" applyProtection="0"/>
    <xf numFmtId="0" fontId="181" fillId="0" borderId="0" applyNumberFormat="0" applyFill="0" applyBorder="0" applyAlignment="0" applyProtection="0">
      <alignment vertical="top"/>
      <protection locked="0"/>
    </xf>
    <xf numFmtId="0" fontId="35" fillId="31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82" fillId="18" borderId="7" applyNumberFormat="0" applyAlignment="0" applyProtection="0">
      <alignment vertical="center"/>
    </xf>
    <xf numFmtId="0" fontId="183" fillId="11" borderId="22" applyNumberFormat="0" applyAlignment="0" applyProtection="0">
      <alignment vertical="center"/>
    </xf>
    <xf numFmtId="44" fontId="168" fillId="0" borderId="0" applyFont="0" applyFill="0" applyBorder="0" applyAlignment="0" applyProtection="0"/>
    <xf numFmtId="42" fontId="168" fillId="0" borderId="0" applyFont="0" applyFill="0" applyBorder="0" applyAlignment="0" applyProtection="0"/>
    <xf numFmtId="0" fontId="184" fillId="0" borderId="18" applyNumberFormat="0" applyFill="0" applyAlignment="0" applyProtection="0">
      <alignment vertical="center"/>
    </xf>
    <xf numFmtId="0" fontId="185" fillId="0" borderId="17" applyNumberFormat="0" applyFill="0" applyAlignment="0" applyProtection="0">
      <alignment vertical="center"/>
    </xf>
    <xf numFmtId="0" fontId="186" fillId="43" borderId="22" applyNumberFormat="0" applyProtection="0">
      <alignment vertical="center"/>
    </xf>
    <xf numFmtId="0" fontId="186" fillId="24" borderId="22" applyNumberFormat="0" applyAlignment="0" applyProtection="0">
      <alignment vertical="center"/>
    </xf>
    <xf numFmtId="0" fontId="116" fillId="42" borderId="0" applyNumberFormat="0" applyBorder="0" applyProtection="0">
      <alignment vertical="center"/>
    </xf>
    <xf numFmtId="0" fontId="116" fillId="59" borderId="0" applyNumberFormat="0" applyBorder="0" applyAlignment="0" applyProtection="0">
      <alignment vertical="center"/>
    </xf>
    <xf numFmtId="0" fontId="159" fillId="0" borderId="0" applyNumberFormat="0" applyFill="0" applyBorder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7" fillId="45" borderId="8" applyNumberFormat="0" applyProtection="0">
      <alignment vertical="center"/>
    </xf>
    <xf numFmtId="0" fontId="167" fillId="19" borderId="8" applyNumberFormat="0" applyAlignment="0" applyProtection="0">
      <alignment vertical="center"/>
    </xf>
    <xf numFmtId="0" fontId="187" fillId="0" borderId="13" applyNumberFormat="0" applyFill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116" fillId="33" borderId="0" applyNumberFormat="0" applyBorder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8" fillId="0" borderId="0"/>
  </cellStyleXfs>
  <cellXfs count="84">
    <xf numFmtId="0" fontId="0" fillId="0" borderId="0" xfId="0"/>
    <xf numFmtId="0" fontId="2" fillId="0" borderId="0" xfId="2"/>
    <xf numFmtId="3" fontId="4" fillId="2" borderId="4" xfId="3" applyNumberFormat="1" applyFont="1" applyFill="1" applyBorder="1" applyAlignment="1">
      <alignment horizontal="center" vertical="center" wrapText="1"/>
    </xf>
    <xf numFmtId="3" fontId="4" fillId="2" borderId="4" xfId="2" applyNumberFormat="1" applyFont="1" applyFill="1" applyBorder="1" applyAlignment="1">
      <alignment horizontal="center" vertical="center" wrapText="1"/>
    </xf>
    <xf numFmtId="0" fontId="4" fillId="2" borderId="4" xfId="2" applyNumberFormat="1" applyFont="1" applyFill="1" applyBorder="1" applyAlignment="1">
      <alignment horizontal="center" vertical="center" wrapText="1"/>
    </xf>
    <xf numFmtId="165" fontId="5" fillId="2" borderId="5" xfId="1" applyNumberFormat="1" applyFont="1" applyFill="1" applyBorder="1" applyAlignment="1">
      <alignment horizontal="right" vertical="center"/>
    </xf>
    <xf numFmtId="0" fontId="6" fillId="2" borderId="5" xfId="2" applyFont="1" applyFill="1" applyBorder="1" applyAlignment="1">
      <alignment horizontal="right" vertical="center"/>
    </xf>
    <xf numFmtId="0" fontId="6" fillId="0" borderId="0" xfId="2" applyFont="1"/>
    <xf numFmtId="1" fontId="6" fillId="0" borderId="1" xfId="2" applyNumberFormat="1" applyFont="1" applyBorder="1" applyAlignment="1">
      <alignment horizontal="center" vertical="center"/>
    </xf>
    <xf numFmtId="16" fontId="6" fillId="0" borderId="5" xfId="2" applyNumberFormat="1" applyFont="1" applyBorder="1" applyAlignment="1">
      <alignment horizontal="center" vertical="center"/>
    </xf>
    <xf numFmtId="0" fontId="6" fillId="0" borderId="5" xfId="2" applyFont="1" applyFill="1" applyBorder="1" applyAlignment="1">
      <alignment horizontal="left" vertical="center"/>
    </xf>
    <xf numFmtId="0" fontId="6" fillId="0" borderId="3" xfId="2" applyFont="1" applyFill="1" applyBorder="1" applyAlignment="1">
      <alignment horizontal="left" vertical="center" shrinkToFit="1"/>
    </xf>
    <xf numFmtId="165" fontId="6" fillId="0" borderId="5" xfId="1" applyNumberFormat="1" applyFont="1" applyFill="1" applyBorder="1" applyAlignment="1">
      <alignment horizontal="right" vertical="center"/>
    </xf>
    <xf numFmtId="0" fontId="6" fillId="0" borderId="5" xfId="2" applyFont="1" applyFill="1" applyBorder="1" applyAlignment="1">
      <alignment horizontal="right" vertical="center"/>
    </xf>
    <xf numFmtId="167" fontId="6" fillId="0" borderId="5" xfId="1" applyNumberFormat="1" applyFont="1" applyFill="1" applyBorder="1" applyAlignment="1">
      <alignment horizontal="right" vertical="center"/>
    </xf>
    <xf numFmtId="165" fontId="6" fillId="0" borderId="5" xfId="1" applyNumberFormat="1" applyFont="1" applyBorder="1" applyAlignment="1">
      <alignment horizontal="right" vertical="center"/>
    </xf>
    <xf numFmtId="168" fontId="6" fillId="0" borderId="5" xfId="1" applyNumberFormat="1" applyFont="1" applyBorder="1" applyAlignment="1">
      <alignment horizontal="right" vertical="center"/>
    </xf>
    <xf numFmtId="0" fontId="7" fillId="0" borderId="0" xfId="2" applyFont="1"/>
    <xf numFmtId="0" fontId="7" fillId="0" borderId="0" xfId="2" applyFont="1" applyFill="1"/>
    <xf numFmtId="0" fontId="7" fillId="0" borderId="0" xfId="2" applyFont="1" applyBorder="1"/>
    <xf numFmtId="0" fontId="7" fillId="0" borderId="0" xfId="2" applyFont="1" applyAlignment="1">
      <alignment horizontal="center" vertical="center" wrapText="1"/>
    </xf>
    <xf numFmtId="0" fontId="2" fillId="0" borderId="0" xfId="2" applyBorder="1"/>
    <xf numFmtId="0" fontId="0" fillId="0" borderId="0" xfId="0" applyAlignment="1">
      <alignment horizontal="center" vertical="center"/>
    </xf>
    <xf numFmtId="165" fontId="0" fillId="0" borderId="0" xfId="1" applyNumberFormat="1" applyFont="1"/>
    <xf numFmtId="165" fontId="0" fillId="0" borderId="0" xfId="1" applyNumberFormat="1" applyFont="1" applyFill="1"/>
    <xf numFmtId="165" fontId="0" fillId="0" borderId="0" xfId="0" applyNumberFormat="1"/>
    <xf numFmtId="165" fontId="0" fillId="0" borderId="0" xfId="1" applyNumberFormat="1" applyFont="1" applyBorder="1"/>
    <xf numFmtId="43" fontId="0" fillId="0" borderId="0" xfId="1" applyNumberFormat="1" applyFont="1"/>
    <xf numFmtId="0" fontId="0" fillId="0" borderId="0" xfId="0" applyFill="1"/>
    <xf numFmtId="211" fontId="0" fillId="0" borderId="0" xfId="1" applyNumberFormat="1" applyFont="1"/>
    <xf numFmtId="0" fontId="0" fillId="0" borderId="0" xfId="0" applyFill="1" applyBorder="1"/>
    <xf numFmtId="0" fontId="55" fillId="0" borderId="0" xfId="0" applyFont="1" applyFill="1" applyBorder="1" applyAlignment="1">
      <alignment vertical="center" shrinkToFit="1"/>
    </xf>
    <xf numFmtId="0" fontId="55" fillId="0" borderId="0" xfId="0" applyFont="1" applyFill="1" applyBorder="1" applyAlignment="1">
      <alignment horizontal="center" vertical="center" shrinkToFit="1"/>
    </xf>
    <xf numFmtId="3" fontId="73" fillId="0" borderId="0" xfId="0" applyNumberFormat="1" applyFont="1" applyFill="1" applyBorder="1" applyAlignment="1">
      <alignment horizontal="center" vertical="center" shrinkToFit="1"/>
    </xf>
    <xf numFmtId="3" fontId="55" fillId="0" borderId="0" xfId="0" applyNumberFormat="1" applyFont="1" applyFill="1" applyBorder="1" applyAlignment="1">
      <alignment horizontal="center" vertical="center" shrinkToFit="1"/>
    </xf>
    <xf numFmtId="0" fontId="188" fillId="0" borderId="0" xfId="0" applyFont="1" applyFill="1" applyBorder="1"/>
    <xf numFmtId="212" fontId="188" fillId="0" borderId="0" xfId="0" applyNumberFormat="1" applyFont="1" applyFill="1" applyBorder="1"/>
    <xf numFmtId="3" fontId="188" fillId="0" borderId="0" xfId="0" applyNumberFormat="1" applyFont="1" applyFill="1" applyBorder="1"/>
    <xf numFmtId="16" fontId="55" fillId="0" borderId="0" xfId="0" applyNumberFormat="1" applyFont="1" applyFill="1" applyBorder="1" applyAlignment="1">
      <alignment horizontal="center" vertical="center" shrinkToFit="1"/>
    </xf>
    <xf numFmtId="14" fontId="188" fillId="0" borderId="0" xfId="0" applyNumberFormat="1" applyFont="1" applyFill="1" applyBorder="1"/>
    <xf numFmtId="16" fontId="189" fillId="0" borderId="5" xfId="0" applyNumberFormat="1" applyFont="1" applyBorder="1" applyAlignment="1">
      <alignment horizontal="center" vertical="center"/>
    </xf>
    <xf numFmtId="0" fontId="189" fillId="0" borderId="5" xfId="0" applyFont="1" applyBorder="1" applyAlignment="1">
      <alignment vertical="center" shrinkToFit="1"/>
    </xf>
    <xf numFmtId="0" fontId="0" fillId="60" borderId="0" xfId="0" applyFill="1"/>
    <xf numFmtId="43" fontId="0" fillId="0" borderId="0" xfId="1" applyNumberFormat="1" applyFont="1" applyFill="1"/>
    <xf numFmtId="0" fontId="6" fillId="0" borderId="5" xfId="0" applyFont="1" applyBorder="1" applyAlignment="1">
      <alignment vertical="center" shrinkToFit="1"/>
    </xf>
    <xf numFmtId="165" fontId="188" fillId="0" borderId="0" xfId="0" applyNumberFormat="1" applyFont="1" applyFill="1" applyBorder="1"/>
    <xf numFmtId="16" fontId="5" fillId="2" borderId="1" xfId="2" applyNumberFormat="1" applyFont="1" applyFill="1" applyBorder="1" applyAlignment="1">
      <alignment horizontal="center" vertical="center"/>
    </xf>
    <xf numFmtId="16" fontId="5" fillId="2" borderId="2" xfId="2" applyNumberFormat="1" applyFont="1" applyFill="1" applyBorder="1" applyAlignment="1">
      <alignment horizontal="center" vertical="center"/>
    </xf>
    <xf numFmtId="16" fontId="5" fillId="2" borderId="3" xfId="2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4" fontId="3" fillId="0" borderId="2" xfId="2" applyNumberFormat="1" applyFont="1" applyFill="1" applyBorder="1" applyAlignment="1">
      <alignment horizontal="center" vertical="center"/>
    </xf>
    <xf numFmtId="164" fontId="3" fillId="0" borderId="2" xfId="2" applyNumberFormat="1" applyFont="1" applyFill="1" applyBorder="1" applyAlignment="1">
      <alignment horizontal="left" vertical="center"/>
    </xf>
    <xf numFmtId="164" fontId="3" fillId="0" borderId="3" xfId="2" applyNumberFormat="1" applyFont="1" applyFill="1" applyBorder="1" applyAlignment="1">
      <alignment horizontal="center" vertical="center"/>
    </xf>
    <xf numFmtId="164" fontId="4" fillId="2" borderId="4" xfId="2" applyNumberFormat="1" applyFont="1" applyFill="1" applyBorder="1" applyAlignment="1">
      <alignment horizontal="center" vertical="center" wrapText="1"/>
    </xf>
    <xf numFmtId="164" fontId="4" fillId="2" borderId="6" xfId="2" applyNumberFormat="1" applyFont="1" applyFill="1" applyBorder="1" applyAlignment="1">
      <alignment horizontal="center" vertical="center" wrapText="1"/>
    </xf>
    <xf numFmtId="0" fontId="4" fillId="2" borderId="4" xfId="2" applyNumberFormat="1" applyFont="1" applyFill="1" applyBorder="1" applyAlignment="1">
      <alignment horizontal="center" vertical="center" shrinkToFit="1"/>
    </xf>
    <xf numFmtId="0" fontId="4" fillId="2" borderId="6" xfId="2" applyNumberFormat="1" applyFont="1" applyFill="1" applyBorder="1" applyAlignment="1">
      <alignment horizontal="center" vertical="center" shrinkToFit="1"/>
    </xf>
    <xf numFmtId="3" fontId="4" fillId="2" borderId="1" xfId="3" applyNumberFormat="1" applyFont="1" applyFill="1" applyBorder="1" applyAlignment="1">
      <alignment horizontal="center" vertical="center"/>
    </xf>
    <xf numFmtId="3" fontId="4" fillId="2" borderId="2" xfId="3" applyNumberFormat="1" applyFont="1" applyFill="1" applyBorder="1" applyAlignment="1">
      <alignment horizontal="center" vertical="center"/>
    </xf>
    <xf numFmtId="3" fontId="4" fillId="2" borderId="3" xfId="3" applyNumberFormat="1" applyFont="1" applyFill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 wrapText="1"/>
    </xf>
    <xf numFmtId="3" fontId="4" fillId="2" borderId="3" xfId="2" applyNumberFormat="1" applyFont="1" applyFill="1" applyBorder="1" applyAlignment="1">
      <alignment horizontal="center" vertical="center" wrapText="1"/>
    </xf>
    <xf numFmtId="0" fontId="4" fillId="2" borderId="1" xfId="2" applyNumberFormat="1" applyFont="1" applyFill="1" applyBorder="1" applyAlignment="1">
      <alignment horizontal="center" vertical="center" wrapText="1"/>
    </xf>
    <xf numFmtId="0" fontId="4" fillId="2" borderId="3" xfId="2" applyNumberFormat="1" applyFont="1" applyFill="1" applyBorder="1" applyAlignment="1">
      <alignment horizontal="center" vertical="center" wrapText="1"/>
    </xf>
    <xf numFmtId="3" fontId="189" fillId="0" borderId="5" xfId="1" applyNumberFormat="1" applyFont="1" applyBorder="1" applyAlignment="1">
      <alignment vertical="center" shrinkToFit="1"/>
    </xf>
    <xf numFmtId="3" fontId="189" fillId="0" borderId="5" xfId="1" applyNumberFormat="1" applyFont="1" applyBorder="1" applyAlignment="1">
      <alignment vertical="center"/>
    </xf>
    <xf numFmtId="3" fontId="189" fillId="0" borderId="5" xfId="0" applyNumberFormat="1" applyFont="1" applyBorder="1" applyAlignment="1">
      <alignment vertical="center"/>
    </xf>
    <xf numFmtId="3" fontId="6" fillId="0" borderId="5" xfId="1" applyNumberFormat="1" applyFont="1" applyBorder="1" applyAlignment="1">
      <alignment vertical="center" shrinkToFit="1"/>
    </xf>
    <xf numFmtId="3" fontId="6" fillId="0" borderId="5" xfId="1" applyNumberFormat="1" applyFont="1" applyBorder="1" applyAlignment="1">
      <alignment vertical="center"/>
    </xf>
    <xf numFmtId="3" fontId="6" fillId="0" borderId="5" xfId="0" applyNumberFormat="1" applyFont="1" applyBorder="1" applyAlignment="1">
      <alignment vertical="center"/>
    </xf>
    <xf numFmtId="3" fontId="5" fillId="2" borderId="5" xfId="1" applyNumberFormat="1" applyFont="1" applyFill="1" applyBorder="1" applyAlignment="1">
      <alignment horizontal="right" vertical="center"/>
    </xf>
    <xf numFmtId="3" fontId="0" fillId="0" borderId="0" xfId="0" applyNumberFormat="1"/>
    <xf numFmtId="213" fontId="4" fillId="2" borderId="4" xfId="2" applyNumberFormat="1" applyFont="1" applyFill="1" applyBorder="1" applyAlignment="1">
      <alignment horizontal="center" vertical="center" wrapText="1"/>
    </xf>
    <xf numFmtId="213" fontId="189" fillId="0" borderId="5" xfId="0" applyNumberFormat="1" applyFont="1" applyBorder="1" applyAlignment="1">
      <alignment vertical="center" shrinkToFit="1"/>
    </xf>
    <xf numFmtId="213" fontId="6" fillId="0" borderId="5" xfId="0" applyNumberFormat="1" applyFont="1" applyBorder="1" applyAlignment="1">
      <alignment vertical="center" shrinkToFit="1"/>
    </xf>
    <xf numFmtId="213" fontId="6" fillId="2" borderId="5" xfId="2" applyNumberFormat="1" applyFont="1" applyFill="1" applyBorder="1" applyAlignment="1">
      <alignment horizontal="right" vertical="center"/>
    </xf>
    <xf numFmtId="213" fontId="0" fillId="0" borderId="0" xfId="0" applyNumberFormat="1"/>
    <xf numFmtId="4" fontId="4" fillId="2" borderId="4" xfId="2" applyNumberFormat="1" applyFont="1" applyFill="1" applyBorder="1" applyAlignment="1">
      <alignment horizontal="center" vertical="center" wrapText="1"/>
    </xf>
    <xf numFmtId="4" fontId="189" fillId="0" borderId="5" xfId="0" applyNumberFormat="1" applyFont="1" applyBorder="1" applyAlignment="1">
      <alignment vertical="center"/>
    </xf>
    <xf numFmtId="4" fontId="5" fillId="2" borderId="5" xfId="1" applyNumberFormat="1" applyFont="1" applyFill="1" applyBorder="1" applyAlignment="1">
      <alignment horizontal="right" vertical="center"/>
    </xf>
    <xf numFmtId="4" fontId="0" fillId="0" borderId="0" xfId="0" applyNumberFormat="1"/>
    <xf numFmtId="3" fontId="4" fillId="2" borderId="4" xfId="2" applyNumberFormat="1" applyFont="1" applyFill="1" applyBorder="1" applyAlignment="1">
      <alignment horizontal="center" vertical="center" wrapText="1"/>
    </xf>
    <xf numFmtId="3" fontId="4" fillId="2" borderId="6" xfId="2" applyNumberFormat="1" applyFont="1" applyFill="1" applyBorder="1" applyAlignment="1">
      <alignment horizontal="center" vertical="center" wrapText="1"/>
    </xf>
    <xf numFmtId="3" fontId="189" fillId="0" borderId="5" xfId="0" applyNumberFormat="1" applyFont="1" applyBorder="1" applyAlignment="1">
      <alignment horizontal="center" vertical="center"/>
    </xf>
  </cellXfs>
  <cellStyles count="1364">
    <cellStyle name="?" xfId="4"/>
    <cellStyle name="? 2" xfId="5"/>
    <cellStyle name="??" xfId="6"/>
    <cellStyle name="?? [0.00]_PRODUCT DETAIL Q1" xfId="7"/>
    <cellStyle name="?? [0]" xfId="8"/>
    <cellStyle name="?? 2" xfId="9"/>
    <cellStyle name="?_x001d_??%U©÷u&amp;H©÷9_x0008_?_x0009_s_x000a__x0007__x0001__x0001_" xfId="10"/>
    <cellStyle name="???? [0.00]_PRODUCT DETAIL Q1" xfId="11"/>
    <cellStyle name="????_PRODUCT DETAIL Q1" xfId="12"/>
    <cellStyle name="???[0]_?? DI" xfId="13"/>
    <cellStyle name="???_?? DI" xfId="14"/>
    <cellStyle name="??[0]_MATL COST ANALYSIS" xfId="15"/>
    <cellStyle name="??_(????)??????" xfId="16"/>
    <cellStyle name="??A? [0]_laroux_1_¢¬???¢â? " xfId="17"/>
    <cellStyle name="??A?_laroux_1_¢¬???¢â? " xfId="18"/>
    <cellStyle name="?@!Ae_GF300-3" xfId="19"/>
    <cellStyle name="?@¯e_SGV" xfId="20"/>
    <cellStyle name="?¡±¢¥?_?¨ù??¢´¢¥_¢¬???¢â? " xfId="21"/>
    <cellStyle name="?d?A|i[0]_PRSP121" xfId="22"/>
    <cellStyle name="?d?A|i_PRSP121" xfId="23"/>
    <cellStyle name="?ðÇ%U?&amp;H?_x0008_?s_x000a__x0007__x0001__x0001_" xfId="24"/>
    <cellStyle name="_Comparison DPO11-08-10 detail (6-7) RP" xfId="25"/>
    <cellStyle name="_DI0202GAC BY WEEK" xfId="26"/>
    <cellStyle name="_OBS Misrouted in VX" xfId="27"/>
    <cellStyle name="0,0_x000d__x000a_NA_x000d__x000a_" xfId="28"/>
    <cellStyle name="1" xfId="29"/>
    <cellStyle name="15" xfId="30"/>
    <cellStyle name="¹éºÐÀ²_±âÅ¸" xfId="31"/>
    <cellStyle name="2" xfId="32"/>
    <cellStyle name="20% - Accent1 2" xfId="33"/>
    <cellStyle name="20% - Accent1 3" xfId="34"/>
    <cellStyle name="20% - Accent2 2" xfId="35"/>
    <cellStyle name="20% - Accent2 3" xfId="36"/>
    <cellStyle name="20% - Accent3 2" xfId="37"/>
    <cellStyle name="20% - Accent3 3" xfId="38"/>
    <cellStyle name="20% - Accent4 2" xfId="39"/>
    <cellStyle name="20% - Accent4 3" xfId="40"/>
    <cellStyle name="20% - Accent5 2" xfId="41"/>
    <cellStyle name="20% - Accent5 3" xfId="42"/>
    <cellStyle name="20% - Accent6 2" xfId="43"/>
    <cellStyle name="20% - Accent6 3" xfId="44"/>
    <cellStyle name="20% - 강조색1" xfId="45"/>
    <cellStyle name="20% - 강조색1 2" xfId="46"/>
    <cellStyle name="20% - 강조색2" xfId="47"/>
    <cellStyle name="20% - 강조색2 2" xfId="48"/>
    <cellStyle name="20% - 강조색3" xfId="49"/>
    <cellStyle name="20% - 강조색3 2" xfId="50"/>
    <cellStyle name="20% - 강조색4" xfId="51"/>
    <cellStyle name="20% - 강조색4 2" xfId="52"/>
    <cellStyle name="20% - 강조색5" xfId="53"/>
    <cellStyle name="20% - 강조색5 2" xfId="54"/>
    <cellStyle name="20% - 강조색6" xfId="55"/>
    <cellStyle name="20% - 강조색6 2" xfId="56"/>
    <cellStyle name="20% - 輔色1" xfId="57"/>
    <cellStyle name="20% - 輔色2" xfId="58"/>
    <cellStyle name="20% - 輔色3" xfId="59"/>
    <cellStyle name="20% - 輔色4" xfId="60"/>
    <cellStyle name="20% - 輔色5" xfId="61"/>
    <cellStyle name="20% - 輔色6" xfId="62"/>
    <cellStyle name="3" xfId="63"/>
    <cellStyle name="3f1o [0]_SGV" xfId="64"/>
    <cellStyle name="3f1o[0]_PRESHPY3" xfId="65"/>
    <cellStyle name="3f1o_PRESHPY3" xfId="66"/>
    <cellStyle name="4" xfId="67"/>
    <cellStyle name="40% - Accent1 2" xfId="68"/>
    <cellStyle name="40% - Accent1 3" xfId="69"/>
    <cellStyle name="40% - Accent2 2" xfId="70"/>
    <cellStyle name="40% - Accent2 3" xfId="71"/>
    <cellStyle name="40% - Accent3 2" xfId="72"/>
    <cellStyle name="40% - Accent3 3" xfId="73"/>
    <cellStyle name="40% - Accent4 2" xfId="74"/>
    <cellStyle name="40% - Accent4 3" xfId="75"/>
    <cellStyle name="40% - Accent5 2" xfId="76"/>
    <cellStyle name="40% - Accent5 3" xfId="77"/>
    <cellStyle name="40% - Accent6 2" xfId="78"/>
    <cellStyle name="40% - Accent6 3" xfId="79"/>
    <cellStyle name="40% - 강조색1" xfId="80"/>
    <cellStyle name="40% - 강조색1 2" xfId="81"/>
    <cellStyle name="40% - 강조색2" xfId="82"/>
    <cellStyle name="40% - 강조색2 2" xfId="83"/>
    <cellStyle name="40% - 강조색3" xfId="84"/>
    <cellStyle name="40% - 강조색3 2" xfId="85"/>
    <cellStyle name="40% - 강조색4" xfId="86"/>
    <cellStyle name="40% - 강조색4 2" xfId="87"/>
    <cellStyle name="40% - 강조색5" xfId="88"/>
    <cellStyle name="40% - 강조색5 2" xfId="89"/>
    <cellStyle name="40% - 강조색6" xfId="90"/>
    <cellStyle name="40% - 강조색6 2" xfId="91"/>
    <cellStyle name="40% - 輔色1" xfId="92"/>
    <cellStyle name="40% - 輔色2" xfId="93"/>
    <cellStyle name="40% - 輔色3" xfId="94"/>
    <cellStyle name="40% - 輔色4" xfId="95"/>
    <cellStyle name="40% - 輔色5" xfId="96"/>
    <cellStyle name="40% - 輔色6" xfId="97"/>
    <cellStyle name="60% - Accent1 2" xfId="98"/>
    <cellStyle name="60% - Accent1 3" xfId="99"/>
    <cellStyle name="60% - Accent2 2" xfId="100"/>
    <cellStyle name="60% - Accent2 3" xfId="101"/>
    <cellStyle name="60% - Accent3 2" xfId="102"/>
    <cellStyle name="60% - Accent3 3" xfId="103"/>
    <cellStyle name="60% - Accent4 2" xfId="104"/>
    <cellStyle name="60% - Accent4 3" xfId="105"/>
    <cellStyle name="60% - Accent5 2" xfId="106"/>
    <cellStyle name="60% - Accent5 3" xfId="107"/>
    <cellStyle name="60% - Accent6 2" xfId="108"/>
    <cellStyle name="60% - Accent6 3" xfId="109"/>
    <cellStyle name="60% - 강조색1" xfId="110"/>
    <cellStyle name="60% - 강조색2" xfId="111"/>
    <cellStyle name="60% - 강조색3" xfId="112"/>
    <cellStyle name="60% - 강조색4" xfId="113"/>
    <cellStyle name="60% - 강조색5" xfId="114"/>
    <cellStyle name="60% - 강조색6" xfId="115"/>
    <cellStyle name="60% - 輔色1" xfId="116"/>
    <cellStyle name="60% - 輔色2" xfId="117"/>
    <cellStyle name="60% - 輔色3" xfId="118"/>
    <cellStyle name="60% - 輔色4" xfId="119"/>
    <cellStyle name="60% - 輔色5" xfId="120"/>
    <cellStyle name="60% - 輔色6" xfId="121"/>
    <cellStyle name="Accent1 2" xfId="122"/>
    <cellStyle name="Accent1 3" xfId="123"/>
    <cellStyle name="Accent2 2" xfId="124"/>
    <cellStyle name="Accent2 3" xfId="125"/>
    <cellStyle name="Accent3 2" xfId="126"/>
    <cellStyle name="Accent3 3" xfId="127"/>
    <cellStyle name="Accent4 2" xfId="128"/>
    <cellStyle name="Accent4 3" xfId="129"/>
    <cellStyle name="Accent5 2" xfId="130"/>
    <cellStyle name="Accent5 3" xfId="131"/>
    <cellStyle name="Accent6 2" xfId="132"/>
    <cellStyle name="Accent6 3" xfId="133"/>
    <cellStyle name="ÅëÈ­ [0]_±âÅ¸" xfId="134"/>
    <cellStyle name="AeE­ [0]_INQUIRY ¿μ¾÷AßAø " xfId="135"/>
    <cellStyle name="ÅëÈ­_±âÅ¸" xfId="136"/>
    <cellStyle name="AeE­_INQUIRY ¿μ¾÷AßAø " xfId="137"/>
    <cellStyle name="args.style" xfId="138"/>
    <cellStyle name="args.style 2" xfId="139"/>
    <cellStyle name="ÄÞ¸¶ [0]_±âÅ¸" xfId="140"/>
    <cellStyle name="AÞ¸¶ [0]_INQUIRY ¿?¾÷AßAø " xfId="141"/>
    <cellStyle name="ÄÞ¸¶_±âÅ¸" xfId="142"/>
    <cellStyle name="AÞ¸¶_INQUIRY ¿?¾÷AßAø " xfId="143"/>
    <cellStyle name="Bad 2" xfId="144"/>
    <cellStyle name="Bad 3" xfId="145"/>
    <cellStyle name="C?AØ_¿?¾÷CoE² " xfId="146"/>
    <cellStyle name="Ç¥ÁØ_#2(M17)_1" xfId="147"/>
    <cellStyle name="C￥AØ_¿μ¾÷CoE² " xfId="148"/>
    <cellStyle name="Ç¥ÁØ_B-MONTH10" xfId="149"/>
    <cellStyle name="Calc Currency (0)" xfId="150"/>
    <cellStyle name="Calc Currency (0) 2" xfId="151"/>
    <cellStyle name="Calc Currency (0) 3" xfId="152"/>
    <cellStyle name="Calc Currency (0) 4" xfId="153"/>
    <cellStyle name="Calc Percent (0)" xfId="154"/>
    <cellStyle name="Calc Percent (1)" xfId="155"/>
    <cellStyle name="Calculation 2" xfId="156"/>
    <cellStyle name="Calculation 3" xfId="157"/>
    <cellStyle name="category" xfId="158"/>
    <cellStyle name="Check Cell 2" xfId="159"/>
    <cellStyle name="Check Cell 3" xfId="160"/>
    <cellStyle name="CHUONG" xfId="161"/>
    <cellStyle name="Comma" xfId="1" builtinId="3"/>
    <cellStyle name="Comma 10" xfId="162"/>
    <cellStyle name="Comma 16" xfId="163"/>
    <cellStyle name="Comma 2" xfId="3"/>
    <cellStyle name="Comma 2 10" xfId="164"/>
    <cellStyle name="Comma 2 2" xfId="165"/>
    <cellStyle name="Comma 2 2 2" xfId="166"/>
    <cellStyle name="Comma 2 2 3" xfId="167"/>
    <cellStyle name="Comma 2 2 4" xfId="168"/>
    <cellStyle name="Comma 2 3" xfId="169"/>
    <cellStyle name="Comma 2 3 2" xfId="170"/>
    <cellStyle name="Comma 2 4" xfId="171"/>
    <cellStyle name="Comma 2 5" xfId="172"/>
    <cellStyle name="Comma 2 6" xfId="173"/>
    <cellStyle name="Comma 2 6 2" xfId="174"/>
    <cellStyle name="Comma 2 7" xfId="175"/>
    <cellStyle name="Comma 2 8" xfId="176"/>
    <cellStyle name="Comma 2 9" xfId="177"/>
    <cellStyle name="Comma 22" xfId="178"/>
    <cellStyle name="Comma 3" xfId="179"/>
    <cellStyle name="Comma 3 10" xfId="180"/>
    <cellStyle name="Comma 3 14" xfId="181"/>
    <cellStyle name="Comma 3 16" xfId="182"/>
    <cellStyle name="Comma 3 2" xfId="183"/>
    <cellStyle name="Comma 3 2 2" xfId="184"/>
    <cellStyle name="Comma 3 2 3" xfId="185"/>
    <cellStyle name="Comma 3 3" xfId="186"/>
    <cellStyle name="Comma 4" xfId="187"/>
    <cellStyle name="Comma 4 2" xfId="188"/>
    <cellStyle name="Comma 5" xfId="189"/>
    <cellStyle name="Comma 6" xfId="190"/>
    <cellStyle name="Comma 6 2" xfId="191"/>
    <cellStyle name="Comma 7" xfId="192"/>
    <cellStyle name="Comma 8" xfId="193"/>
    <cellStyle name="comma zerodec" xfId="194"/>
    <cellStyle name="Comma0" xfId="195"/>
    <cellStyle name="Copied" xfId="196"/>
    <cellStyle name="Copied 2" xfId="197"/>
    <cellStyle name="COST1" xfId="198"/>
    <cellStyle name="COST1 2" xfId="199"/>
    <cellStyle name="Currency [0] 2" xfId="200"/>
    <cellStyle name="Currency 2" xfId="201"/>
    <cellStyle name="Currency 3" xfId="202"/>
    <cellStyle name="Currency 4" xfId="203"/>
    <cellStyle name="Currency0" xfId="204"/>
    <cellStyle name="Currency1" xfId="205"/>
    <cellStyle name="Date" xfId="206"/>
    <cellStyle name="Dezimal [0]_UXO VII" xfId="207"/>
    <cellStyle name="Dezimal_UXO VII" xfId="208"/>
    <cellStyle name="Dollar (zero dec)" xfId="209"/>
    <cellStyle name="Enter Currency (0)" xfId="210"/>
    <cellStyle name="Enter Currency (0) 2" xfId="211"/>
    <cellStyle name="Enter Currency (0) 3" xfId="212"/>
    <cellStyle name="Entered" xfId="213"/>
    <cellStyle name="Entered 2" xfId="214"/>
    <cellStyle name="Euro" xfId="215"/>
    <cellStyle name="Excel Built-in Normal" xfId="216"/>
    <cellStyle name="Explanatory Text 2" xfId="217"/>
    <cellStyle name="Explanatory Text 3" xfId="218"/>
    <cellStyle name="Fixed" xfId="219"/>
    <cellStyle name="Good 2" xfId="220"/>
    <cellStyle name="Good 3" xfId="221"/>
    <cellStyle name="Grey" xfId="222"/>
    <cellStyle name="Grey 2" xfId="223"/>
    <cellStyle name="HEADER" xfId="224"/>
    <cellStyle name="Header1" xfId="225"/>
    <cellStyle name="Header1 2" xfId="226"/>
    <cellStyle name="Header2" xfId="227"/>
    <cellStyle name="Header2 2" xfId="228"/>
    <cellStyle name="Heading 1 2" xfId="229"/>
    <cellStyle name="Heading 1 3" xfId="230"/>
    <cellStyle name="Heading 2 2" xfId="231"/>
    <cellStyle name="Heading 2 3" xfId="232"/>
    <cellStyle name="Heading 3 2" xfId="233"/>
    <cellStyle name="Heading 3 3" xfId="234"/>
    <cellStyle name="Heading 4 2" xfId="235"/>
    <cellStyle name="Heading 4 3" xfId="236"/>
    <cellStyle name="Heading1" xfId="237"/>
    <cellStyle name="Heading2" xfId="238"/>
    <cellStyle name="Input [yellow]" xfId="239"/>
    <cellStyle name="Input [yellow] 2" xfId="240"/>
    <cellStyle name="Input 2" xfId="241"/>
    <cellStyle name="Input 3" xfId="242"/>
    <cellStyle name="Input Cells" xfId="243"/>
    <cellStyle name="Input Cells 2" xfId="244"/>
    <cellStyle name="Link Currency (0)" xfId="245"/>
    <cellStyle name="Link Currency (0) 2" xfId="246"/>
    <cellStyle name="Link Currency (0) 3" xfId="247"/>
    <cellStyle name="Linked Cell 2" xfId="248"/>
    <cellStyle name="Linked Cell 3" xfId="249"/>
    <cellStyle name="Linked Cells" xfId="250"/>
    <cellStyle name="Linked Cells 2" xfId="251"/>
    <cellStyle name="Milliers [0]_      " xfId="252"/>
    <cellStyle name="Milliers_      " xfId="253"/>
    <cellStyle name="Model" xfId="254"/>
    <cellStyle name="Mon?aire [0]_      " xfId="255"/>
    <cellStyle name="Mon?aire_      " xfId="256"/>
    <cellStyle name="Monétaire [0]_      " xfId="257"/>
    <cellStyle name="Monétaire_      " xfId="258"/>
    <cellStyle name="Mon彋aire [0]_!!!GO" xfId="259"/>
    <cellStyle name="Mon彋aire_!!!GO" xfId="260"/>
    <cellStyle name="n" xfId="261"/>
    <cellStyle name="Neutral 2" xfId="262"/>
    <cellStyle name="Neutral 3" xfId="263"/>
    <cellStyle name="New Times Roman" xfId="264"/>
    <cellStyle name="no dec" xfId="265"/>
    <cellStyle name="ÑONVÒ" xfId="266"/>
    <cellStyle name="Normal" xfId="0" builtinId="0"/>
    <cellStyle name="Normal - Style1" xfId="267"/>
    <cellStyle name="Normal - Style1 2" xfId="268"/>
    <cellStyle name="Normal 10" xfId="269"/>
    <cellStyle name="Normal 10 2" xfId="2"/>
    <cellStyle name="Normal 10 2 2" xfId="270"/>
    <cellStyle name="Normal 10 2 3" xfId="271"/>
    <cellStyle name="Normal 11" xfId="272"/>
    <cellStyle name="Normal 11 2" xfId="273"/>
    <cellStyle name="Normal 11 3" xfId="274"/>
    <cellStyle name="Normal 12" xfId="275"/>
    <cellStyle name="Normal 12 2" xfId="276"/>
    <cellStyle name="Normal 13" xfId="277"/>
    <cellStyle name="Normal 13 2" xfId="278"/>
    <cellStyle name="Normal 14" xfId="279"/>
    <cellStyle name="Normal 15" xfId="280"/>
    <cellStyle name="Normal 16" xfId="281"/>
    <cellStyle name="Normal 16 2" xfId="282"/>
    <cellStyle name="Normal 16 3" xfId="283"/>
    <cellStyle name="Normal 17" xfId="284"/>
    <cellStyle name="Normal 17 2" xfId="285"/>
    <cellStyle name="Normal 18" xfId="286"/>
    <cellStyle name="Normal 19" xfId="287"/>
    <cellStyle name="Normal 2" xfId="288"/>
    <cellStyle name="Normal 2 11" xfId="289"/>
    <cellStyle name="Normal 2 2" xfId="290"/>
    <cellStyle name="Normal 2 2 2" xfId="291"/>
    <cellStyle name="Normal 2 2 2 2" xfId="292"/>
    <cellStyle name="Normal 2 2 3" xfId="293"/>
    <cellStyle name="Normal 2 2 4" xfId="294"/>
    <cellStyle name="Normal 2 2 5" xfId="295"/>
    <cellStyle name="Normal 2 2 6" xfId="296"/>
    <cellStyle name="Normal 2 2 7" xfId="297"/>
    <cellStyle name="Normal 2 2 8" xfId="298"/>
    <cellStyle name="Normal 2 3" xfId="299"/>
    <cellStyle name="Normal 2 3 2" xfId="300"/>
    <cellStyle name="Normal 2 3 3" xfId="301"/>
    <cellStyle name="Normal 2 3 4" xfId="302"/>
    <cellStyle name="Normal 2 4" xfId="303"/>
    <cellStyle name="Normal 2 4 2" xfId="304"/>
    <cellStyle name="Normal 2 5" xfId="305"/>
    <cellStyle name="Normal 2 5 2" xfId="306"/>
    <cellStyle name="Normal 2 6" xfId="307"/>
    <cellStyle name="Normal 2 7" xfId="308"/>
    <cellStyle name="Normal 2 8" xfId="309"/>
    <cellStyle name="Normal 2 9" xfId="310"/>
    <cellStyle name="Normal 20" xfId="311"/>
    <cellStyle name="Normal 21" xfId="312"/>
    <cellStyle name="Normal 22" xfId="313"/>
    <cellStyle name="Normal 23" xfId="314"/>
    <cellStyle name="Normal 24" xfId="315"/>
    <cellStyle name="Normal 246" xfId="316"/>
    <cellStyle name="Normal 25" xfId="317"/>
    <cellStyle name="Normal 26" xfId="318"/>
    <cellStyle name="Normal 27" xfId="319"/>
    <cellStyle name="Normal 28" xfId="320"/>
    <cellStyle name="Normal 29" xfId="321"/>
    <cellStyle name="Normal 3" xfId="322"/>
    <cellStyle name="Normal 3 2" xfId="323"/>
    <cellStyle name="Normal 3 2 2" xfId="324"/>
    <cellStyle name="Normal 3 2 3" xfId="325"/>
    <cellStyle name="Normal 3 3" xfId="326"/>
    <cellStyle name="Normal 3 4" xfId="327"/>
    <cellStyle name="Normal 3 5" xfId="328"/>
    <cellStyle name="Normal 30" xfId="329"/>
    <cellStyle name="Normal 31" xfId="330"/>
    <cellStyle name="Normal 4" xfId="331"/>
    <cellStyle name="Normal 4 2" xfId="332"/>
    <cellStyle name="Normal 4 3" xfId="333"/>
    <cellStyle name="Normal 4 4" xfId="334"/>
    <cellStyle name="Normal 4_DEBIT NOTE JUNE-lock &amp; Lock" xfId="335"/>
    <cellStyle name="Normal 43" xfId="336"/>
    <cellStyle name="Normal 44" xfId="337"/>
    <cellStyle name="Normal 45" xfId="338"/>
    <cellStyle name="Normal 46" xfId="339"/>
    <cellStyle name="Normal 5" xfId="340"/>
    <cellStyle name="Normal 5 2" xfId="341"/>
    <cellStyle name="Normal 5 3" xfId="342"/>
    <cellStyle name="Normal 52" xfId="343"/>
    <cellStyle name="Normal 53" xfId="344"/>
    <cellStyle name="Normal 6" xfId="345"/>
    <cellStyle name="Normal 6 2" xfId="346"/>
    <cellStyle name="Normal 6 3" xfId="347"/>
    <cellStyle name="Normal 7" xfId="348"/>
    <cellStyle name="Normal 7 2" xfId="349"/>
    <cellStyle name="Normal 7 3" xfId="350"/>
    <cellStyle name="Normal 8" xfId="351"/>
    <cellStyle name="Normal 8 2" xfId="352"/>
    <cellStyle name="Normal 8 3" xfId="353"/>
    <cellStyle name="Normal 9" xfId="354"/>
    <cellStyle name="Normal 9 2" xfId="355"/>
    <cellStyle name="Note 2" xfId="356"/>
    <cellStyle name="Note 3" xfId="357"/>
    <cellStyle name="Œ…‹æØ‚è [0.00]_Region Orders (2)" xfId="358"/>
    <cellStyle name="Œ…‹æØ‚è_Region Orders (2)" xfId="359"/>
    <cellStyle name="omma [0]_Mktg Prog" xfId="360"/>
    <cellStyle name="ormal_Sheet1_1" xfId="361"/>
    <cellStyle name="Output 2" xfId="362"/>
    <cellStyle name="Output 3" xfId="363"/>
    <cellStyle name="per.style" xfId="364"/>
    <cellStyle name="per.style 2" xfId="365"/>
    <cellStyle name="Percent [2]" xfId="366"/>
    <cellStyle name="Percent [2] 2" xfId="367"/>
    <cellStyle name="Percent [2] 3" xfId="368"/>
    <cellStyle name="Percent [2] 4" xfId="369"/>
    <cellStyle name="Percent 2" xfId="370"/>
    <cellStyle name="Percent 3" xfId="371"/>
    <cellStyle name="PERCENTAGE" xfId="372"/>
    <cellStyle name="PERCENTAGE 2" xfId="373"/>
    <cellStyle name="PrePop Currency (0)" xfId="374"/>
    <cellStyle name="PrePop Currency (0) 2" xfId="375"/>
    <cellStyle name="PrePop Currency (0) 3" xfId="376"/>
    <cellStyle name="pricing" xfId="377"/>
    <cellStyle name="pricing 2" xfId="378"/>
    <cellStyle name="PSChar" xfId="379"/>
    <cellStyle name="PSChar 2" xfId="380"/>
    <cellStyle name="PSChar 3" xfId="381"/>
    <cellStyle name="PSChar 4" xfId="382"/>
    <cellStyle name="RevList" xfId="383"/>
    <cellStyle name="RevList 2" xfId="384"/>
    <cellStyle name="SAPBEXchaText" xfId="385"/>
    <cellStyle name="SAPBEXstdData" xfId="386"/>
    <cellStyle name="SAPBEXstdItem" xfId="387"/>
    <cellStyle name="SAPBEXstdItemX" xfId="388"/>
    <cellStyle name="SAPBEXundefined" xfId="389"/>
    <cellStyle name="Style 1" xfId="390"/>
    <cellStyle name="Style 1 2" xfId="391"/>
    <cellStyle name="Style 1 3" xfId="392"/>
    <cellStyle name="Style 10" xfId="393"/>
    <cellStyle name="Style 11" xfId="394"/>
    <cellStyle name="Style 12" xfId="395"/>
    <cellStyle name="Style 13" xfId="396"/>
    <cellStyle name="Style 14" xfId="397"/>
    <cellStyle name="Style 15" xfId="398"/>
    <cellStyle name="Style 16" xfId="399"/>
    <cellStyle name="Style 17" xfId="400"/>
    <cellStyle name="Style 18" xfId="401"/>
    <cellStyle name="Style 2" xfId="402"/>
    <cellStyle name="Style 3" xfId="403"/>
    <cellStyle name="Style 4" xfId="404"/>
    <cellStyle name="Style 5" xfId="405"/>
    <cellStyle name="Style 6" xfId="406"/>
    <cellStyle name="Style 7" xfId="407"/>
    <cellStyle name="Style 8" xfId="408"/>
    <cellStyle name="Style 9" xfId="409"/>
    <cellStyle name="subhead" xfId="410"/>
    <cellStyle name="Subtotal" xfId="411"/>
    <cellStyle name="Subtotal 2" xfId="412"/>
    <cellStyle name="Text Indent A" xfId="413"/>
    <cellStyle name="Text Indent B" xfId="414"/>
    <cellStyle name="Text Indent B 2" xfId="415"/>
    <cellStyle name="Text Indent B 3" xfId="416"/>
    <cellStyle name="Title 2" xfId="417"/>
    <cellStyle name="Title 3" xfId="418"/>
    <cellStyle name="Total 2" xfId="419"/>
    <cellStyle name="Total 3" xfId="420"/>
    <cellStyle name="Tusental (0)_pldt" xfId="421"/>
    <cellStyle name="Tusental_pldt" xfId="422"/>
    <cellStyle name="Valuta (0)_pldt" xfId="423"/>
    <cellStyle name="Valuta_pldt" xfId="424"/>
    <cellStyle name="viet" xfId="425"/>
    <cellStyle name="Währung [0]_UXO VII" xfId="426"/>
    <cellStyle name="Währung_UXO VII" xfId="427"/>
    <cellStyle name="Warning Text 2" xfId="428"/>
    <cellStyle name="Warning Text 3" xfId="429"/>
    <cellStyle name="X" xfId="430"/>
    <cellStyle name="xuan" xfId="431"/>
    <cellStyle name="Y" xfId="432"/>
    <cellStyle name="เครื่องหมายสกุลเงิน [0]_FTC_OFFER" xfId="433"/>
    <cellStyle name="เครื่องหมายสกุลเงิน_FTC_OFFER" xfId="434"/>
    <cellStyle name="ปกติ_FTC_OFFER" xfId="435"/>
    <cellStyle name=" [0.00]_ Att. 1- Cover" xfId="436"/>
    <cellStyle name="_ Att. 1- Cover" xfId="437"/>
    <cellStyle name="?_ Att. 1- Cover" xfId="438"/>
    <cellStyle name="강조색1" xfId="439"/>
    <cellStyle name="강조색2" xfId="440"/>
    <cellStyle name="강조색3" xfId="441"/>
    <cellStyle name="강조색4" xfId="442"/>
    <cellStyle name="강조색5" xfId="443"/>
    <cellStyle name="강조색6" xfId="444"/>
    <cellStyle name="경고문" xfId="445"/>
    <cellStyle name="계산" xfId="446"/>
    <cellStyle name="나쁨" xfId="447"/>
    <cellStyle name="뒤에 오는 하이퍼링크_Book1" xfId="448"/>
    <cellStyle name="똿뗦먛귟 [0.00]_PRODUCT DETAIL Q1" xfId="449"/>
    <cellStyle name="똿뗦먛귟_PRODUCT DETAIL Q1" xfId="450"/>
    <cellStyle name="메모" xfId="451"/>
    <cellStyle name="메모 2" xfId="452"/>
    <cellStyle name="믅됞 [0.00]_PRODUCT DETAIL Q1" xfId="453"/>
    <cellStyle name="믅됞_PRODUCT DETAIL Q1" xfId="454"/>
    <cellStyle name="백분율_95" xfId="455"/>
    <cellStyle name="보통" xfId="456"/>
    <cellStyle name="뷭?_BOOKSHIP" xfId="457"/>
    <cellStyle name="설명 텍스트" xfId="458"/>
    <cellStyle name="셀 확인" xfId="459"/>
    <cellStyle name="쉼표 [0] 2" xfId="460"/>
    <cellStyle name="쉼표 [0]_HO02 0220" xfId="461"/>
    <cellStyle name="연결된 셀" xfId="462"/>
    <cellStyle name="요약" xfId="463"/>
    <cellStyle name="입력" xfId="464"/>
    <cellStyle name="제목" xfId="465"/>
    <cellStyle name="제목 1" xfId="466"/>
    <cellStyle name="제목 2" xfId="467"/>
    <cellStyle name="제목 3" xfId="468"/>
    <cellStyle name="제목 4" xfId="469"/>
    <cellStyle name="좋음" xfId="470"/>
    <cellStyle name="출력" xfId="471"/>
    <cellStyle name="콤마 [0]_ 비목별 월별기술 " xfId="472"/>
    <cellStyle name="콤마_ 비목별 월별기술 " xfId="473"/>
    <cellStyle name="통화 [0]_00ss ordersheet" xfId="474"/>
    <cellStyle name="통화_00ss ordersheet" xfId="475"/>
    <cellStyle name="표준 2" xfId="476"/>
    <cellStyle name="표준 2 2" xfId="477"/>
    <cellStyle name="표준 2 3" xfId="478"/>
    <cellStyle name="표준 2 4" xfId="479"/>
    <cellStyle name="표준 3" xfId="480"/>
    <cellStyle name="표준 4" xfId="481"/>
    <cellStyle name="표준 5" xfId="482"/>
    <cellStyle name="표준 5 2" xfId="483"/>
    <cellStyle name="표준 7" xfId="484"/>
    <cellStyle name="표준_(정보부문)월별인원계획" xfId="485"/>
    <cellStyle name="하이퍼링크_Book1" xfId="486"/>
    <cellStyle name="一般_00Q3902REV.1" xfId="487"/>
    <cellStyle name="中等" xfId="488"/>
    <cellStyle name="備註" xfId="489"/>
    <cellStyle name="冏" xfId="490"/>
    <cellStyle name="千分位[0] 2" xfId="491"/>
    <cellStyle name="千分位[0]_00Q3902REV.1" xfId="492"/>
    <cellStyle name="千分位_00Q3902REV.1" xfId="493"/>
    <cellStyle name="合計" xfId="494"/>
    <cellStyle name="咋孥" xfId="495"/>
    <cellStyle name="壞" xfId="496"/>
    <cellStyle name="好" xfId="497"/>
    <cellStyle name="常规 10 2" xfId="498"/>
    <cellStyle name="常规 15" xfId="499"/>
    <cellStyle name="常规 2" xfId="500"/>
    <cellStyle name="常规 2 2" xfId="501"/>
    <cellStyle name="常规 2 2 2" xfId="502"/>
    <cellStyle name="常规 2 2 2 2" xfId="503"/>
    <cellStyle name="常规 2 2 2 2 2" xfId="504"/>
    <cellStyle name="常规 2 2 2 2 2 2" xfId="505"/>
    <cellStyle name="常规 2 2 2 2 3" xfId="506"/>
    <cellStyle name="常规 2 2 2 3" xfId="507"/>
    <cellStyle name="常规 2 2 2 3 2" xfId="508"/>
    <cellStyle name="常规 2 2 2 4" xfId="509"/>
    <cellStyle name="常规 2 2 3" xfId="510"/>
    <cellStyle name="常规 2 2 3 2" xfId="511"/>
    <cellStyle name="常规 2 2 3 2 2" xfId="512"/>
    <cellStyle name="常规 2 2 3 3" xfId="513"/>
    <cellStyle name="常规 2 2 4" xfId="514"/>
    <cellStyle name="常规 2 2 4 2" xfId="515"/>
    <cellStyle name="常规 2 2 5" xfId="516"/>
    <cellStyle name="常规 2 3" xfId="517"/>
    <cellStyle name="常规 2 3 2" xfId="518"/>
    <cellStyle name="常规 2 3 2 2" xfId="519"/>
    <cellStyle name="常规 2 3 2 2 2" xfId="520"/>
    <cellStyle name="常规 2 3 2 2 2 2" xfId="521"/>
    <cellStyle name="常规 2 3 2 2 3" xfId="522"/>
    <cellStyle name="常规 2 3 2 3" xfId="523"/>
    <cellStyle name="常规 2 3 2 3 2" xfId="524"/>
    <cellStyle name="常规 2 3 2 4" xfId="525"/>
    <cellStyle name="常规 2 3 3" xfId="526"/>
    <cellStyle name="常规 2 3 3 2" xfId="527"/>
    <cellStyle name="常规 2 3 3 2 2" xfId="528"/>
    <cellStyle name="常规 2 3 3 3" xfId="529"/>
    <cellStyle name="常规 2 3 4" xfId="530"/>
    <cellStyle name="常规 2 3 4 2" xfId="531"/>
    <cellStyle name="常规 2 3 5" xfId="532"/>
    <cellStyle name="常规 2 4" xfId="533"/>
    <cellStyle name="常规 2 4 2" xfId="534"/>
    <cellStyle name="常规 2 4 2 2" xfId="535"/>
    <cellStyle name="常规 2 4 2 2 2" xfId="536"/>
    <cellStyle name="常规 2 4 2 3" xfId="537"/>
    <cellStyle name="常规 2 4 3" xfId="538"/>
    <cellStyle name="常规 2 4 3 2" xfId="539"/>
    <cellStyle name="常规 2 4 4" xfId="540"/>
    <cellStyle name="常规 2 5" xfId="541"/>
    <cellStyle name="常规 2 5 2" xfId="542"/>
    <cellStyle name="常规 2 5 2 2" xfId="543"/>
    <cellStyle name="常规 2 5 3" xfId="544"/>
    <cellStyle name="常规 2 6" xfId="545"/>
    <cellStyle name="常规 2 6 2" xfId="546"/>
    <cellStyle name="常规 2 7" xfId="547"/>
    <cellStyle name="常规 3" xfId="548"/>
    <cellStyle name="常规 3 2" xfId="549"/>
    <cellStyle name="常规 3 2 2" xfId="550"/>
    <cellStyle name="常规 3 2 2 2" xfId="551"/>
    <cellStyle name="常规 3 2 2 2 2" xfId="552"/>
    <cellStyle name="常规 3 2 2 2 2 2" xfId="553"/>
    <cellStyle name="常规 3 2 2 2 2 2 2" xfId="554"/>
    <cellStyle name="常规 3 2 2 2 2 2 2 2" xfId="555"/>
    <cellStyle name="常规 3 2 2 2 2 2 2 2 2" xfId="556"/>
    <cellStyle name="常规 3 2 2 2 2 2 2 2 2 2" xfId="557"/>
    <cellStyle name="常规 3 2 2 2 2 2 2 2 2 2 2" xfId="558"/>
    <cellStyle name="常规 3 2 2 2 2 2 2 2 2 3" xfId="559"/>
    <cellStyle name="常规 3 2 2 2 2 2 2 2 3" xfId="560"/>
    <cellStyle name="常规 3 2 2 2 2 2 2 2 3 2" xfId="561"/>
    <cellStyle name="常规 3 2 2 2 2 2 2 2 4" xfId="562"/>
    <cellStyle name="常规 3 2 2 2 2 2 2 3" xfId="563"/>
    <cellStyle name="常规 3 2 2 2 2 2 2 3 2" xfId="564"/>
    <cellStyle name="常规 3 2 2 2 2 2 2 3 2 2" xfId="565"/>
    <cellStyle name="常规 3 2 2 2 2 2 2 3 3" xfId="566"/>
    <cellStyle name="常规 3 2 2 2 2 2 2 4" xfId="567"/>
    <cellStyle name="常规 3 2 2 2 2 2 2 4 2" xfId="568"/>
    <cellStyle name="常规 3 2 2 2 2 2 2 5" xfId="569"/>
    <cellStyle name="常规 3 2 2 2 2 2 2 6" xfId="570"/>
    <cellStyle name="常规 3 2 2 2 2 2 3" xfId="571"/>
    <cellStyle name="常规 3 2 2 2 2 2 3 2" xfId="572"/>
    <cellStyle name="常规 3 2 2 2 2 2 3 2 2" xfId="573"/>
    <cellStyle name="常规 3 2 2 2 2 2 3 2 2 2" xfId="574"/>
    <cellStyle name="常规 3 2 2 2 2 2 3 2 2 2 2" xfId="575"/>
    <cellStyle name="常规 3 2 2 2 2 2 3 2 2 3" xfId="576"/>
    <cellStyle name="常规 3 2 2 2 2 2 3 2 3" xfId="577"/>
    <cellStyle name="常规 3 2 2 2 2 2 3 2 3 2" xfId="578"/>
    <cellStyle name="常规 3 2 2 2 2 2 3 2 4" xfId="579"/>
    <cellStyle name="常规 3 2 2 2 2 2 3 3" xfId="580"/>
    <cellStyle name="常规 3 2 2 2 2 2 3 3 2" xfId="581"/>
    <cellStyle name="常规 3 2 2 2 2 2 3 3 2 2" xfId="582"/>
    <cellStyle name="常规 3 2 2 2 2 2 3 3 3" xfId="583"/>
    <cellStyle name="常规 3 2 2 2 2 2 3 4" xfId="584"/>
    <cellStyle name="常规 3 2 2 2 2 2 3 4 2" xfId="585"/>
    <cellStyle name="常规 3 2 2 2 2 2 3 5" xfId="586"/>
    <cellStyle name="常规 3 2 2 2 2 2 4" xfId="587"/>
    <cellStyle name="常规 3 2 2 2 2 2 4 2" xfId="588"/>
    <cellStyle name="常规 3 2 2 2 2 2 4 2 10" xfId="589"/>
    <cellStyle name="常规 3 2 2 2 2 2 4 2 11" xfId="590"/>
    <cellStyle name="常规 3 2 2 2 2 2 4 2 2" xfId="591"/>
    <cellStyle name="常规 3 2 2 2 2 2 4 2 2 2" xfId="592"/>
    <cellStyle name="常规 3 2 2 2 2 2 4 2 2 2 2" xfId="593"/>
    <cellStyle name="常规 3 2 2 2 2 2 4 2 2 2 2 2" xfId="594"/>
    <cellStyle name="常规 3 2 2 2 2 2 4 2 2 2 2 4 2 2" xfId="595"/>
    <cellStyle name="常规 3 2 2 2 2 2 4 2 2 2 3" xfId="596"/>
    <cellStyle name="常规 3 2 2 2 2 2 4 2 2 2 4" xfId="597"/>
    <cellStyle name="常规 3 2 2 2 2 2 4 2 2 3" xfId="598"/>
    <cellStyle name="常规 3 2 2 2 2 2 4 2 2 3 2" xfId="599"/>
    <cellStyle name="常规 3 2 2 2 2 2 4 2 2 4" xfId="600"/>
    <cellStyle name="常规 3 2 2 2 2 2 4 2 2 5" xfId="601"/>
    <cellStyle name="常规 3 2 2 2 2 2 4 2 3" xfId="602"/>
    <cellStyle name="常规 3 2 2 2 2 2 4 2 3 2" xfId="603"/>
    <cellStyle name="常规 3 2 2 2 2 2 4 2 3 2 2" xfId="604"/>
    <cellStyle name="常规 3 2 2 2 2 2 4 2 3 3" xfId="605"/>
    <cellStyle name="常规 3 2 2 2 2 2 4 2 3 4" xfId="606"/>
    <cellStyle name="常规 3 2 2 2 2 2 4 2 4" xfId="607"/>
    <cellStyle name="常规 3 2 2 2 2 2 4 2 4 2" xfId="608"/>
    <cellStyle name="常规 3 2 2 2 2 2 4 2 4 2 2" xfId="609"/>
    <cellStyle name="常规 3 2 2 2 2 2 4 2 4 2 2 2" xfId="610"/>
    <cellStyle name="常规 3 2 2 2 2 2 4 2 4 2 3" xfId="611"/>
    <cellStyle name="常规 3 2 2 2 2 2 4 2 4 2 3 13 2" xfId="612"/>
    <cellStyle name="常规 3 2 2 2 2 2 4 2 4 2 3 2" xfId="613"/>
    <cellStyle name="常规 3 2 2 2 2 2 4 2 4 2 3 2 2" xfId="614"/>
    <cellStyle name="常规 3 2 2 2 2 2 4 2 4 2 3 3" xfId="615"/>
    <cellStyle name="常规 3 2 2 2 2 2 4 2 4 2 3 3 2" xfId="616"/>
    <cellStyle name="常规 3 2 2 2 2 2 4 2 4 2 3 3 3" xfId="617"/>
    <cellStyle name="常规 3 2 2 2 2 2 4 2 4 2 3 3 3 2" xfId="618"/>
    <cellStyle name="常规 3 2 2 2 2 2 4 2 4 2 3 3 3 3" xfId="619"/>
    <cellStyle name="常规 3 2 2 2 2 2 4 2 4 2 3 3 3 3 2 2 2 2" xfId="620"/>
    <cellStyle name="常规 3 2 2 2 2 2 4 2 4 2 3 3 3 3 2 2 2 2 2 2 2 2 4 2 2 2 2 2 2 2" xfId="621"/>
    <cellStyle name="常规 3 2 2 2 2 2 4 2 4 2 3 3 3 3 2 2 2 2 5 2" xfId="622"/>
    <cellStyle name="常规 3 2 2 2 2 2 4 2 4 2 3 3 3 3 2 2 2 2 5 2 2 2" xfId="623"/>
    <cellStyle name="常规 3 2 2 2 2 2 4 2 4 2 3 3 3 3 2 2 2 2 5 2 2 2 2" xfId="624"/>
    <cellStyle name="常规 3 2 2 2 2 2 4 2 4 2 3 3 3 3 2 2 2 2 5 2 2 2 3" xfId="625"/>
    <cellStyle name="常规 3 2 2 2 2 2 4 2 4 2 3 3 3 3 2 2 2 4 2" xfId="626"/>
    <cellStyle name="常规 3 2 2 2 2 2 4 2 4 2 3 3 3 3 2 2 2 4 2 2" xfId="627"/>
    <cellStyle name="常规 3 2 2 2 2 2 4 2 4 2 3 3 3 3 2 2 2 4 2 2 4" xfId="628"/>
    <cellStyle name="常规 3 2 2 2 2 2 4 2 4 2 3 3 3 3 2 2 2 4 2 2 4 2" xfId="629"/>
    <cellStyle name="常规 3 2 2 2 2 2 4 2 4 2 3 3 3 3 2 2 2 4 2 2 4 4 2 2 2 2" xfId="630"/>
    <cellStyle name="常规 3 2 2 2 2 2 4 2 4 2 3 3 3 3 2 2 2 4 2 2 4 4 2 2 2 2 2" xfId="631"/>
    <cellStyle name="常规 3 2 2 2 2 2 4 2 4 2 3 3 3 3 2 2 2 4 2 2 4 4 2 2 2 2 3" xfId="632"/>
    <cellStyle name="常规 3 2 2 2 2 2 4 2 4 2 3 3 3 4" xfId="633"/>
    <cellStyle name="常规 3 2 2 2 2 2 4 2 4 2 3 3 4" xfId="634"/>
    <cellStyle name="常规 3 2 2 2 2 2 4 2 4 2 3 4" xfId="635"/>
    <cellStyle name="常规 3 2 2 2 2 2 4 2 4 2 3 5" xfId="636"/>
    <cellStyle name="常规 3 2 2 2 2 2 4 2 4 2 4" xfId="637"/>
    <cellStyle name="常规 3 2 2 2 2 2 4 2 4 3" xfId="638"/>
    <cellStyle name="常规 3 2 2 2 2 2 4 2 4 3 2" xfId="639"/>
    <cellStyle name="常规 3 2 2 2 2 2 4 2 4 4" xfId="640"/>
    <cellStyle name="常规 3 2 2 2 2 2 4 2 4 4 2 2 2 2 3 2 2 3 2 2 2 4 2 2 2 2 2 2" xfId="641"/>
    <cellStyle name="常规 3 2 2 2 2 2 4 2 4 5" xfId="642"/>
    <cellStyle name="常规 3 2 2 2 2 2 4 2 4 6" xfId="643"/>
    <cellStyle name="常规 3 2 2 2 2 2 4 2 5" xfId="644"/>
    <cellStyle name="常规 3 2 2 2 2 2 4 2 5 2" xfId="645"/>
    <cellStyle name="常规 3 2 2 2 2 2 4 2 6" xfId="646"/>
    <cellStyle name="常规 3 2 2 2 2 2 4 2 6 2" xfId="647"/>
    <cellStyle name="常规 3 2 2 2 2 2 4 2 6 2 2" xfId="648"/>
    <cellStyle name="常规 3 2 2 2 2 2 4 2 6 3" xfId="649"/>
    <cellStyle name="常规 3 2 2 2 2 2 4 2 7" xfId="650"/>
    <cellStyle name="常规 3 2 2 2 2 2 4 2 7 2" xfId="651"/>
    <cellStyle name="常规 3 2 2 2 2 2 4 2 8" xfId="652"/>
    <cellStyle name="常规 3 2 2 2 2 2 4 2 9" xfId="653"/>
    <cellStyle name="常规 3 2 2 2 2 2 4 3" xfId="654"/>
    <cellStyle name="常规 3 2 2 2 2 2 4 3 2" xfId="655"/>
    <cellStyle name="常规 3 2 2 2 2 2 4 3 2 2" xfId="656"/>
    <cellStyle name="常规 3 2 2 2 2 2 4 3 2 2 2" xfId="657"/>
    <cellStyle name="常规 3 2 2 2 2 2 4 3 2 3" xfId="658"/>
    <cellStyle name="常规 3 2 2 2 2 2 4 3 3" xfId="659"/>
    <cellStyle name="常规 3 2 2 2 2 2 4 3 3 2" xfId="660"/>
    <cellStyle name="常规 3 2 2 2 2 2 4 3 4" xfId="661"/>
    <cellStyle name="常规 3 2 2 2 2 2 4 3 5" xfId="662"/>
    <cellStyle name="常规 3 2 2 2 2 2 4 4" xfId="663"/>
    <cellStyle name="常规 3 2 2 2 2 2 4 4 2" xfId="664"/>
    <cellStyle name="常规 3 2 2 2 2 2 4 4 2 2" xfId="665"/>
    <cellStyle name="常规 3 2 2 2 2 2 4 4 3" xfId="666"/>
    <cellStyle name="常规 3 2 2 2 2 2 4 5" xfId="667"/>
    <cellStyle name="常规 3 2 2 2 2 2 4 5 2" xfId="668"/>
    <cellStyle name="常规 3 2 2 2 2 2 4 6" xfId="669"/>
    <cellStyle name="常规 3 2 2 2 2 2 4 7" xfId="670"/>
    <cellStyle name="常规 3 2 2 2 2 2 5" xfId="671"/>
    <cellStyle name="常规 3 2 2 2 2 2 5 2" xfId="672"/>
    <cellStyle name="常规 3 2 2 2 2 2 5 2 2" xfId="673"/>
    <cellStyle name="常规 3 2 2 2 2 2 5 2 2 2" xfId="674"/>
    <cellStyle name="常规 3 2 2 2 2 2 5 2 3" xfId="675"/>
    <cellStyle name="常规 3 2 2 2 2 2 5 3" xfId="676"/>
    <cellStyle name="常规 3 2 2 2 2 2 5 3 2" xfId="677"/>
    <cellStyle name="常规 3 2 2 2 2 2 5 4" xfId="678"/>
    <cellStyle name="常规 3 2 2 2 2 2 6" xfId="679"/>
    <cellStyle name="常规 3 2 2 2 2 2 6 2" xfId="680"/>
    <cellStyle name="常规 3 2 2 2 2 2 6 2 2" xfId="681"/>
    <cellStyle name="常规 3 2 2 2 2 2 6 3" xfId="682"/>
    <cellStyle name="常规 3 2 2 2 2 2 7" xfId="683"/>
    <cellStyle name="常规 3 2 2 2 2 2 7 2" xfId="684"/>
    <cellStyle name="常规 3 2 2 2 2 2 8" xfId="685"/>
    <cellStyle name="常规 3 2 2 2 2 2 9" xfId="686"/>
    <cellStyle name="常规 3 2 2 2 2 3" xfId="687"/>
    <cellStyle name="常规 3 2 2 2 2 3 2" xfId="688"/>
    <cellStyle name="常规 3 2 2 2 2 3 2 2" xfId="689"/>
    <cellStyle name="常规 3 2 2 2 2 3 2 2 2" xfId="690"/>
    <cellStyle name="常规 3 2 2 2 2 3 2 2 2 2" xfId="691"/>
    <cellStyle name="常规 3 2 2 2 2 3 2 2 3" xfId="692"/>
    <cellStyle name="常规 3 2 2 2 2 3 2 3" xfId="693"/>
    <cellStyle name="常规 3 2 2 2 2 3 2 3 2" xfId="694"/>
    <cellStyle name="常规 3 2 2 2 2 3 2 4" xfId="695"/>
    <cellStyle name="常规 3 2 2 2 2 3 3" xfId="696"/>
    <cellStyle name="常规 3 2 2 2 2 3 3 2" xfId="697"/>
    <cellStyle name="常规 3 2 2 2 2 3 3 2 2" xfId="698"/>
    <cellStyle name="常规 3 2 2 2 2 3 3 3" xfId="699"/>
    <cellStyle name="常规 3 2 2 2 2 3 4" xfId="700"/>
    <cellStyle name="常规 3 2 2 2 2 3 4 2" xfId="701"/>
    <cellStyle name="常规 3 2 2 2 2 3 5" xfId="702"/>
    <cellStyle name="常规 3 2 2 2 2 3 6" xfId="703"/>
    <cellStyle name="常规 3 2 2 2 2 4" xfId="704"/>
    <cellStyle name="常规 3 2 2 2 2 4 2" xfId="705"/>
    <cellStyle name="常规 3 2 2 2 2 4 2 2" xfId="706"/>
    <cellStyle name="常规 3 2 2 2 2 4 2 2 2" xfId="707"/>
    <cellStyle name="常规 3 2 2 2 2 4 2 2 2 2" xfId="708"/>
    <cellStyle name="常规 3 2 2 2 2 4 2 2 3" xfId="709"/>
    <cellStyle name="常规 3 2 2 2 2 4 2 3" xfId="710"/>
    <cellStyle name="常规 3 2 2 2 2 4 2 3 2" xfId="711"/>
    <cellStyle name="常规 3 2 2 2 2 4 2 4" xfId="712"/>
    <cellStyle name="常规 3 2 2 2 2 4 3" xfId="713"/>
    <cellStyle name="常规 3 2 2 2 2 4 3 2" xfId="714"/>
    <cellStyle name="常规 3 2 2 2 2 4 3 2 2" xfId="715"/>
    <cellStyle name="常规 3 2 2 2 2 4 3 3" xfId="716"/>
    <cellStyle name="常规 3 2 2 2 2 4 4" xfId="717"/>
    <cellStyle name="常规 3 2 2 2 2 4 4 2" xfId="718"/>
    <cellStyle name="常规 3 2 2 2 2 4 5" xfId="719"/>
    <cellStyle name="常规 3 2 2 2 2 5" xfId="720"/>
    <cellStyle name="常规 3 2 2 2 2 5 2" xfId="721"/>
    <cellStyle name="常规 3 2 2 2 2 5 2 2" xfId="722"/>
    <cellStyle name="常规 3 2 2 2 2 5 2 2 2" xfId="723"/>
    <cellStyle name="常规 3 2 2 2 2 5 2 3" xfId="724"/>
    <cellStyle name="常规 3 2 2 2 2 5 3" xfId="725"/>
    <cellStyle name="常规 3 2 2 2 2 5 3 2" xfId="726"/>
    <cellStyle name="常规 3 2 2 2 2 5 4" xfId="727"/>
    <cellStyle name="常规 3 2 2 2 2 6" xfId="728"/>
    <cellStyle name="常规 3 2 2 2 2 6 2" xfId="729"/>
    <cellStyle name="常规 3 2 2 2 2 6 2 2" xfId="730"/>
    <cellStyle name="常规 3 2 2 2 2 6 3" xfId="731"/>
    <cellStyle name="常规 3 2 2 2 2 7" xfId="732"/>
    <cellStyle name="常规 3 2 2 2 2 7 2" xfId="733"/>
    <cellStyle name="常规 3 2 2 2 2 8" xfId="734"/>
    <cellStyle name="常规 3 2 2 2 2 9" xfId="735"/>
    <cellStyle name="常规 3 2 2 2 3" xfId="736"/>
    <cellStyle name="常规 3 2 2 2 3 2" xfId="737"/>
    <cellStyle name="常规 3 2 2 2 3 2 2" xfId="738"/>
    <cellStyle name="常规 3 2 2 2 3 2 2 2" xfId="739"/>
    <cellStyle name="常规 3 2 2 2 3 2 2 2 2" xfId="740"/>
    <cellStyle name="常规 3 2 2 2 3 2 2 3" xfId="741"/>
    <cellStyle name="常规 3 2 2 2 3 2 3" xfId="742"/>
    <cellStyle name="常规 3 2 2 2 3 2 3 2" xfId="743"/>
    <cellStyle name="常规 3 2 2 2 3 2 4" xfId="744"/>
    <cellStyle name="常规 3 2 2 2 3 2 5" xfId="745"/>
    <cellStyle name="常规 3 2 2 2 3 3" xfId="746"/>
    <cellStyle name="常规 3 2 2 2 3 3 2" xfId="747"/>
    <cellStyle name="常规 3 2 2 2 3 3 2 2" xfId="748"/>
    <cellStyle name="常规 3 2 2 2 3 3 3" xfId="749"/>
    <cellStyle name="常规 3 2 2 2 3 4" xfId="750"/>
    <cellStyle name="常规 3 2 2 2 3 4 2" xfId="751"/>
    <cellStyle name="常规 3 2 2 2 3 5" xfId="752"/>
    <cellStyle name="常规 3 2 2 2 3 6" xfId="753"/>
    <cellStyle name="常规 3 2 2 2 4" xfId="754"/>
    <cellStyle name="常规 3 2 2 2 4 2" xfId="755"/>
    <cellStyle name="常规 3 2 2 2 4 2 2" xfId="756"/>
    <cellStyle name="常规 3 2 2 2 4 2 2 2" xfId="757"/>
    <cellStyle name="常规 3 2 2 2 4 2 2 2 2" xfId="758"/>
    <cellStyle name="常规 3 2 2 2 4 2 2 3" xfId="759"/>
    <cellStyle name="常规 3 2 2 2 4 2 3" xfId="760"/>
    <cellStyle name="常规 3 2 2 2 4 2 3 2" xfId="761"/>
    <cellStyle name="常规 3 2 2 2 4 2 4" xfId="762"/>
    <cellStyle name="常规 3 2 2 2 4 3" xfId="763"/>
    <cellStyle name="常规 3 2 2 2 4 3 2" xfId="764"/>
    <cellStyle name="常规 3 2 2 2 4 3 2 2" xfId="765"/>
    <cellStyle name="常规 3 2 2 2 4 3 3" xfId="766"/>
    <cellStyle name="常规 3 2 2 2 4 4" xfId="767"/>
    <cellStyle name="常规 3 2 2 2 4 4 2" xfId="768"/>
    <cellStyle name="常规 3 2 2 2 4 5" xfId="769"/>
    <cellStyle name="常规 3 2 2 2 5" xfId="770"/>
    <cellStyle name="常规 3 2 2 2 5 2" xfId="771"/>
    <cellStyle name="常规 3 2 2 2 5 2 2" xfId="772"/>
    <cellStyle name="常规 3 2 2 2 5 2 2 2" xfId="773"/>
    <cellStyle name="常规 3 2 2 2 5 2 3" xfId="774"/>
    <cellStyle name="常规 3 2 2 2 5 3" xfId="775"/>
    <cellStyle name="常规 3 2 2 2 5 3 2" xfId="776"/>
    <cellStyle name="常规 3 2 2 2 5 4" xfId="777"/>
    <cellStyle name="常规 3 2 2 2 6" xfId="778"/>
    <cellStyle name="常规 3 2 2 2 6 2" xfId="779"/>
    <cellStyle name="常规 3 2 2 2 6 2 2" xfId="780"/>
    <cellStyle name="常规 3 2 2 2 6 3" xfId="781"/>
    <cellStyle name="常规 3 2 2 2 7" xfId="782"/>
    <cellStyle name="常规 3 2 2 2 7 2" xfId="783"/>
    <cellStyle name="常规 3 2 2 2 8" xfId="784"/>
    <cellStyle name="常规 3 2 2 2 9" xfId="785"/>
    <cellStyle name="常规 3 2 2 3" xfId="786"/>
    <cellStyle name="常规 3 2 2 3 2" xfId="787"/>
    <cellStyle name="常规 3 2 2 3 2 2" xfId="788"/>
    <cellStyle name="常规 3 2 2 3 2 2 2" xfId="789"/>
    <cellStyle name="常规 3 2 2 3 2 2 2 2" xfId="790"/>
    <cellStyle name="常规 3 2 2 3 2 2 3" xfId="791"/>
    <cellStyle name="常规 3 2 2 3 2 3" xfId="792"/>
    <cellStyle name="常规 3 2 2 3 2 3 2" xfId="793"/>
    <cellStyle name="常规 3 2 2 3 2 4" xfId="794"/>
    <cellStyle name="常规 3 2 2 3 3" xfId="795"/>
    <cellStyle name="常规 3 2 2 3 3 2" xfId="796"/>
    <cellStyle name="常规 3 2 2 3 3 2 2" xfId="797"/>
    <cellStyle name="常规 3 2 2 3 3 3" xfId="798"/>
    <cellStyle name="常规 3 2 2 3 4" xfId="799"/>
    <cellStyle name="常规 3 2 2 3 4 2" xfId="800"/>
    <cellStyle name="常规 3 2 2 3 5" xfId="801"/>
    <cellStyle name="常规 3 2 2 4" xfId="802"/>
    <cellStyle name="常规 3 2 2 4 2" xfId="803"/>
    <cellStyle name="常规 3 2 2 4 2 2" xfId="804"/>
    <cellStyle name="常规 3 2 2 4 2 2 2" xfId="805"/>
    <cellStyle name="常规 3 2 2 4 2 2 2 2" xfId="806"/>
    <cellStyle name="常规 3 2 2 4 2 2 3" xfId="807"/>
    <cellStyle name="常规 3 2 2 4 2 3" xfId="808"/>
    <cellStyle name="常规 3 2 2 4 2 3 2" xfId="809"/>
    <cellStyle name="常规 3 2 2 4 2 4" xfId="810"/>
    <cellStyle name="常规 3 2 2 4 3" xfId="811"/>
    <cellStyle name="常规 3 2 2 4 3 2" xfId="812"/>
    <cellStyle name="常规 3 2 2 4 3 2 2" xfId="813"/>
    <cellStyle name="常规 3 2 2 4 3 3" xfId="814"/>
    <cellStyle name="常规 3 2 2 4 4" xfId="815"/>
    <cellStyle name="常规 3 2 2 4 4 2" xfId="816"/>
    <cellStyle name="常规 3 2 2 4 5" xfId="817"/>
    <cellStyle name="常规 3 2 2 5" xfId="818"/>
    <cellStyle name="常规 3 2 2 5 2" xfId="819"/>
    <cellStyle name="常规 3 2 2 5 2 2" xfId="820"/>
    <cellStyle name="常规 3 2 2 5 2 2 2" xfId="821"/>
    <cellStyle name="常规 3 2 2 5 2 3" xfId="822"/>
    <cellStyle name="常规 3 2 2 5 3" xfId="823"/>
    <cellStyle name="常规 3 2 2 5 3 2" xfId="824"/>
    <cellStyle name="常规 3 2 2 5 4" xfId="825"/>
    <cellStyle name="常规 3 2 2 6" xfId="826"/>
    <cellStyle name="常规 3 2 2 6 2" xfId="827"/>
    <cellStyle name="常规 3 2 2 6 2 2" xfId="828"/>
    <cellStyle name="常规 3 2 2 6 3" xfId="829"/>
    <cellStyle name="常规 3 2 2 7" xfId="830"/>
    <cellStyle name="常规 3 2 2 7 2" xfId="831"/>
    <cellStyle name="常规 3 2 2 8" xfId="832"/>
    <cellStyle name="常规 3 2 3" xfId="833"/>
    <cellStyle name="常规 3 2 3 2" xfId="834"/>
    <cellStyle name="常规 3 2 3 2 2" xfId="835"/>
    <cellStyle name="常规 3 2 3 2 2 2" xfId="836"/>
    <cellStyle name="常规 3 2 3 2 2 2 2" xfId="837"/>
    <cellStyle name="常规 3 2 3 2 2 3" xfId="838"/>
    <cellStyle name="常规 3 2 3 2 3" xfId="839"/>
    <cellStyle name="常规 3 2 3 2 3 2" xfId="840"/>
    <cellStyle name="常规 3 2 3 2 4" xfId="841"/>
    <cellStyle name="常规 3 2 3 3" xfId="842"/>
    <cellStyle name="常规 3 2 3 3 2" xfId="843"/>
    <cellStyle name="常规 3 2 3 3 2 2" xfId="844"/>
    <cellStyle name="常规 3 2 3 3 3" xfId="845"/>
    <cellStyle name="常规 3 2 3 4" xfId="846"/>
    <cellStyle name="常规 3 2 3 4 2" xfId="847"/>
    <cellStyle name="常规 3 2 3 5" xfId="848"/>
    <cellStyle name="常规 3 2 4" xfId="849"/>
    <cellStyle name="常规 3 2 4 2" xfId="850"/>
    <cellStyle name="常规 3 2 4 2 2" xfId="851"/>
    <cellStyle name="常规 3 2 4 2 2 2" xfId="852"/>
    <cellStyle name="常规 3 2 4 2 2 2 2" xfId="853"/>
    <cellStyle name="常规 3 2 4 2 2 3" xfId="854"/>
    <cellStyle name="常规 3 2 4 2 3" xfId="855"/>
    <cellStyle name="常规 3 2 4 2 3 2" xfId="856"/>
    <cellStyle name="常规 3 2 4 2 4" xfId="857"/>
    <cellStyle name="常规 3 2 4 3" xfId="858"/>
    <cellStyle name="常规 3 2 4 3 2" xfId="859"/>
    <cellStyle name="常规 3 2 4 3 2 2" xfId="860"/>
    <cellStyle name="常规 3 2 4 3 3" xfId="861"/>
    <cellStyle name="常规 3 2 4 4" xfId="862"/>
    <cellStyle name="常规 3 2 4 4 2" xfId="863"/>
    <cellStyle name="常规 3 2 4 5" xfId="864"/>
    <cellStyle name="常规 3 2 5" xfId="865"/>
    <cellStyle name="常规 3 2 5 2" xfId="866"/>
    <cellStyle name="常规 3 2 5 2 2" xfId="867"/>
    <cellStyle name="常规 3 2 5 2 2 2" xfId="868"/>
    <cellStyle name="常规 3 2 5 2 3" xfId="869"/>
    <cellStyle name="常规 3 2 5 3" xfId="870"/>
    <cellStyle name="常规 3 2 5 3 2" xfId="871"/>
    <cellStyle name="常规 3 2 5 4" xfId="872"/>
    <cellStyle name="常规 3 2 6" xfId="873"/>
    <cellStyle name="常规 3 2 6 2" xfId="874"/>
    <cellStyle name="常规 3 2 6 2 2" xfId="875"/>
    <cellStyle name="常规 3 2 6 3" xfId="876"/>
    <cellStyle name="常规 3 2 7" xfId="877"/>
    <cellStyle name="常规 3 2 7 2" xfId="878"/>
    <cellStyle name="常规 3 2 8" xfId="879"/>
    <cellStyle name="常规 3 3" xfId="880"/>
    <cellStyle name="常规 3 3 2" xfId="881"/>
    <cellStyle name="常规 3 3 2 2" xfId="882"/>
    <cellStyle name="常规 3 3 2 2 2" xfId="883"/>
    <cellStyle name="常规 3 3 2 2 2 2" xfId="884"/>
    <cellStyle name="常规 3 3 2 2 2 2 2" xfId="885"/>
    <cellStyle name="常规 3 3 2 2 2 2 2 2" xfId="886"/>
    <cellStyle name="常规 3 3 2 2 2 2 2 2 2" xfId="887"/>
    <cellStyle name="常规 3 3 2 2 2 2 2 3" xfId="888"/>
    <cellStyle name="常规 3 3 2 2 2 2 3" xfId="889"/>
    <cellStyle name="常规 3 3 2 2 2 2 3 2" xfId="890"/>
    <cellStyle name="常规 3 3 2 2 2 2 4" xfId="891"/>
    <cellStyle name="常规 3 3 2 2 2 3" xfId="892"/>
    <cellStyle name="常规 3 3 2 2 2 3 2" xfId="893"/>
    <cellStyle name="常规 3 3 2 2 2 3 2 2" xfId="894"/>
    <cellStyle name="常规 3 3 2 2 2 3 3" xfId="895"/>
    <cellStyle name="常规 3 3 2 2 2 4" xfId="896"/>
    <cellStyle name="常规 3 3 2 2 2 4 2" xfId="897"/>
    <cellStyle name="常规 3 3 2 2 2 5" xfId="898"/>
    <cellStyle name="常规 3 3 2 2 3" xfId="899"/>
    <cellStyle name="常规 3 3 2 2 3 2" xfId="900"/>
    <cellStyle name="常规 3 3 2 2 3 2 2" xfId="901"/>
    <cellStyle name="常规 3 3 2 2 3 2 2 2" xfId="902"/>
    <cellStyle name="常规 3 3 2 2 3 2 2 2 2" xfId="903"/>
    <cellStyle name="常规 3 3 2 2 3 2 2 3" xfId="904"/>
    <cellStyle name="常规 3 3 2 2 3 2 3" xfId="905"/>
    <cellStyle name="常规 3 3 2 2 3 2 3 2" xfId="906"/>
    <cellStyle name="常规 3 3 2 2 3 2 4" xfId="907"/>
    <cellStyle name="常规 3 3 2 2 3 3" xfId="908"/>
    <cellStyle name="常规 3 3 2 2 3 3 2" xfId="909"/>
    <cellStyle name="常规 3 3 2 2 3 3 2 2" xfId="910"/>
    <cellStyle name="常规 3 3 2 2 3 3 3" xfId="911"/>
    <cellStyle name="常规 3 3 2 2 3 4" xfId="912"/>
    <cellStyle name="常规 3 3 2 2 3 4 2" xfId="913"/>
    <cellStyle name="常规 3 3 2 2 3 5" xfId="914"/>
    <cellStyle name="常规 3 3 2 2 4" xfId="915"/>
    <cellStyle name="常规 3 3 2 2 4 2" xfId="916"/>
    <cellStyle name="常规 3 3 2 2 4 2 2" xfId="917"/>
    <cellStyle name="常规 3 3 2 2 4 2 2 2" xfId="918"/>
    <cellStyle name="常规 3 3 2 2 4 2 3" xfId="919"/>
    <cellStyle name="常规 3 3 2 2 4 3" xfId="920"/>
    <cellStyle name="常规 3 3 2 2 4 3 2" xfId="921"/>
    <cellStyle name="常规 3 3 2 2 4 4" xfId="922"/>
    <cellStyle name="常规 3 3 2 2 5" xfId="923"/>
    <cellStyle name="常规 3 3 2 2 5 2" xfId="924"/>
    <cellStyle name="常规 3 3 2 2 5 2 2" xfId="925"/>
    <cellStyle name="常规 3 3 2 2 5 3" xfId="926"/>
    <cellStyle name="常规 3 3 2 2 6" xfId="927"/>
    <cellStyle name="常规 3 3 2 2 6 2" xfId="928"/>
    <cellStyle name="常规 3 3 2 2 7" xfId="929"/>
    <cellStyle name="常规 3 3 2 3" xfId="930"/>
    <cellStyle name="常规 3 3 2 3 2" xfId="931"/>
    <cellStyle name="常规 3 3 2 3 2 2" xfId="932"/>
    <cellStyle name="常规 3 3 2 3 2 2 2" xfId="933"/>
    <cellStyle name="常规 3 3 2 3 2 2 2 2" xfId="934"/>
    <cellStyle name="常规 3 3 2 3 2 2 3" xfId="935"/>
    <cellStyle name="常规 3 3 2 3 2 3" xfId="936"/>
    <cellStyle name="常规 3 3 2 3 2 3 2" xfId="937"/>
    <cellStyle name="常规 3 3 2 3 2 4" xfId="938"/>
    <cellStyle name="常规 3 3 2 3 3" xfId="939"/>
    <cellStyle name="常规 3 3 2 3 3 2" xfId="940"/>
    <cellStyle name="常规 3 3 2 3 3 2 2" xfId="941"/>
    <cellStyle name="常规 3 3 2 3 3 3" xfId="942"/>
    <cellStyle name="常规 3 3 2 3 4" xfId="943"/>
    <cellStyle name="常规 3 3 2 3 4 2" xfId="944"/>
    <cellStyle name="常规 3 3 2 3 5" xfId="945"/>
    <cellStyle name="常规 3 3 2 4" xfId="946"/>
    <cellStyle name="常规 3 3 2 4 2" xfId="947"/>
    <cellStyle name="常规 3 3 2 4 2 2" xfId="948"/>
    <cellStyle name="常规 3 3 2 4 2 2 2" xfId="949"/>
    <cellStyle name="常规 3 3 2 4 2 2 2 2" xfId="950"/>
    <cellStyle name="常规 3 3 2 4 2 2 3" xfId="951"/>
    <cellStyle name="常规 3 3 2 4 2 3" xfId="952"/>
    <cellStyle name="常规 3 3 2 4 2 3 2" xfId="953"/>
    <cellStyle name="常规 3 3 2 4 2 4" xfId="954"/>
    <cellStyle name="常规 3 3 2 4 3" xfId="955"/>
    <cellStyle name="常规 3 3 2 4 3 2" xfId="956"/>
    <cellStyle name="常规 3 3 2 4 3 2 2" xfId="957"/>
    <cellStyle name="常规 3 3 2 4 3 3" xfId="958"/>
    <cellStyle name="常规 3 3 2 4 4" xfId="959"/>
    <cellStyle name="常规 3 3 2 4 4 2" xfId="960"/>
    <cellStyle name="常规 3 3 2 4 5" xfId="961"/>
    <cellStyle name="常规 3 3 2 5" xfId="962"/>
    <cellStyle name="常规 3 3 2 5 2" xfId="963"/>
    <cellStyle name="常规 3 3 2 5 2 2" xfId="964"/>
    <cellStyle name="常规 3 3 2 5 2 2 2" xfId="965"/>
    <cellStyle name="常规 3 3 2 5 2 3" xfId="966"/>
    <cellStyle name="常规 3 3 2 5 3" xfId="967"/>
    <cellStyle name="常规 3 3 2 5 3 2" xfId="968"/>
    <cellStyle name="常规 3 3 2 5 4" xfId="969"/>
    <cellStyle name="常规 3 3 2 6" xfId="970"/>
    <cellStyle name="常规 3 3 2 6 2" xfId="971"/>
    <cellStyle name="常规 3 3 2 6 2 2" xfId="972"/>
    <cellStyle name="常规 3 3 2 6 3" xfId="973"/>
    <cellStyle name="常规 3 3 2 7" xfId="974"/>
    <cellStyle name="常规 3 3 2 7 2" xfId="975"/>
    <cellStyle name="常规 3 3 2 8" xfId="976"/>
    <cellStyle name="常规 3 3 3" xfId="977"/>
    <cellStyle name="常规 3 3 3 2" xfId="978"/>
    <cellStyle name="常规 3 3 3 2 2" xfId="979"/>
    <cellStyle name="常规 3 3 3 2 2 2" xfId="980"/>
    <cellStyle name="常规 3 3 3 2 2 2 2" xfId="981"/>
    <cellStyle name="常规 3 3 3 2 2 3" xfId="982"/>
    <cellStyle name="常规 3 3 3 2 3" xfId="983"/>
    <cellStyle name="常规 3 3 3 2 3 2" xfId="984"/>
    <cellStyle name="常规 3 3 3 2 4" xfId="985"/>
    <cellStyle name="常规 3 3 3 3" xfId="986"/>
    <cellStyle name="常规 3 3 3 3 2" xfId="987"/>
    <cellStyle name="常规 3 3 3 3 2 2" xfId="988"/>
    <cellStyle name="常规 3 3 3 3 3" xfId="989"/>
    <cellStyle name="常规 3 3 3 4" xfId="990"/>
    <cellStyle name="常规 3 3 3 4 2" xfId="991"/>
    <cellStyle name="常规 3 3 3 5" xfId="992"/>
    <cellStyle name="常规 3 3 4" xfId="993"/>
    <cellStyle name="常规 3 3 4 2" xfId="994"/>
    <cellStyle name="常规 3 3 4 2 2" xfId="995"/>
    <cellStyle name="常规 3 3 4 2 2 2" xfId="996"/>
    <cellStyle name="常规 3 3 4 2 2 2 2" xfId="997"/>
    <cellStyle name="常规 3 3 4 2 2 3" xfId="998"/>
    <cellStyle name="常规 3 3 4 2 3" xfId="999"/>
    <cellStyle name="常规 3 3 4 2 3 2" xfId="1000"/>
    <cellStyle name="常规 3 3 4 2 4" xfId="1001"/>
    <cellStyle name="常规 3 3 4 3" xfId="1002"/>
    <cellStyle name="常规 3 3 4 3 2" xfId="1003"/>
    <cellStyle name="常规 3 3 4 3 2 2" xfId="1004"/>
    <cellStyle name="常规 3 3 4 3 3" xfId="1005"/>
    <cellStyle name="常规 3 3 4 4" xfId="1006"/>
    <cellStyle name="常规 3 3 4 4 2" xfId="1007"/>
    <cellStyle name="常规 3 3 4 5" xfId="1008"/>
    <cellStyle name="常规 3 3 5" xfId="1009"/>
    <cellStyle name="常规 3 3 5 2" xfId="1010"/>
    <cellStyle name="常规 3 3 5 2 2" xfId="1011"/>
    <cellStyle name="常规 3 3 5 2 2 2" xfId="1012"/>
    <cellStyle name="常规 3 3 5 2 3" xfId="1013"/>
    <cellStyle name="常规 3 3 5 3" xfId="1014"/>
    <cellStyle name="常规 3 3 5 3 2" xfId="1015"/>
    <cellStyle name="常规 3 3 5 4" xfId="1016"/>
    <cellStyle name="常规 3 3 6" xfId="1017"/>
    <cellStyle name="常规 3 3 6 2" xfId="1018"/>
    <cellStyle name="常规 3 3 6 2 2" xfId="1019"/>
    <cellStyle name="常规 3 3 6 3" xfId="1020"/>
    <cellStyle name="常规 3 3 7" xfId="1021"/>
    <cellStyle name="常规 3 3 7 2" xfId="1022"/>
    <cellStyle name="常规 3 3 8" xfId="1023"/>
    <cellStyle name="常规 3 4" xfId="1024"/>
    <cellStyle name="常规 3 4 2" xfId="1025"/>
    <cellStyle name="常规 3 4 2 2" xfId="1026"/>
    <cellStyle name="常规 3 4 2 2 2" xfId="1027"/>
    <cellStyle name="常规 3 4 2 2 2 2" xfId="1028"/>
    <cellStyle name="常规 3 4 2 2 3" xfId="1029"/>
    <cellStyle name="常规 3 4 2 3" xfId="1030"/>
    <cellStyle name="常规 3 4 2 3 2" xfId="1031"/>
    <cellStyle name="常规 3 4 2 4" xfId="1032"/>
    <cellStyle name="常规 3 4 3" xfId="1033"/>
    <cellStyle name="常规 3 4 3 2" xfId="1034"/>
    <cellStyle name="常规 3 4 3 2 2" xfId="1035"/>
    <cellStyle name="常规 3 4 3 3" xfId="1036"/>
    <cellStyle name="常规 3 4 4" xfId="1037"/>
    <cellStyle name="常规 3 4 4 2" xfId="1038"/>
    <cellStyle name="常规 3 4 5" xfId="1039"/>
    <cellStyle name="常规 3 5" xfId="1040"/>
    <cellStyle name="常规 3 5 2" xfId="1041"/>
    <cellStyle name="常规 3 5 2 2" xfId="1042"/>
    <cellStyle name="常规 3 5 2 2 2" xfId="1043"/>
    <cellStyle name="常规 3 5 2 2 2 2" xfId="1044"/>
    <cellStyle name="常规 3 5 2 2 3" xfId="1045"/>
    <cellStyle name="常规 3 5 2 3" xfId="1046"/>
    <cellStyle name="常规 3 5 2 3 2" xfId="1047"/>
    <cellStyle name="常规 3 5 2 4" xfId="1048"/>
    <cellStyle name="常规 3 5 3" xfId="1049"/>
    <cellStyle name="常规 3 5 3 2" xfId="1050"/>
    <cellStyle name="常规 3 5 3 2 2" xfId="1051"/>
    <cellStyle name="常规 3 5 3 3" xfId="1052"/>
    <cellStyle name="常规 3 5 4" xfId="1053"/>
    <cellStyle name="常规 3 5 4 2" xfId="1054"/>
    <cellStyle name="常规 3 5 5" xfId="1055"/>
    <cellStyle name="常规 3 6" xfId="1056"/>
    <cellStyle name="常规 3 6 2" xfId="1057"/>
    <cellStyle name="常规 3 6 2 2" xfId="1058"/>
    <cellStyle name="常规 3 6 2 2 2" xfId="1059"/>
    <cellStyle name="常规 3 6 2 3" xfId="1060"/>
    <cellStyle name="常规 3 6 3" xfId="1061"/>
    <cellStyle name="常规 3 6 3 2" xfId="1062"/>
    <cellStyle name="常规 3 6 4" xfId="1063"/>
    <cellStyle name="常规 3 7" xfId="1064"/>
    <cellStyle name="常规 3 7 2" xfId="1065"/>
    <cellStyle name="常规 3 7 2 2" xfId="1066"/>
    <cellStyle name="常规 3 7 3" xfId="1067"/>
    <cellStyle name="常规 3 8" xfId="1068"/>
    <cellStyle name="常规 3 8 2" xfId="1069"/>
    <cellStyle name="常规 3 9" xfId="1070"/>
    <cellStyle name="常规 4" xfId="1071"/>
    <cellStyle name="常规 4 2" xfId="1072"/>
    <cellStyle name="常规 4 2 2" xfId="1073"/>
    <cellStyle name="常规 4 2 2 2" xfId="1074"/>
    <cellStyle name="常规 4 2 2 2 10" xfId="1075"/>
    <cellStyle name="常规 4 2 2 2 2" xfId="1076"/>
    <cellStyle name="常规 4 2 2 2 2 2" xfId="1077"/>
    <cellStyle name="常规 4 2 2 2 2 2 2" xfId="1078"/>
    <cellStyle name="常规 4 2 2 2 2 2 2 2" xfId="1079"/>
    <cellStyle name="常规 4 2 2 2 2 2 2 2 2" xfId="1080"/>
    <cellStyle name="常规 4 2 2 2 2 2 2 3" xfId="1081"/>
    <cellStyle name="常规 4 2 2 2 2 2 3" xfId="1082"/>
    <cellStyle name="常规 4 2 2 2 2 2 3 2" xfId="1083"/>
    <cellStyle name="常规 4 2 2 2 2 2 4" xfId="1084"/>
    <cellStyle name="常规 4 2 2 2 2 2 5" xfId="1085"/>
    <cellStyle name="常规 4 2 2 2 2 3" xfId="1086"/>
    <cellStyle name="常规 4 2 2 2 2 3 2" xfId="1087"/>
    <cellStyle name="常规 4 2 2 2 2 3 2 2" xfId="1088"/>
    <cellStyle name="常规 4 2 2 2 2 3 3" xfId="1089"/>
    <cellStyle name="常规 4 2 2 2 2 4" xfId="1090"/>
    <cellStyle name="常规 4 2 2 2 2 4 2" xfId="1091"/>
    <cellStyle name="常规 4 2 2 2 2 5" xfId="1092"/>
    <cellStyle name="常规 4 2 2 2 2 6" xfId="1093"/>
    <cellStyle name="常规 4 2 2 2 3" xfId="1094"/>
    <cellStyle name="常规 4 2 2 2 3 2" xfId="1095"/>
    <cellStyle name="常规 4 2 2 2 3 2 2" xfId="1096"/>
    <cellStyle name="常规 4 2 2 2 3 2 2 2" xfId="1097"/>
    <cellStyle name="常规 4 2 2 2 3 2 2 2 2" xfId="1098"/>
    <cellStyle name="常规 4 2 2 2 3 2 2 3" xfId="1099"/>
    <cellStyle name="常规 4 2 2 2 3 2 3" xfId="1100"/>
    <cellStyle name="常规 4 2 2 2 3 2 3 2" xfId="1101"/>
    <cellStyle name="常规 4 2 2 2 3 2 4" xfId="1102"/>
    <cellStyle name="常规 4 2 2 2 3 3" xfId="1103"/>
    <cellStyle name="常规 4 2 2 2 3 3 2" xfId="1104"/>
    <cellStyle name="常规 4 2 2 2 3 3 2 2" xfId="1105"/>
    <cellStyle name="常规 4 2 2 2 3 3 3" xfId="1106"/>
    <cellStyle name="常规 4 2 2 2 3 4" xfId="1107"/>
    <cellStyle name="常规 4 2 2 2 3 4 2" xfId="1108"/>
    <cellStyle name="常规 4 2 2 2 3 5" xfId="1109"/>
    <cellStyle name="常规 4 2 2 2 4" xfId="1110"/>
    <cellStyle name="常规 4 2 2 2 4 2" xfId="1111"/>
    <cellStyle name="常规 4 2 2 2 4 2 2" xfId="1112"/>
    <cellStyle name="常规 4 2 2 2 4 2 2 2" xfId="1113"/>
    <cellStyle name="常规 4 2 2 2 4 2 2 2 2" xfId="1114"/>
    <cellStyle name="常规 4 2 2 2 4 2 2 3" xfId="1115"/>
    <cellStyle name="常规 4 2 2 2 4 2 2 4" xfId="1116"/>
    <cellStyle name="常规 4 2 2 2 4 2 3" xfId="1117"/>
    <cellStyle name="常规 4 2 2 2 4 2 3 2" xfId="1118"/>
    <cellStyle name="常规 4 2 2 2 4 2 4" xfId="1119"/>
    <cellStyle name="常规 4 2 2 2 4 2 5" xfId="1120"/>
    <cellStyle name="常规 4 2 2 2 4 3" xfId="1121"/>
    <cellStyle name="常规 4 2 2 2 4 3 2" xfId="1122"/>
    <cellStyle name="常规 4 2 2 2 4 3 2 2" xfId="1123"/>
    <cellStyle name="常规 4 2 2 2 4 3 3" xfId="1124"/>
    <cellStyle name="常规 4 2 2 2 4 3 4" xfId="1125"/>
    <cellStyle name="常规 4 2 2 2 4 4" xfId="1126"/>
    <cellStyle name="常规 4 2 2 2 4 4 2" xfId="1127"/>
    <cellStyle name="常规 4 2 2 2 4 5" xfId="1128"/>
    <cellStyle name="常规 4 2 2 2 4 5 2" xfId="1129"/>
    <cellStyle name="常规 4 2 2 2 4 6" xfId="1130"/>
    <cellStyle name="常规 4 2 2 2 4 7" xfId="1131"/>
    <cellStyle name="常规 4 2 2 2 5" xfId="1132"/>
    <cellStyle name="常规 4 2 2 2 5 2" xfId="1133"/>
    <cellStyle name="常规 4 2 2 2 5 2 2" xfId="1134"/>
    <cellStyle name="常规 4 2 2 2 5 2 2 2" xfId="1135"/>
    <cellStyle name="常规 4 2 2 2 5 2 3" xfId="1136"/>
    <cellStyle name="常规 4 2 2 2 5 3" xfId="1137"/>
    <cellStyle name="常规 4 2 2 2 5 3 2" xfId="1138"/>
    <cellStyle name="常规 4 2 2 2 5 4" xfId="1139"/>
    <cellStyle name="常规 4 2 2 2 6" xfId="1140"/>
    <cellStyle name="常规 4 2 2 2 6 2" xfId="1141"/>
    <cellStyle name="常规 4 2 2 2 6 2 2" xfId="1142"/>
    <cellStyle name="常规 4 2 2 2 6 3" xfId="1143"/>
    <cellStyle name="常规 4 2 2 2 7" xfId="1144"/>
    <cellStyle name="常规 4 2 2 2 7 2" xfId="1145"/>
    <cellStyle name="常规 4 2 2 2 7 2 2" xfId="1146"/>
    <cellStyle name="常规 4 2 2 2 7 2 2 2" xfId="1147"/>
    <cellStyle name="常规 4 2 2 2 7 2 2 2 2" xfId="1148"/>
    <cellStyle name="常规 4 2 2 2 7 2 2 2 3" xfId="1149"/>
    <cellStyle name="常规 4 2 2 2 7 2 2 3" xfId="1150"/>
    <cellStyle name="常规 4 2 2 2 7 2 2 3 2" xfId="1151"/>
    <cellStyle name="常规 4 2 2 2 7 2 2 3 2 2" xfId="1152"/>
    <cellStyle name="常规 4 2 2 2 7 2 2 3 2 3" xfId="1153"/>
    <cellStyle name="常规 4 2 2 2 7 2 2 3 2 3 2" xfId="1154"/>
    <cellStyle name="常规 4 2 2 2 7 2 2 3 2 3 2 2" xfId="1155"/>
    <cellStyle name="常规 4 2 2 2 7 2 2 3 3" xfId="1156"/>
    <cellStyle name="常规 4 2 2 2 7 2 2 3 4" xfId="1157"/>
    <cellStyle name="常规 4 2 2 2 7 2 2 4" xfId="1158"/>
    <cellStyle name="常规 4 2 2 2 7 2 2 5" xfId="1159"/>
    <cellStyle name="常规 4 2 2 2 7 2 3" xfId="1160"/>
    <cellStyle name="常规 4 2 2 2 7 2 3 2" xfId="1161"/>
    <cellStyle name="常规 4 2 2 2 7 2 3 3" xfId="1162"/>
    <cellStyle name="常规 4 2 2 2 7 2 4" xfId="1163"/>
    <cellStyle name="常规 4 2 2 2 7 2 5" xfId="1164"/>
    <cellStyle name="常规 4 2 2 2 7 3" xfId="1165"/>
    <cellStyle name="常规 4 2 2 2 7 3 2" xfId="1166"/>
    <cellStyle name="常规 4 2 2 2 7 4" xfId="1167"/>
    <cellStyle name="常规 4 2 2 2 8" xfId="1168"/>
    <cellStyle name="常规 4 2 2 2 8 2" xfId="1169"/>
    <cellStyle name="常规 4 2 2 2 9" xfId="1170"/>
    <cellStyle name="常规 4 2 2 3" xfId="1171"/>
    <cellStyle name="常规 4 2 2 3 2" xfId="1172"/>
    <cellStyle name="常规 4 2 2 3 2 2" xfId="1173"/>
    <cellStyle name="常规 4 2 2 3 2 2 2" xfId="1174"/>
    <cellStyle name="常规 4 2 2 3 2 2 2 2" xfId="1175"/>
    <cellStyle name="常规 4 2 2 3 2 2 3" xfId="1176"/>
    <cellStyle name="常规 4 2 2 3 2 3" xfId="1177"/>
    <cellStyle name="常规 4 2 2 3 2 3 2" xfId="1178"/>
    <cellStyle name="常规 4 2 2 3 2 4" xfId="1179"/>
    <cellStyle name="常规 4 2 2 3 3" xfId="1180"/>
    <cellStyle name="常规 4 2 2 3 3 2" xfId="1181"/>
    <cellStyle name="常规 4 2 2 3 3 2 2" xfId="1182"/>
    <cellStyle name="常规 4 2 2 3 3 3" xfId="1183"/>
    <cellStyle name="常规 4 2 2 3 4" xfId="1184"/>
    <cellStyle name="常规 4 2 2 3 4 2" xfId="1185"/>
    <cellStyle name="常规 4 2 2 3 5" xfId="1186"/>
    <cellStyle name="常规 4 2 2 4" xfId="1187"/>
    <cellStyle name="常规 4 2 2 4 2" xfId="1188"/>
    <cellStyle name="常规 4 2 2 4 2 2" xfId="1189"/>
    <cellStyle name="常规 4 2 2 4 2 2 2" xfId="1190"/>
    <cellStyle name="常规 4 2 2 4 2 2 2 2" xfId="1191"/>
    <cellStyle name="常规 4 2 2 4 2 2 3" xfId="1192"/>
    <cellStyle name="常规 4 2 2 4 2 3" xfId="1193"/>
    <cellStyle name="常规 4 2 2 4 2 3 2" xfId="1194"/>
    <cellStyle name="常规 4 2 2 4 2 4" xfId="1195"/>
    <cellStyle name="常规 4 2 2 4 3" xfId="1196"/>
    <cellStyle name="常规 4 2 2 4 3 2" xfId="1197"/>
    <cellStyle name="常规 4 2 2 4 3 2 2" xfId="1198"/>
    <cellStyle name="常规 4 2 2 4 3 3" xfId="1199"/>
    <cellStyle name="常规 4 2 2 4 4" xfId="1200"/>
    <cellStyle name="常规 4 2 2 4 4 2" xfId="1201"/>
    <cellStyle name="常规 4 2 2 4 5" xfId="1202"/>
    <cellStyle name="常规 4 2 2 5" xfId="1203"/>
    <cellStyle name="常规 4 2 2 5 2" xfId="1204"/>
    <cellStyle name="常规 4 2 2 5 2 2" xfId="1205"/>
    <cellStyle name="常规 4 2 2 5 2 2 2" xfId="1206"/>
    <cellStyle name="常规 4 2 2 5 2 3" xfId="1207"/>
    <cellStyle name="常规 4 2 2 5 3" xfId="1208"/>
    <cellStyle name="常规 4 2 2 5 3 2" xfId="1209"/>
    <cellStyle name="常规 4 2 2 5 4" xfId="1210"/>
    <cellStyle name="常规 4 2 2 6" xfId="1211"/>
    <cellStyle name="常规 4 2 2 6 2" xfId="1212"/>
    <cellStyle name="常规 4 2 2 6 2 2" xfId="1213"/>
    <cellStyle name="常规 4 2 2 6 3" xfId="1214"/>
    <cellStyle name="常规 4 2 2 7" xfId="1215"/>
    <cellStyle name="常规 4 2 2 7 2" xfId="1216"/>
    <cellStyle name="常规 4 2 2 8" xfId="1217"/>
    <cellStyle name="常规 4 2 3" xfId="1218"/>
    <cellStyle name="常规 4 2 3 2" xfId="1219"/>
    <cellStyle name="常规 4 2 3 2 2" xfId="1220"/>
    <cellStyle name="常规 4 2 3 2 2 2" xfId="1221"/>
    <cellStyle name="常规 4 2 3 2 2 2 2" xfId="1222"/>
    <cellStyle name="常规 4 2 3 2 2 3" xfId="1223"/>
    <cellStyle name="常规 4 2 3 2 3" xfId="1224"/>
    <cellStyle name="常规 4 2 3 2 3 2" xfId="1225"/>
    <cellStyle name="常规 4 2 3 2 4" xfId="1226"/>
    <cellStyle name="常规 4 2 3 3" xfId="1227"/>
    <cellStyle name="常规 4 2 3 3 2" xfId="1228"/>
    <cellStyle name="常规 4 2 3 3 2 2" xfId="1229"/>
    <cellStyle name="常规 4 2 3 3 3" xfId="1230"/>
    <cellStyle name="常规 4 2 3 4" xfId="1231"/>
    <cellStyle name="常规 4 2 3 4 2" xfId="1232"/>
    <cellStyle name="常规 4 2 3 5" xfId="1233"/>
    <cellStyle name="常规 4 2 4" xfId="1234"/>
    <cellStyle name="常规 4 2 4 2" xfId="1235"/>
    <cellStyle name="常规 4 2 4 2 2" xfId="1236"/>
    <cellStyle name="常规 4 2 4 2 2 2" xfId="1237"/>
    <cellStyle name="常规 4 2 4 2 2 2 2" xfId="1238"/>
    <cellStyle name="常规 4 2 4 2 2 3" xfId="1239"/>
    <cellStyle name="常规 4 2 4 2 3" xfId="1240"/>
    <cellStyle name="常规 4 2 4 2 3 2" xfId="1241"/>
    <cellStyle name="常规 4 2 4 2 4" xfId="1242"/>
    <cellStyle name="常规 4 2 4 3" xfId="1243"/>
    <cellStyle name="常规 4 2 4 3 2" xfId="1244"/>
    <cellStyle name="常规 4 2 4 3 2 2" xfId="1245"/>
    <cellStyle name="常规 4 2 4 3 3" xfId="1246"/>
    <cellStyle name="常规 4 2 4 4" xfId="1247"/>
    <cellStyle name="常规 4 2 4 4 2" xfId="1248"/>
    <cellStyle name="常规 4 2 4 5" xfId="1249"/>
    <cellStyle name="常规 4 2 5" xfId="1250"/>
    <cellStyle name="常规 4 2 5 2" xfId="1251"/>
    <cellStyle name="常规 4 2 5 2 2" xfId="1252"/>
    <cellStyle name="常规 4 2 5 2 2 2" xfId="1253"/>
    <cellStyle name="常规 4 2 5 2 3" xfId="1254"/>
    <cellStyle name="常规 4 2 5 3" xfId="1255"/>
    <cellStyle name="常规 4 2 5 3 2" xfId="1256"/>
    <cellStyle name="常规 4 2 5 4" xfId="1257"/>
    <cellStyle name="常规 4 2 6" xfId="1258"/>
    <cellStyle name="常规 4 2 6 2" xfId="1259"/>
    <cellStyle name="常规 4 2 6 2 2" xfId="1260"/>
    <cellStyle name="常规 4 2 6 3" xfId="1261"/>
    <cellStyle name="常规 4 2 7" xfId="1262"/>
    <cellStyle name="常规 4 2 7 2" xfId="1263"/>
    <cellStyle name="常规 4 2 8" xfId="1264"/>
    <cellStyle name="常规 4 3" xfId="1265"/>
    <cellStyle name="常规 4 3 2" xfId="1266"/>
    <cellStyle name="常规 4 3 2 2" xfId="1267"/>
    <cellStyle name="常规 4 3 2 2 2" xfId="1268"/>
    <cellStyle name="常规 4 3 2 2 2 2" xfId="1269"/>
    <cellStyle name="常规 4 3 2 2 3" xfId="1270"/>
    <cellStyle name="常规 4 3 2 3" xfId="1271"/>
    <cellStyle name="常规 4 3 2 3 2" xfId="1272"/>
    <cellStyle name="常规 4 3 2 4" xfId="1273"/>
    <cellStyle name="常规 4 3 3" xfId="1274"/>
    <cellStyle name="常规 4 3 3 2" xfId="1275"/>
    <cellStyle name="常规 4 3 3 2 2" xfId="1276"/>
    <cellStyle name="常规 4 3 3 3" xfId="1277"/>
    <cellStyle name="常规 4 3 4" xfId="1278"/>
    <cellStyle name="常规 4 3 4 2" xfId="1279"/>
    <cellStyle name="常规 4 3 5" xfId="1280"/>
    <cellStyle name="常规 4 4" xfId="1281"/>
    <cellStyle name="常规 4 4 2" xfId="1282"/>
    <cellStyle name="常规 4 4 2 2" xfId="1283"/>
    <cellStyle name="常规 4 4 2 2 2" xfId="1284"/>
    <cellStyle name="常规 4 4 2 2 2 2" xfId="1285"/>
    <cellStyle name="常规 4 4 2 2 3" xfId="1286"/>
    <cellStyle name="常规 4 4 2 3" xfId="1287"/>
    <cellStyle name="常规 4 4 2 3 2" xfId="1288"/>
    <cellStyle name="常规 4 4 2 4" xfId="1289"/>
    <cellStyle name="常规 4 4 3" xfId="1290"/>
    <cellStyle name="常规 4 4 3 2" xfId="1291"/>
    <cellStyle name="常规 4 4 3 2 2" xfId="1292"/>
    <cellStyle name="常规 4 4 3 3" xfId="1293"/>
    <cellStyle name="常规 4 4 4" xfId="1294"/>
    <cellStyle name="常规 4 4 4 2" xfId="1295"/>
    <cellStyle name="常规 4 4 5" xfId="1296"/>
    <cellStyle name="常规 4 5" xfId="1297"/>
    <cellStyle name="常规 4 5 2" xfId="1298"/>
    <cellStyle name="常规 4 5 2 2" xfId="1299"/>
    <cellStyle name="常规 4 5 2 2 2" xfId="1300"/>
    <cellStyle name="常规 4 5 2 3" xfId="1301"/>
    <cellStyle name="常规 4 5 3" xfId="1302"/>
    <cellStyle name="常规 4 5 3 2" xfId="1303"/>
    <cellStyle name="常规 4 5 4" xfId="1304"/>
    <cellStyle name="常规 4 6" xfId="1305"/>
    <cellStyle name="常规 4 6 2" xfId="1306"/>
    <cellStyle name="常规 4 6 2 2" xfId="1307"/>
    <cellStyle name="常规 4 6 3" xfId="1308"/>
    <cellStyle name="常规 4 7" xfId="1309"/>
    <cellStyle name="常规 4 7 2" xfId="1310"/>
    <cellStyle name="常规 4 8" xfId="1311"/>
    <cellStyle name="常规_4.1mcl" xfId="1312"/>
    <cellStyle name="暊孥" xfId="1313"/>
    <cellStyle name="杪孑h" xfId="1314"/>
    <cellStyle name="桁区切り [0.00]_List-dwg瑩畳䵜楡" xfId="1315"/>
    <cellStyle name="桁区切り_List-dwgist-" xfId="1316"/>
    <cellStyle name="標準_List-dwgis" xfId="1317"/>
    <cellStyle name="標題" xfId="1318"/>
    <cellStyle name="標題 1" xfId="1319"/>
    <cellStyle name="標題 2" xfId="1320"/>
    <cellStyle name="標題 3" xfId="1321"/>
    <cellStyle name="標題 4" xfId="1322"/>
    <cellStyle name="樣式 1" xfId="1323"/>
    <cellStyle name="檢查儲存格" xfId="1324"/>
    <cellStyle name="筎" xfId="1325"/>
    <cellStyle name="箊彥" xfId="1326"/>
    <cellStyle name="綐其桛" xfId="1327"/>
    <cellStyle name="艎" xfId="1328"/>
    <cellStyle name="芏" xfId="1329"/>
    <cellStyle name="計算方式" xfId="1330"/>
    <cellStyle name="詐" xfId="1331"/>
    <cellStyle name="詔" xfId="1332"/>
    <cellStyle name="說明文字" xfId="1333"/>
    <cellStyle name="警告文字" xfId="1334"/>
    <cellStyle name="貨幣 [0]_00Q3902REV.1" xfId="1335"/>
    <cellStyle name="貨幣[0]_BRE" xfId="1336"/>
    <cellStyle name="貨幣_00Q3902REV.1" xfId="1337"/>
    <cellStyle name="超連結_Book1" xfId="1338"/>
    <cellStyle name="輔色1" xfId="1339"/>
    <cellStyle name="輔色2" xfId="1340"/>
    <cellStyle name="輔色3" xfId="1341"/>
    <cellStyle name="輔色4" xfId="1342"/>
    <cellStyle name="輔色5" xfId="1343"/>
    <cellStyle name="輔色6" xfId="1344"/>
    <cellStyle name="輸入" xfId="1345"/>
    <cellStyle name="輸出" xfId="1346"/>
    <cellStyle name="通貨 [0.00]_List-dwgwg" xfId="1347"/>
    <cellStyle name="通貨_List-dwgis" xfId="1348"/>
    <cellStyle name="連結的儲存格" xfId="1349"/>
    <cellStyle name="顪" xfId="1350"/>
    <cellStyle name="㼿" xfId="1351"/>
    <cellStyle name="㼿 2" xfId="1352"/>
    <cellStyle name="㼿?" xfId="1353"/>
    <cellStyle name="㼿? 2" xfId="1354"/>
    <cellStyle name="㼿㼿" xfId="1355"/>
    <cellStyle name="㼿㼿 2" xfId="1356"/>
    <cellStyle name="㼿㼿?" xfId="1357"/>
    <cellStyle name="㼿㼿? 2" xfId="1358"/>
    <cellStyle name="㼿㼿㼿" xfId="1359"/>
    <cellStyle name="㼿㼿㼿 2" xfId="1360"/>
    <cellStyle name="㼿㼿㼿㼿?" xfId="1361"/>
    <cellStyle name="㼿㼿㼿㼿? 2" xfId="1362"/>
    <cellStyle name="㽎㼿㼿㼿㼿㼿㼿㼿㼿㼿㼿㼿㼿㼿㼿㼿㼿㼿㼿㼿㼿㼿㼿㼿?" xfId="136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externalLinkPath" Target="file:///D:\HANH%20UPC\T&#7892;NG%20H&#7906;P\NIKE%20ORTHER\N&#258;M%202021\B&#193;O%20C&#193;O\BAO%20CAO%202021\T01.2020.xlsx" TargetMode="External"/><Relationship Id="rId1" Type="http://schemas.openxmlformats.org/officeDocument/2006/relationships/externalLinkPath" Target="file:///D:\HANH%20UPC\T&#7892;NG%20H&#7906;P\NIKE%20ORTHER\N&#258;M%202021\B&#193;O%20C&#193;O\BAO%20CAO%202021\FILE%20NHAN%20DON%20HANG%202019%20(OK).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K106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5" sqref="E15"/>
    </sheetView>
  </sheetViews>
  <sheetFormatPr defaultRowHeight="14.25"/>
  <cols>
    <col min="1" max="1" width="9.06640625" style="71"/>
    <col min="3" max="3" width="20.3984375" bestFit="1" customWidth="1"/>
    <col min="4" max="4" width="54.265625" customWidth="1"/>
    <col min="5" max="7" width="12.265625" style="71" customWidth="1"/>
    <col min="8" max="8" width="11.73046875" style="71" customWidth="1"/>
    <col min="9" max="9" width="11.73046875" style="76" customWidth="1"/>
    <col min="10" max="10" width="13.59765625" style="71" customWidth="1"/>
    <col min="11" max="11" width="13.59765625" style="80" customWidth="1"/>
  </cols>
  <sheetData>
    <row r="1" spans="1:11" s="1" customFormat="1" ht="49.5" customHeight="1">
      <c r="A1" s="49" t="s">
        <v>12</v>
      </c>
      <c r="B1" s="50"/>
      <c r="C1" s="50"/>
      <c r="D1" s="51"/>
      <c r="E1" s="50"/>
      <c r="F1" s="50"/>
      <c r="G1" s="50"/>
      <c r="H1" s="50"/>
      <c r="I1" s="50"/>
      <c r="J1" s="50"/>
      <c r="K1" s="52"/>
    </row>
    <row r="2" spans="1:11" s="1" customFormat="1" ht="23.25" customHeight="1">
      <c r="A2" s="81" t="s">
        <v>0</v>
      </c>
      <c r="B2" s="53" t="s">
        <v>1</v>
      </c>
      <c r="C2" s="55" t="s">
        <v>2</v>
      </c>
      <c r="D2" s="55" t="s">
        <v>3</v>
      </c>
      <c r="E2" s="57" t="s">
        <v>4</v>
      </c>
      <c r="F2" s="58"/>
      <c r="G2" s="59"/>
      <c r="H2" s="60" t="s">
        <v>5</v>
      </c>
      <c r="I2" s="61"/>
      <c r="J2" s="62" t="s">
        <v>6</v>
      </c>
      <c r="K2" s="63"/>
    </row>
    <row r="3" spans="1:11" s="1" customFormat="1" ht="42" customHeight="1">
      <c r="A3" s="82"/>
      <c r="B3" s="54"/>
      <c r="C3" s="56"/>
      <c r="D3" s="56"/>
      <c r="E3" s="2" t="s">
        <v>7</v>
      </c>
      <c r="F3" s="2" t="s">
        <v>8</v>
      </c>
      <c r="G3" s="2" t="s">
        <v>9</v>
      </c>
      <c r="H3" s="3" t="s">
        <v>10</v>
      </c>
      <c r="I3" s="72" t="s">
        <v>11</v>
      </c>
      <c r="J3" s="3" t="s">
        <v>10</v>
      </c>
      <c r="K3" s="77" t="s">
        <v>11</v>
      </c>
    </row>
    <row r="4" spans="1:11" ht="21" customHeight="1">
      <c r="A4" s="83">
        <v>1</v>
      </c>
      <c r="B4" s="40">
        <v>44866</v>
      </c>
      <c r="C4" s="41" t="s">
        <v>24</v>
      </c>
      <c r="D4" s="41" t="s">
        <v>78</v>
      </c>
      <c r="E4" s="64">
        <v>84</v>
      </c>
      <c r="F4" s="65"/>
      <c r="G4" s="64">
        <f>E4</f>
        <v>84</v>
      </c>
      <c r="H4" s="66">
        <v>656702</v>
      </c>
      <c r="I4" s="73"/>
      <c r="J4" s="66">
        <f t="shared" ref="J4:J11" si="0">E4*H4</f>
        <v>55162968</v>
      </c>
      <c r="K4" s="78">
        <f t="shared" ref="K4:K11" si="1">E4*I4</f>
        <v>0</v>
      </c>
    </row>
    <row r="5" spans="1:11" ht="21" customHeight="1">
      <c r="A5" s="83">
        <f>A4+1</f>
        <v>2</v>
      </c>
      <c r="B5" s="40">
        <v>44866</v>
      </c>
      <c r="C5" s="44" t="s">
        <v>21</v>
      </c>
      <c r="D5" s="44" t="s">
        <v>84</v>
      </c>
      <c r="E5" s="67">
        <v>153068</v>
      </c>
      <c r="F5" s="68"/>
      <c r="G5" s="64">
        <f>E5</f>
        <v>153068</v>
      </c>
      <c r="H5" s="69"/>
      <c r="I5" s="74">
        <v>4.2099999999999999E-2</v>
      </c>
      <c r="J5" s="66">
        <f t="shared" si="0"/>
        <v>0</v>
      </c>
      <c r="K5" s="78">
        <f t="shared" si="1"/>
        <v>6444.1628000000001</v>
      </c>
    </row>
    <row r="6" spans="1:11" ht="21" customHeight="1">
      <c r="A6" s="83">
        <f>A5+1</f>
        <v>3</v>
      </c>
      <c r="B6" s="40">
        <v>44866</v>
      </c>
      <c r="C6" s="44" t="s">
        <v>17</v>
      </c>
      <c r="D6" s="41" t="s">
        <v>23</v>
      </c>
      <c r="E6" s="67">
        <v>66</v>
      </c>
      <c r="F6" s="68">
        <f>E6</f>
        <v>66</v>
      </c>
      <c r="G6" s="67"/>
      <c r="H6" s="69"/>
      <c r="I6" s="74">
        <v>6.7390000000000005E-2</v>
      </c>
      <c r="J6" s="66">
        <f t="shared" si="0"/>
        <v>0</v>
      </c>
      <c r="K6" s="78">
        <f t="shared" si="1"/>
        <v>4.4477400000000005</v>
      </c>
    </row>
    <row r="7" spans="1:11" ht="21" customHeight="1">
      <c r="A7" s="83">
        <f>A6+1</f>
        <v>4</v>
      </c>
      <c r="B7" s="40">
        <v>44866</v>
      </c>
      <c r="C7" s="44" t="s">
        <v>25</v>
      </c>
      <c r="D7" s="41" t="s">
        <v>23</v>
      </c>
      <c r="E7" s="67">
        <v>655436</v>
      </c>
      <c r="F7" s="68">
        <f>E7</f>
        <v>655436</v>
      </c>
      <c r="G7" s="67"/>
      <c r="H7" s="69">
        <v>1564</v>
      </c>
      <c r="I7" s="74"/>
      <c r="J7" s="66">
        <f t="shared" si="0"/>
        <v>1025101904</v>
      </c>
      <c r="K7" s="78">
        <f t="shared" si="1"/>
        <v>0</v>
      </c>
    </row>
    <row r="8" spans="1:11" ht="21" customHeight="1">
      <c r="A8" s="83">
        <f>A7+1</f>
        <v>5</v>
      </c>
      <c r="B8" s="40">
        <v>44866</v>
      </c>
      <c r="C8" s="44" t="s">
        <v>20</v>
      </c>
      <c r="D8" s="41" t="s">
        <v>95</v>
      </c>
      <c r="E8" s="67">
        <v>64</v>
      </c>
      <c r="F8" s="68">
        <f>E8</f>
        <v>64</v>
      </c>
      <c r="G8" s="67"/>
      <c r="H8" s="69">
        <v>967</v>
      </c>
      <c r="I8" s="74"/>
      <c r="J8" s="66">
        <f t="shared" si="0"/>
        <v>61888</v>
      </c>
      <c r="K8" s="78">
        <f t="shared" si="1"/>
        <v>0</v>
      </c>
    </row>
    <row r="9" spans="1:11" ht="21" customHeight="1">
      <c r="A9" s="83">
        <f>A8+1</f>
        <v>6</v>
      </c>
      <c r="B9" s="40">
        <v>44866</v>
      </c>
      <c r="C9" s="41" t="s">
        <v>20</v>
      </c>
      <c r="D9" s="41" t="s">
        <v>85</v>
      </c>
      <c r="E9" s="64">
        <v>23</v>
      </c>
      <c r="F9" s="68"/>
      <c r="G9" s="64">
        <f>E9</f>
        <v>23</v>
      </c>
      <c r="H9" s="66">
        <v>758</v>
      </c>
      <c r="I9" s="73"/>
      <c r="J9" s="66">
        <f t="shared" si="0"/>
        <v>17434</v>
      </c>
      <c r="K9" s="78">
        <f t="shared" si="1"/>
        <v>0</v>
      </c>
    </row>
    <row r="10" spans="1:11" ht="21" customHeight="1">
      <c r="A10" s="83">
        <f t="shared" ref="A10:A104" si="2">A9+1</f>
        <v>7</v>
      </c>
      <c r="B10" s="40">
        <v>44866</v>
      </c>
      <c r="C10" s="41" t="s">
        <v>20</v>
      </c>
      <c r="D10" s="41" t="s">
        <v>97</v>
      </c>
      <c r="E10" s="64">
        <v>202</v>
      </c>
      <c r="F10" s="68">
        <f t="shared" ref="F10:F18" si="3">E10</f>
        <v>202</v>
      </c>
      <c r="G10" s="64"/>
      <c r="H10" s="66">
        <v>118</v>
      </c>
      <c r="I10" s="73"/>
      <c r="J10" s="66">
        <f t="shared" si="0"/>
        <v>23836</v>
      </c>
      <c r="K10" s="78">
        <f t="shared" si="1"/>
        <v>0</v>
      </c>
    </row>
    <row r="11" spans="1:11" ht="21" customHeight="1">
      <c r="A11" s="83">
        <f t="shared" si="2"/>
        <v>8</v>
      </c>
      <c r="B11" s="40">
        <v>44866</v>
      </c>
      <c r="C11" s="41" t="s">
        <v>20</v>
      </c>
      <c r="D11" s="41" t="s">
        <v>93</v>
      </c>
      <c r="E11" s="64">
        <v>265</v>
      </c>
      <c r="F11" s="68">
        <f t="shared" si="3"/>
        <v>265</v>
      </c>
      <c r="G11" s="64"/>
      <c r="H11" s="66">
        <v>105</v>
      </c>
      <c r="I11" s="73"/>
      <c r="J11" s="66">
        <f t="shared" si="0"/>
        <v>27825</v>
      </c>
      <c r="K11" s="78">
        <f t="shared" si="1"/>
        <v>0</v>
      </c>
    </row>
    <row r="12" spans="1:11" ht="21" customHeight="1">
      <c r="A12" s="83">
        <f t="shared" si="2"/>
        <v>9</v>
      </c>
      <c r="B12" s="40">
        <v>44866</v>
      </c>
      <c r="C12" s="41" t="s">
        <v>18</v>
      </c>
      <c r="D12" s="41" t="s">
        <v>94</v>
      </c>
      <c r="E12" s="64">
        <v>131240</v>
      </c>
      <c r="F12" s="65">
        <f t="shared" si="3"/>
        <v>131240</v>
      </c>
      <c r="G12" s="64"/>
      <c r="H12" s="66">
        <v>76</v>
      </c>
      <c r="I12" s="73"/>
      <c r="J12" s="66">
        <f t="shared" ref="J12:J48" si="4">E12*H12</f>
        <v>9974240</v>
      </c>
      <c r="K12" s="78">
        <f t="shared" ref="K12:K48" si="5">E12*I12</f>
        <v>0</v>
      </c>
    </row>
    <row r="13" spans="1:11" ht="21" customHeight="1">
      <c r="A13" s="83">
        <f t="shared" si="2"/>
        <v>10</v>
      </c>
      <c r="B13" s="40">
        <v>44866</v>
      </c>
      <c r="C13" s="41" t="s">
        <v>18</v>
      </c>
      <c r="D13" s="41" t="s">
        <v>93</v>
      </c>
      <c r="E13" s="64">
        <v>53499</v>
      </c>
      <c r="F13" s="65">
        <f t="shared" si="3"/>
        <v>53499</v>
      </c>
      <c r="G13" s="64"/>
      <c r="H13" s="66">
        <v>105</v>
      </c>
      <c r="I13" s="73"/>
      <c r="J13" s="66">
        <f t="shared" si="4"/>
        <v>5617395</v>
      </c>
      <c r="K13" s="78">
        <f t="shared" si="5"/>
        <v>0</v>
      </c>
    </row>
    <row r="14" spans="1:11" ht="21" customHeight="1">
      <c r="A14" s="83">
        <f t="shared" si="2"/>
        <v>11</v>
      </c>
      <c r="B14" s="40">
        <v>44866</v>
      </c>
      <c r="C14" s="41" t="s">
        <v>18</v>
      </c>
      <c r="D14" s="41" t="s">
        <v>86</v>
      </c>
      <c r="E14" s="64">
        <v>788</v>
      </c>
      <c r="F14" s="65">
        <f t="shared" si="3"/>
        <v>788</v>
      </c>
      <c r="G14" s="64"/>
      <c r="H14" s="66">
        <v>414</v>
      </c>
      <c r="I14" s="73"/>
      <c r="J14" s="66">
        <f t="shared" si="4"/>
        <v>326232</v>
      </c>
      <c r="K14" s="78">
        <f t="shared" si="5"/>
        <v>0</v>
      </c>
    </row>
    <row r="15" spans="1:11" ht="21" customHeight="1">
      <c r="A15" s="83">
        <f t="shared" si="2"/>
        <v>12</v>
      </c>
      <c r="B15" s="40">
        <v>44866</v>
      </c>
      <c r="C15" s="41" t="s">
        <v>18</v>
      </c>
      <c r="D15" s="41" t="s">
        <v>59</v>
      </c>
      <c r="E15" s="64">
        <v>65620</v>
      </c>
      <c r="F15" s="65">
        <f t="shared" si="3"/>
        <v>65620</v>
      </c>
      <c r="G15" s="64"/>
      <c r="H15" s="66">
        <v>654</v>
      </c>
      <c r="I15" s="73"/>
      <c r="J15" s="66">
        <f t="shared" si="4"/>
        <v>42915480</v>
      </c>
      <c r="K15" s="78">
        <f t="shared" si="5"/>
        <v>0</v>
      </c>
    </row>
    <row r="16" spans="1:11" ht="21" customHeight="1">
      <c r="A16" s="83">
        <f t="shared" si="2"/>
        <v>13</v>
      </c>
      <c r="B16" s="40">
        <v>44866</v>
      </c>
      <c r="C16" s="41" t="s">
        <v>18</v>
      </c>
      <c r="D16" s="41" t="s">
        <v>95</v>
      </c>
      <c r="E16" s="64">
        <v>7192</v>
      </c>
      <c r="F16" s="65">
        <f t="shared" si="3"/>
        <v>7192</v>
      </c>
      <c r="G16" s="64"/>
      <c r="H16" s="66">
        <v>967</v>
      </c>
      <c r="I16" s="73"/>
      <c r="J16" s="66">
        <f t="shared" si="4"/>
        <v>6954664</v>
      </c>
      <c r="K16" s="78">
        <f t="shared" si="5"/>
        <v>0</v>
      </c>
    </row>
    <row r="17" spans="1:11" ht="21" customHeight="1">
      <c r="A17" s="83">
        <f t="shared" si="2"/>
        <v>14</v>
      </c>
      <c r="B17" s="40">
        <v>44866</v>
      </c>
      <c r="C17" s="41" t="s">
        <v>18</v>
      </c>
      <c r="D17" s="41" t="s">
        <v>112</v>
      </c>
      <c r="E17" s="64">
        <v>104</v>
      </c>
      <c r="F17" s="65">
        <f t="shared" si="3"/>
        <v>104</v>
      </c>
      <c r="G17" s="64"/>
      <c r="H17" s="66">
        <v>143290</v>
      </c>
      <c r="I17" s="73"/>
      <c r="J17" s="66">
        <f t="shared" si="4"/>
        <v>14902160</v>
      </c>
      <c r="K17" s="78">
        <f t="shared" si="5"/>
        <v>0</v>
      </c>
    </row>
    <row r="18" spans="1:11" ht="21" customHeight="1">
      <c r="A18" s="83">
        <f t="shared" si="2"/>
        <v>15</v>
      </c>
      <c r="B18" s="40">
        <v>44866</v>
      </c>
      <c r="C18" s="41" t="s">
        <v>27</v>
      </c>
      <c r="D18" s="41" t="s">
        <v>87</v>
      </c>
      <c r="E18" s="64">
        <v>9002</v>
      </c>
      <c r="F18" s="65">
        <f t="shared" si="3"/>
        <v>9002</v>
      </c>
      <c r="G18" s="64"/>
      <c r="H18" s="66">
        <v>119</v>
      </c>
      <c r="I18" s="73"/>
      <c r="J18" s="66">
        <f t="shared" si="4"/>
        <v>1071238</v>
      </c>
      <c r="K18" s="78">
        <f t="shared" si="5"/>
        <v>0</v>
      </c>
    </row>
    <row r="19" spans="1:11" ht="21" customHeight="1">
      <c r="A19" s="83">
        <f t="shared" si="2"/>
        <v>16</v>
      </c>
      <c r="B19" s="40">
        <v>44866</v>
      </c>
      <c r="C19" s="41" t="s">
        <v>15</v>
      </c>
      <c r="D19" s="41" t="s">
        <v>70</v>
      </c>
      <c r="E19" s="64">
        <v>4990</v>
      </c>
      <c r="F19" s="65"/>
      <c r="G19" s="64">
        <f>E19</f>
        <v>4990</v>
      </c>
      <c r="H19" s="66"/>
      <c r="I19" s="73">
        <v>4.6920000000000003E-2</v>
      </c>
      <c r="J19" s="66">
        <f t="shared" si="4"/>
        <v>0</v>
      </c>
      <c r="K19" s="78">
        <f t="shared" si="5"/>
        <v>234.13080000000002</v>
      </c>
    </row>
    <row r="20" spans="1:11" ht="21" customHeight="1">
      <c r="A20" s="83">
        <f t="shared" si="2"/>
        <v>17</v>
      </c>
      <c r="B20" s="40">
        <v>44866</v>
      </c>
      <c r="C20" s="41" t="s">
        <v>15</v>
      </c>
      <c r="D20" s="41" t="s">
        <v>71</v>
      </c>
      <c r="E20" s="64">
        <v>2160</v>
      </c>
      <c r="F20" s="65"/>
      <c r="G20" s="64">
        <f>E20</f>
        <v>2160</v>
      </c>
      <c r="H20" s="66"/>
      <c r="I20" s="73">
        <v>3.3189999999999997E-2</v>
      </c>
      <c r="J20" s="66">
        <f t="shared" si="4"/>
        <v>0</v>
      </c>
      <c r="K20" s="78">
        <f t="shared" si="5"/>
        <v>71.690399999999997</v>
      </c>
    </row>
    <row r="21" spans="1:11" ht="21" customHeight="1">
      <c r="A21" s="83">
        <f t="shared" si="2"/>
        <v>18</v>
      </c>
      <c r="B21" s="40">
        <v>44866</v>
      </c>
      <c r="C21" s="41" t="s">
        <v>15</v>
      </c>
      <c r="D21" s="41" t="s">
        <v>88</v>
      </c>
      <c r="E21" s="64">
        <v>3756</v>
      </c>
      <c r="F21" s="65">
        <f t="shared" ref="F21:F26" si="6">E21</f>
        <v>3756</v>
      </c>
      <c r="G21" s="64"/>
      <c r="H21" s="66"/>
      <c r="I21" s="73">
        <v>5.4900000000000001E-3</v>
      </c>
      <c r="J21" s="66">
        <f t="shared" si="4"/>
        <v>0</v>
      </c>
      <c r="K21" s="78">
        <f t="shared" si="5"/>
        <v>20.620440000000002</v>
      </c>
    </row>
    <row r="22" spans="1:11" ht="21" customHeight="1">
      <c r="A22" s="83">
        <f t="shared" si="2"/>
        <v>19</v>
      </c>
      <c r="B22" s="40">
        <v>44866</v>
      </c>
      <c r="C22" s="41" t="s">
        <v>15</v>
      </c>
      <c r="D22" s="41" t="s">
        <v>89</v>
      </c>
      <c r="E22" s="64">
        <v>3216</v>
      </c>
      <c r="F22" s="65">
        <f t="shared" si="6"/>
        <v>3216</v>
      </c>
      <c r="G22" s="64"/>
      <c r="H22" s="66"/>
      <c r="I22" s="73">
        <v>1.0880000000000001E-2</v>
      </c>
      <c r="J22" s="66">
        <f t="shared" si="4"/>
        <v>0</v>
      </c>
      <c r="K22" s="78">
        <f t="shared" si="5"/>
        <v>34.990080000000006</v>
      </c>
    </row>
    <row r="23" spans="1:11" ht="21" customHeight="1">
      <c r="A23" s="83">
        <f t="shared" si="2"/>
        <v>20</v>
      </c>
      <c r="B23" s="40">
        <v>44866</v>
      </c>
      <c r="C23" s="41" t="s">
        <v>15</v>
      </c>
      <c r="D23" s="41" t="s">
        <v>90</v>
      </c>
      <c r="E23" s="64">
        <v>3216</v>
      </c>
      <c r="F23" s="65">
        <f t="shared" si="6"/>
        <v>3216</v>
      </c>
      <c r="G23" s="64"/>
      <c r="H23" s="66"/>
      <c r="I23" s="73">
        <v>3.4399999999999999E-3</v>
      </c>
      <c r="J23" s="66">
        <f t="shared" si="4"/>
        <v>0</v>
      </c>
      <c r="K23" s="78">
        <f t="shared" si="5"/>
        <v>11.063039999999999</v>
      </c>
    </row>
    <row r="24" spans="1:11" ht="21" customHeight="1">
      <c r="A24" s="83">
        <f t="shared" si="2"/>
        <v>21</v>
      </c>
      <c r="B24" s="40">
        <v>44866</v>
      </c>
      <c r="C24" s="41" t="s">
        <v>15</v>
      </c>
      <c r="D24" s="41" t="s">
        <v>91</v>
      </c>
      <c r="E24" s="64">
        <v>9528</v>
      </c>
      <c r="F24" s="65">
        <f t="shared" si="6"/>
        <v>9528</v>
      </c>
      <c r="G24" s="64"/>
      <c r="H24" s="66"/>
      <c r="I24" s="73">
        <v>6.1799999999999997E-3</v>
      </c>
      <c r="J24" s="66">
        <f t="shared" si="4"/>
        <v>0</v>
      </c>
      <c r="K24" s="78">
        <f t="shared" si="5"/>
        <v>58.883039999999994</v>
      </c>
    </row>
    <row r="25" spans="1:11" ht="21" customHeight="1">
      <c r="A25" s="83">
        <f t="shared" si="2"/>
        <v>22</v>
      </c>
      <c r="B25" s="40">
        <v>44866</v>
      </c>
      <c r="C25" s="41" t="s">
        <v>15</v>
      </c>
      <c r="D25" s="41" t="s">
        <v>92</v>
      </c>
      <c r="E25" s="64">
        <v>16068</v>
      </c>
      <c r="F25" s="65">
        <f t="shared" si="6"/>
        <v>16068</v>
      </c>
      <c r="G25" s="64"/>
      <c r="H25" s="66"/>
      <c r="I25" s="73">
        <v>2.2890000000000001E-2</v>
      </c>
      <c r="J25" s="66">
        <f t="shared" si="4"/>
        <v>0</v>
      </c>
      <c r="K25" s="78">
        <f t="shared" si="5"/>
        <v>367.79651999999999</v>
      </c>
    </row>
    <row r="26" spans="1:11" ht="21" customHeight="1">
      <c r="A26" s="83">
        <f t="shared" si="2"/>
        <v>23</v>
      </c>
      <c r="B26" s="40">
        <v>44866</v>
      </c>
      <c r="C26" s="41" t="s">
        <v>15</v>
      </c>
      <c r="D26" s="41" t="s">
        <v>93</v>
      </c>
      <c r="E26" s="64">
        <v>206012</v>
      </c>
      <c r="F26" s="65">
        <f t="shared" si="6"/>
        <v>206012</v>
      </c>
      <c r="G26" s="64"/>
      <c r="H26" s="66"/>
      <c r="I26" s="73">
        <v>4.5799999999999999E-3</v>
      </c>
      <c r="J26" s="66">
        <f t="shared" si="4"/>
        <v>0</v>
      </c>
      <c r="K26" s="78">
        <f t="shared" si="5"/>
        <v>943.53495999999996</v>
      </c>
    </row>
    <row r="27" spans="1:11" ht="21" customHeight="1">
      <c r="A27" s="83">
        <f t="shared" si="2"/>
        <v>24</v>
      </c>
      <c r="B27" s="40">
        <v>44866</v>
      </c>
      <c r="C27" s="41" t="s">
        <v>15</v>
      </c>
      <c r="D27" s="41" t="s">
        <v>72</v>
      </c>
      <c r="E27" s="64">
        <v>2508</v>
      </c>
      <c r="F27" s="65"/>
      <c r="G27" s="64">
        <f>E27</f>
        <v>2508</v>
      </c>
      <c r="H27" s="66"/>
      <c r="I27" s="73">
        <v>1.384E-2</v>
      </c>
      <c r="J27" s="66">
        <f t="shared" si="4"/>
        <v>0</v>
      </c>
      <c r="K27" s="78">
        <f t="shared" si="5"/>
        <v>34.710720000000002</v>
      </c>
    </row>
    <row r="28" spans="1:11" ht="21" customHeight="1">
      <c r="A28" s="83">
        <f t="shared" si="2"/>
        <v>25</v>
      </c>
      <c r="B28" s="40">
        <v>44866</v>
      </c>
      <c r="C28" s="41" t="s">
        <v>15</v>
      </c>
      <c r="D28" s="41" t="s">
        <v>86</v>
      </c>
      <c r="E28" s="64">
        <v>1541</v>
      </c>
      <c r="F28" s="65">
        <f t="shared" ref="F28:F48" si="7">E28</f>
        <v>1541</v>
      </c>
      <c r="G28" s="64"/>
      <c r="H28" s="66"/>
      <c r="I28" s="73">
        <v>1.831E-2</v>
      </c>
      <c r="J28" s="66">
        <f t="shared" si="4"/>
        <v>0</v>
      </c>
      <c r="K28" s="78">
        <f t="shared" si="5"/>
        <v>28.215710000000001</v>
      </c>
    </row>
    <row r="29" spans="1:11" ht="21" customHeight="1">
      <c r="A29" s="83">
        <f t="shared" si="2"/>
        <v>26</v>
      </c>
      <c r="B29" s="40">
        <v>44866</v>
      </c>
      <c r="C29" s="41" t="s">
        <v>15</v>
      </c>
      <c r="D29" s="41" t="s">
        <v>87</v>
      </c>
      <c r="E29" s="64">
        <v>258650</v>
      </c>
      <c r="F29" s="65">
        <f t="shared" si="7"/>
        <v>258650</v>
      </c>
      <c r="G29" s="64"/>
      <c r="H29" s="66"/>
      <c r="I29" s="73">
        <v>5.1500000000000001E-3</v>
      </c>
      <c r="J29" s="66">
        <f t="shared" si="4"/>
        <v>0</v>
      </c>
      <c r="K29" s="78">
        <f t="shared" si="5"/>
        <v>1332.0475000000001</v>
      </c>
    </row>
    <row r="30" spans="1:11" ht="21" customHeight="1">
      <c r="A30" s="83">
        <f t="shared" si="2"/>
        <v>27</v>
      </c>
      <c r="B30" s="40">
        <v>44866</v>
      </c>
      <c r="C30" s="41" t="s">
        <v>28</v>
      </c>
      <c r="D30" s="41" t="s">
        <v>59</v>
      </c>
      <c r="E30" s="64">
        <v>33430</v>
      </c>
      <c r="F30" s="65">
        <f t="shared" si="7"/>
        <v>33430</v>
      </c>
      <c r="G30" s="64"/>
      <c r="H30" s="66"/>
      <c r="I30" s="73">
        <v>2.8420000000000001E-2</v>
      </c>
      <c r="J30" s="66">
        <f t="shared" si="4"/>
        <v>0</v>
      </c>
      <c r="K30" s="78">
        <f t="shared" si="5"/>
        <v>950.0806</v>
      </c>
    </row>
    <row r="31" spans="1:11" ht="21" customHeight="1">
      <c r="A31" s="83">
        <f t="shared" si="2"/>
        <v>28</v>
      </c>
      <c r="B31" s="40">
        <v>44866</v>
      </c>
      <c r="C31" s="41" t="s">
        <v>28</v>
      </c>
      <c r="D31" s="41" t="s">
        <v>94</v>
      </c>
      <c r="E31" s="64">
        <v>66860</v>
      </c>
      <c r="F31" s="65">
        <f t="shared" si="7"/>
        <v>66860</v>
      </c>
      <c r="G31" s="64"/>
      <c r="H31" s="66"/>
      <c r="I31" s="73">
        <v>3.3E-3</v>
      </c>
      <c r="J31" s="66">
        <f t="shared" si="4"/>
        <v>0</v>
      </c>
      <c r="K31" s="78">
        <f t="shared" si="5"/>
        <v>220.63800000000001</v>
      </c>
    </row>
    <row r="32" spans="1:11" ht="21" customHeight="1">
      <c r="A32" s="83">
        <f t="shared" si="2"/>
        <v>29</v>
      </c>
      <c r="B32" s="40">
        <v>44866</v>
      </c>
      <c r="C32" s="41" t="s">
        <v>28</v>
      </c>
      <c r="D32" s="41" t="s">
        <v>95</v>
      </c>
      <c r="E32" s="64">
        <v>8656</v>
      </c>
      <c r="F32" s="65">
        <f t="shared" si="7"/>
        <v>8656</v>
      </c>
      <c r="G32" s="64"/>
      <c r="H32" s="66"/>
      <c r="I32" s="73">
        <v>4.206E-2</v>
      </c>
      <c r="J32" s="66">
        <f t="shared" si="4"/>
        <v>0</v>
      </c>
      <c r="K32" s="78">
        <f t="shared" si="5"/>
        <v>364.07136000000003</v>
      </c>
    </row>
    <row r="33" spans="1:11" ht="21" customHeight="1">
      <c r="A33" s="83">
        <f t="shared" si="2"/>
        <v>30</v>
      </c>
      <c r="B33" s="40">
        <v>44866</v>
      </c>
      <c r="C33" s="41" t="s">
        <v>28</v>
      </c>
      <c r="D33" s="41" t="s">
        <v>93</v>
      </c>
      <c r="E33" s="64">
        <v>87367</v>
      </c>
      <c r="F33" s="65">
        <f t="shared" si="7"/>
        <v>87367</v>
      </c>
      <c r="G33" s="64"/>
      <c r="H33" s="66"/>
      <c r="I33" s="73">
        <v>4.5500000000000002E-3</v>
      </c>
      <c r="J33" s="66">
        <f t="shared" si="4"/>
        <v>0</v>
      </c>
      <c r="K33" s="78">
        <f t="shared" si="5"/>
        <v>397.51985000000002</v>
      </c>
    </row>
    <row r="34" spans="1:11" ht="21" customHeight="1">
      <c r="A34" s="83">
        <f t="shared" si="2"/>
        <v>31</v>
      </c>
      <c r="B34" s="40">
        <v>44866</v>
      </c>
      <c r="C34" s="41" t="s">
        <v>82</v>
      </c>
      <c r="D34" s="41" t="s">
        <v>112</v>
      </c>
      <c r="E34" s="64">
        <v>50320</v>
      </c>
      <c r="F34" s="65">
        <f t="shared" si="7"/>
        <v>50320</v>
      </c>
      <c r="G34" s="64"/>
      <c r="H34" s="66"/>
      <c r="I34" s="73">
        <v>6.0000000000000001E-3</v>
      </c>
      <c r="J34" s="66">
        <f t="shared" si="4"/>
        <v>0</v>
      </c>
      <c r="K34" s="78">
        <f t="shared" si="5"/>
        <v>301.92</v>
      </c>
    </row>
    <row r="35" spans="1:11" ht="21" customHeight="1">
      <c r="A35" s="83">
        <f t="shared" si="2"/>
        <v>32</v>
      </c>
      <c r="B35" s="40">
        <v>44866</v>
      </c>
      <c r="C35" s="41" t="s">
        <v>82</v>
      </c>
      <c r="D35" s="41" t="s">
        <v>96</v>
      </c>
      <c r="E35" s="67">
        <v>520</v>
      </c>
      <c r="F35" s="65">
        <f t="shared" si="7"/>
        <v>520</v>
      </c>
      <c r="G35" s="64"/>
      <c r="H35" s="66"/>
      <c r="I35" s="73">
        <v>4.4000000000000003E-3</v>
      </c>
      <c r="J35" s="66">
        <f t="shared" si="4"/>
        <v>0</v>
      </c>
      <c r="K35" s="78">
        <f t="shared" si="5"/>
        <v>2.2880000000000003</v>
      </c>
    </row>
    <row r="36" spans="1:11" ht="21" customHeight="1">
      <c r="A36" s="83">
        <f t="shared" si="2"/>
        <v>33</v>
      </c>
      <c r="B36" s="40">
        <v>44866</v>
      </c>
      <c r="C36" s="41" t="s">
        <v>82</v>
      </c>
      <c r="D36" s="41" t="s">
        <v>93</v>
      </c>
      <c r="E36" s="64">
        <v>20069</v>
      </c>
      <c r="F36" s="65">
        <f t="shared" si="7"/>
        <v>20069</v>
      </c>
      <c r="G36" s="64"/>
      <c r="H36" s="66"/>
      <c r="I36" s="73">
        <v>4.4000000000000003E-3</v>
      </c>
      <c r="J36" s="66">
        <f t="shared" si="4"/>
        <v>0</v>
      </c>
      <c r="K36" s="78">
        <f t="shared" si="5"/>
        <v>88.303600000000003</v>
      </c>
    </row>
    <row r="37" spans="1:11" ht="21" customHeight="1">
      <c r="A37" s="83">
        <f t="shared" si="2"/>
        <v>34</v>
      </c>
      <c r="B37" s="40">
        <v>44866</v>
      </c>
      <c r="C37" s="41" t="s">
        <v>82</v>
      </c>
      <c r="D37" s="41" t="s">
        <v>95</v>
      </c>
      <c r="E37" s="64">
        <v>5934</v>
      </c>
      <c r="F37" s="65">
        <f t="shared" si="7"/>
        <v>5934</v>
      </c>
      <c r="G37" s="64"/>
      <c r="H37" s="66"/>
      <c r="I37" s="73">
        <v>4.0399999999999998E-2</v>
      </c>
      <c r="J37" s="66">
        <f t="shared" si="4"/>
        <v>0</v>
      </c>
      <c r="K37" s="78">
        <f t="shared" si="5"/>
        <v>239.7336</v>
      </c>
    </row>
    <row r="38" spans="1:11" ht="21" customHeight="1">
      <c r="A38" s="83">
        <f t="shared" si="2"/>
        <v>35</v>
      </c>
      <c r="B38" s="40">
        <v>44866</v>
      </c>
      <c r="C38" s="41" t="s">
        <v>82</v>
      </c>
      <c r="D38" s="41" t="s">
        <v>97</v>
      </c>
      <c r="E38" s="64">
        <v>19789</v>
      </c>
      <c r="F38" s="65">
        <f t="shared" si="7"/>
        <v>19789</v>
      </c>
      <c r="G38" s="64"/>
      <c r="H38" s="66"/>
      <c r="I38" s="73">
        <v>9.7999999999999997E-3</v>
      </c>
      <c r="J38" s="66">
        <f t="shared" si="4"/>
        <v>0</v>
      </c>
      <c r="K38" s="78">
        <f t="shared" si="5"/>
        <v>193.93219999999999</v>
      </c>
    </row>
    <row r="39" spans="1:11" ht="21" customHeight="1">
      <c r="A39" s="83">
        <f t="shared" si="2"/>
        <v>36</v>
      </c>
      <c r="B39" s="40">
        <v>44866</v>
      </c>
      <c r="C39" s="41" t="s">
        <v>26</v>
      </c>
      <c r="D39" s="41" t="s">
        <v>59</v>
      </c>
      <c r="E39" s="64">
        <v>64519</v>
      </c>
      <c r="F39" s="65">
        <f t="shared" si="7"/>
        <v>64519</v>
      </c>
      <c r="G39" s="64"/>
      <c r="H39" s="66"/>
      <c r="I39" s="73">
        <v>2.7E-2</v>
      </c>
      <c r="J39" s="66">
        <f t="shared" si="4"/>
        <v>0</v>
      </c>
      <c r="K39" s="78">
        <f t="shared" si="5"/>
        <v>1742.0129999999999</v>
      </c>
    </row>
    <row r="40" spans="1:11" ht="21" customHeight="1">
      <c r="A40" s="83">
        <f t="shared" si="2"/>
        <v>37</v>
      </c>
      <c r="B40" s="40">
        <v>44866</v>
      </c>
      <c r="C40" s="41" t="s">
        <v>26</v>
      </c>
      <c r="D40" s="41" t="s">
        <v>94</v>
      </c>
      <c r="E40" s="64">
        <v>129038</v>
      </c>
      <c r="F40" s="65">
        <f t="shared" si="7"/>
        <v>129038</v>
      </c>
      <c r="G40" s="64"/>
      <c r="H40" s="66"/>
      <c r="I40" s="73">
        <f>0.00628/2</f>
        <v>3.14E-3</v>
      </c>
      <c r="J40" s="66">
        <f t="shared" si="4"/>
        <v>0</v>
      </c>
      <c r="K40" s="78">
        <f t="shared" si="5"/>
        <v>405.17932000000002</v>
      </c>
    </row>
    <row r="41" spans="1:11" ht="21" customHeight="1">
      <c r="A41" s="83">
        <f t="shared" si="2"/>
        <v>38</v>
      </c>
      <c r="B41" s="40">
        <v>44866</v>
      </c>
      <c r="C41" s="41" t="s">
        <v>26</v>
      </c>
      <c r="D41" s="41" t="s">
        <v>88</v>
      </c>
      <c r="E41" s="64">
        <v>492</v>
      </c>
      <c r="F41" s="65">
        <f t="shared" si="7"/>
        <v>492</v>
      </c>
      <c r="G41" s="64"/>
      <c r="H41" s="66"/>
      <c r="I41" s="73">
        <v>5.4599999999999996E-3</v>
      </c>
      <c r="J41" s="66">
        <f t="shared" si="4"/>
        <v>0</v>
      </c>
      <c r="K41" s="78">
        <f t="shared" si="5"/>
        <v>2.6863199999999998</v>
      </c>
    </row>
    <row r="42" spans="1:11" ht="21" customHeight="1">
      <c r="A42" s="83">
        <f t="shared" si="2"/>
        <v>39</v>
      </c>
      <c r="B42" s="40">
        <v>44866</v>
      </c>
      <c r="C42" s="41" t="s">
        <v>26</v>
      </c>
      <c r="D42" s="41" t="s">
        <v>93</v>
      </c>
      <c r="E42" s="64">
        <v>39935</v>
      </c>
      <c r="F42" s="65">
        <f t="shared" si="7"/>
        <v>39935</v>
      </c>
      <c r="G42" s="64"/>
      <c r="H42" s="66"/>
      <c r="I42" s="73">
        <v>4.5500000000000002E-3</v>
      </c>
      <c r="J42" s="66">
        <f t="shared" si="4"/>
        <v>0</v>
      </c>
      <c r="K42" s="78">
        <f t="shared" si="5"/>
        <v>181.70425</v>
      </c>
    </row>
    <row r="43" spans="1:11" ht="21" customHeight="1">
      <c r="A43" s="83">
        <f t="shared" si="2"/>
        <v>40</v>
      </c>
      <c r="B43" s="40">
        <v>44866</v>
      </c>
      <c r="C43" s="41" t="s">
        <v>26</v>
      </c>
      <c r="D43" s="41" t="s">
        <v>86</v>
      </c>
      <c r="E43" s="64">
        <v>4169</v>
      </c>
      <c r="F43" s="65">
        <f t="shared" si="7"/>
        <v>4169</v>
      </c>
      <c r="G43" s="64"/>
      <c r="H43" s="66"/>
      <c r="I43" s="73">
        <v>1.8020000000000001E-2</v>
      </c>
      <c r="J43" s="66">
        <f t="shared" si="4"/>
        <v>0</v>
      </c>
      <c r="K43" s="78">
        <f t="shared" si="5"/>
        <v>75.125380000000007</v>
      </c>
    </row>
    <row r="44" spans="1:11" ht="21" customHeight="1">
      <c r="A44" s="83">
        <f t="shared" si="2"/>
        <v>41</v>
      </c>
      <c r="B44" s="40">
        <v>44866</v>
      </c>
      <c r="C44" s="41" t="s">
        <v>26</v>
      </c>
      <c r="D44" s="41" t="s">
        <v>97</v>
      </c>
      <c r="E44" s="64">
        <v>97410</v>
      </c>
      <c r="F44" s="65">
        <f t="shared" si="7"/>
        <v>97410</v>
      </c>
      <c r="G44" s="64"/>
      <c r="H44" s="66"/>
      <c r="I44" s="73">
        <v>5.11E-3</v>
      </c>
      <c r="J44" s="66">
        <f t="shared" si="4"/>
        <v>0</v>
      </c>
      <c r="K44" s="78">
        <f t="shared" si="5"/>
        <v>497.76510000000002</v>
      </c>
    </row>
    <row r="45" spans="1:11" ht="21" customHeight="1">
      <c r="A45" s="83">
        <f t="shared" si="2"/>
        <v>42</v>
      </c>
      <c r="B45" s="40">
        <v>44866</v>
      </c>
      <c r="C45" s="41" t="s">
        <v>26</v>
      </c>
      <c r="D45" s="41" t="s">
        <v>98</v>
      </c>
      <c r="E45" s="64">
        <v>27656</v>
      </c>
      <c r="F45" s="65">
        <f t="shared" si="7"/>
        <v>27656</v>
      </c>
      <c r="G45" s="64"/>
      <c r="H45" s="66"/>
      <c r="I45" s="73">
        <v>5.11E-3</v>
      </c>
      <c r="J45" s="66">
        <f t="shared" si="4"/>
        <v>0</v>
      </c>
      <c r="K45" s="78">
        <f t="shared" si="5"/>
        <v>141.32216</v>
      </c>
    </row>
    <row r="46" spans="1:11" ht="21" customHeight="1">
      <c r="A46" s="83">
        <f t="shared" si="2"/>
        <v>43</v>
      </c>
      <c r="B46" s="40">
        <v>44866</v>
      </c>
      <c r="C46" s="41" t="s">
        <v>14</v>
      </c>
      <c r="D46" s="41" t="s">
        <v>99</v>
      </c>
      <c r="E46" s="64">
        <v>132</v>
      </c>
      <c r="F46" s="65">
        <f t="shared" si="7"/>
        <v>132</v>
      </c>
      <c r="G46" s="64"/>
      <c r="H46" s="66"/>
      <c r="I46" s="73">
        <v>8.7399999999999995E-3</v>
      </c>
      <c r="J46" s="66">
        <f t="shared" si="4"/>
        <v>0</v>
      </c>
      <c r="K46" s="78">
        <f t="shared" si="5"/>
        <v>1.15368</v>
      </c>
    </row>
    <row r="47" spans="1:11" ht="21" customHeight="1">
      <c r="A47" s="83">
        <f t="shared" si="2"/>
        <v>44</v>
      </c>
      <c r="B47" s="40">
        <v>44866</v>
      </c>
      <c r="C47" s="41" t="s">
        <v>14</v>
      </c>
      <c r="D47" s="41" t="s">
        <v>100</v>
      </c>
      <c r="E47" s="64">
        <v>264</v>
      </c>
      <c r="F47" s="65">
        <f t="shared" si="7"/>
        <v>264</v>
      </c>
      <c r="G47" s="64"/>
      <c r="H47" s="66"/>
      <c r="I47" s="73">
        <v>5.47E-3</v>
      </c>
      <c r="J47" s="66">
        <f t="shared" si="4"/>
        <v>0</v>
      </c>
      <c r="K47" s="78">
        <f t="shared" si="5"/>
        <v>1.44408</v>
      </c>
    </row>
    <row r="48" spans="1:11" ht="21" customHeight="1">
      <c r="A48" s="83">
        <f t="shared" si="2"/>
        <v>45</v>
      </c>
      <c r="B48" s="40">
        <v>44866</v>
      </c>
      <c r="C48" s="41" t="s">
        <v>14</v>
      </c>
      <c r="D48" s="41" t="s">
        <v>101</v>
      </c>
      <c r="E48" s="64">
        <v>132</v>
      </c>
      <c r="F48" s="65">
        <f t="shared" si="7"/>
        <v>132</v>
      </c>
      <c r="G48" s="64"/>
      <c r="H48" s="66"/>
      <c r="I48" s="73">
        <v>3.98E-3</v>
      </c>
      <c r="J48" s="66">
        <f t="shared" si="4"/>
        <v>0</v>
      </c>
      <c r="K48" s="78">
        <f t="shared" si="5"/>
        <v>0.52536000000000005</v>
      </c>
    </row>
    <row r="49" spans="1:11" ht="21" customHeight="1">
      <c r="A49" s="83">
        <f t="shared" si="2"/>
        <v>46</v>
      </c>
      <c r="B49" s="40">
        <v>44866</v>
      </c>
      <c r="C49" s="41" t="s">
        <v>14</v>
      </c>
      <c r="D49" s="41" t="s">
        <v>71</v>
      </c>
      <c r="E49" s="64">
        <v>132</v>
      </c>
      <c r="F49" s="65"/>
      <c r="G49" s="64">
        <f>E49</f>
        <v>132</v>
      </c>
      <c r="H49" s="66"/>
      <c r="I49" s="73">
        <v>3.2969999999999999E-2</v>
      </c>
      <c r="J49" s="66">
        <f t="shared" ref="J49:J103" si="8">E49*H49</f>
        <v>0</v>
      </c>
      <c r="K49" s="78">
        <f t="shared" ref="K49:K103" si="9">E49*I49</f>
        <v>4.3520399999999997</v>
      </c>
    </row>
    <row r="50" spans="1:11" ht="21" customHeight="1">
      <c r="A50" s="83">
        <f t="shared" si="2"/>
        <v>47</v>
      </c>
      <c r="B50" s="40">
        <v>44866</v>
      </c>
      <c r="C50" s="41" t="s">
        <v>14</v>
      </c>
      <c r="D50" s="41" t="s">
        <v>102</v>
      </c>
      <c r="E50" s="64">
        <v>18852</v>
      </c>
      <c r="F50" s="65">
        <f t="shared" ref="F50:F55" si="10">E50</f>
        <v>18852</v>
      </c>
      <c r="G50" s="64"/>
      <c r="H50" s="66"/>
      <c r="I50" s="73">
        <v>4.5500000000000002E-3</v>
      </c>
      <c r="J50" s="66">
        <f t="shared" si="8"/>
        <v>0</v>
      </c>
      <c r="K50" s="78">
        <f t="shared" si="9"/>
        <v>85.776600000000002</v>
      </c>
    </row>
    <row r="51" spans="1:11" ht="21" customHeight="1">
      <c r="A51" s="83">
        <f t="shared" si="2"/>
        <v>48</v>
      </c>
      <c r="B51" s="40">
        <v>44866</v>
      </c>
      <c r="C51" s="41" t="s">
        <v>14</v>
      </c>
      <c r="D51" s="41" t="s">
        <v>59</v>
      </c>
      <c r="E51" s="64">
        <v>22791</v>
      </c>
      <c r="F51" s="65">
        <f t="shared" si="10"/>
        <v>22791</v>
      </c>
      <c r="G51" s="64"/>
      <c r="H51" s="66"/>
      <c r="I51" s="73">
        <v>2.7E-2</v>
      </c>
      <c r="J51" s="66">
        <f t="shared" si="8"/>
        <v>0</v>
      </c>
      <c r="K51" s="78">
        <f t="shared" si="9"/>
        <v>615.35699999999997</v>
      </c>
    </row>
    <row r="52" spans="1:11" ht="21" customHeight="1">
      <c r="A52" s="83">
        <f t="shared" si="2"/>
        <v>49</v>
      </c>
      <c r="B52" s="40">
        <v>44866</v>
      </c>
      <c r="C52" s="41" t="s">
        <v>14</v>
      </c>
      <c r="D52" s="41" t="s">
        <v>94</v>
      </c>
      <c r="E52" s="64">
        <v>45582</v>
      </c>
      <c r="F52" s="65">
        <f t="shared" si="10"/>
        <v>45582</v>
      </c>
      <c r="G52" s="64"/>
      <c r="H52" s="66"/>
      <c r="I52" s="73">
        <f>0.00628/2</f>
        <v>3.14E-3</v>
      </c>
      <c r="J52" s="66">
        <f t="shared" si="8"/>
        <v>0</v>
      </c>
      <c r="K52" s="78">
        <f t="shared" si="9"/>
        <v>143.12747999999999</v>
      </c>
    </row>
    <row r="53" spans="1:11" ht="21" customHeight="1">
      <c r="A53" s="83">
        <f t="shared" si="2"/>
        <v>50</v>
      </c>
      <c r="B53" s="40">
        <v>44866</v>
      </c>
      <c r="C53" s="41" t="s">
        <v>14</v>
      </c>
      <c r="D53" s="41" t="s">
        <v>88</v>
      </c>
      <c r="E53" s="64">
        <v>402</v>
      </c>
      <c r="F53" s="65">
        <f t="shared" si="10"/>
        <v>402</v>
      </c>
      <c r="G53" s="64"/>
      <c r="H53" s="66"/>
      <c r="I53" s="73">
        <v>5.4599999999999996E-3</v>
      </c>
      <c r="J53" s="66">
        <f t="shared" si="8"/>
        <v>0</v>
      </c>
      <c r="K53" s="78">
        <f t="shared" si="9"/>
        <v>2.1949199999999998</v>
      </c>
    </row>
    <row r="54" spans="1:11" ht="21" customHeight="1">
      <c r="A54" s="83">
        <f t="shared" si="2"/>
        <v>51</v>
      </c>
      <c r="B54" s="40">
        <v>44866</v>
      </c>
      <c r="C54" s="41" t="s">
        <v>14</v>
      </c>
      <c r="D54" s="41" t="s">
        <v>95</v>
      </c>
      <c r="E54" s="64">
        <v>7983</v>
      </c>
      <c r="F54" s="65">
        <f t="shared" si="10"/>
        <v>7983</v>
      </c>
      <c r="G54" s="64"/>
      <c r="H54" s="66"/>
      <c r="I54" s="73">
        <v>3.9960000000000002E-2</v>
      </c>
      <c r="J54" s="66">
        <f t="shared" si="8"/>
        <v>0</v>
      </c>
      <c r="K54" s="78">
        <f t="shared" si="9"/>
        <v>319.00068000000005</v>
      </c>
    </row>
    <row r="55" spans="1:11" ht="21" customHeight="1">
      <c r="A55" s="83">
        <f t="shared" si="2"/>
        <v>52</v>
      </c>
      <c r="B55" s="40">
        <v>44866</v>
      </c>
      <c r="C55" s="41" t="s">
        <v>14</v>
      </c>
      <c r="D55" s="41" t="s">
        <v>91</v>
      </c>
      <c r="E55" s="64">
        <v>1344</v>
      </c>
      <c r="F55" s="65">
        <f t="shared" si="10"/>
        <v>1344</v>
      </c>
      <c r="G55" s="64"/>
      <c r="H55" s="66"/>
      <c r="I55" s="73">
        <v>6.1500000000000001E-3</v>
      </c>
      <c r="J55" s="66">
        <f t="shared" si="8"/>
        <v>0</v>
      </c>
      <c r="K55" s="78">
        <f t="shared" si="9"/>
        <v>8.2656000000000009</v>
      </c>
    </row>
    <row r="56" spans="1:11" ht="21" customHeight="1">
      <c r="A56" s="83">
        <f t="shared" si="2"/>
        <v>53</v>
      </c>
      <c r="B56" s="40">
        <v>44866</v>
      </c>
      <c r="C56" s="41" t="s">
        <v>14</v>
      </c>
      <c r="D56" s="41" t="s">
        <v>75</v>
      </c>
      <c r="E56" s="64">
        <v>210</v>
      </c>
      <c r="F56" s="65"/>
      <c r="G56" s="64">
        <f>E56</f>
        <v>210</v>
      </c>
      <c r="H56" s="66"/>
      <c r="I56" s="73">
        <v>4.8500000000000001E-2</v>
      </c>
      <c r="J56" s="66">
        <f t="shared" si="8"/>
        <v>0</v>
      </c>
      <c r="K56" s="78">
        <f t="shared" si="9"/>
        <v>10.185</v>
      </c>
    </row>
    <row r="57" spans="1:11" ht="21" customHeight="1">
      <c r="A57" s="83">
        <f t="shared" si="2"/>
        <v>54</v>
      </c>
      <c r="B57" s="40">
        <v>44866</v>
      </c>
      <c r="C57" s="41" t="s">
        <v>14</v>
      </c>
      <c r="D57" s="41" t="s">
        <v>103</v>
      </c>
      <c r="E57" s="64">
        <v>40</v>
      </c>
      <c r="F57" s="65">
        <f t="shared" ref="F57:F65" si="11">E57</f>
        <v>40</v>
      </c>
      <c r="G57" s="64"/>
      <c r="H57" s="66"/>
      <c r="I57" s="73">
        <v>0.06</v>
      </c>
      <c r="J57" s="66">
        <f t="shared" si="8"/>
        <v>0</v>
      </c>
      <c r="K57" s="78">
        <f t="shared" si="9"/>
        <v>2.4</v>
      </c>
    </row>
    <row r="58" spans="1:11" ht="21" customHeight="1">
      <c r="A58" s="83">
        <f t="shared" si="2"/>
        <v>55</v>
      </c>
      <c r="B58" s="40">
        <v>44866</v>
      </c>
      <c r="C58" s="41" t="s">
        <v>14</v>
      </c>
      <c r="D58" s="41" t="s">
        <v>104</v>
      </c>
      <c r="E58" s="64">
        <v>1331</v>
      </c>
      <c r="F58" s="65">
        <f t="shared" si="11"/>
        <v>1331</v>
      </c>
      <c r="G58" s="64"/>
      <c r="H58" s="66"/>
      <c r="I58" s="73">
        <v>6.1500000000000001E-3</v>
      </c>
      <c r="J58" s="66">
        <f t="shared" si="8"/>
        <v>0</v>
      </c>
      <c r="K58" s="78">
        <f t="shared" si="9"/>
        <v>8.1856500000000008</v>
      </c>
    </row>
    <row r="59" spans="1:11" ht="21" customHeight="1">
      <c r="A59" s="83">
        <f t="shared" si="2"/>
        <v>56</v>
      </c>
      <c r="B59" s="40">
        <v>44866</v>
      </c>
      <c r="C59" s="41" t="s">
        <v>14</v>
      </c>
      <c r="D59" s="41" t="s">
        <v>93</v>
      </c>
      <c r="E59" s="64">
        <v>125484</v>
      </c>
      <c r="F59" s="65">
        <f t="shared" si="11"/>
        <v>125484</v>
      </c>
      <c r="G59" s="64"/>
      <c r="H59" s="66"/>
      <c r="I59" s="73">
        <v>4.5500000000000002E-3</v>
      </c>
      <c r="J59" s="66">
        <f t="shared" si="8"/>
        <v>0</v>
      </c>
      <c r="K59" s="78">
        <f t="shared" si="9"/>
        <v>570.95220000000006</v>
      </c>
    </row>
    <row r="60" spans="1:11" ht="21" customHeight="1">
      <c r="A60" s="83">
        <f t="shared" si="2"/>
        <v>57</v>
      </c>
      <c r="B60" s="40">
        <v>44866</v>
      </c>
      <c r="C60" s="41" t="s">
        <v>14</v>
      </c>
      <c r="D60" s="41" t="s">
        <v>87</v>
      </c>
      <c r="E60" s="64">
        <v>654</v>
      </c>
      <c r="F60" s="65">
        <f t="shared" si="11"/>
        <v>654</v>
      </c>
      <c r="G60" s="64"/>
      <c r="H60" s="66"/>
      <c r="I60" s="73">
        <v>5.11E-3</v>
      </c>
      <c r="J60" s="66">
        <f t="shared" si="8"/>
        <v>0</v>
      </c>
      <c r="K60" s="78">
        <f t="shared" si="9"/>
        <v>3.3419400000000001</v>
      </c>
    </row>
    <row r="61" spans="1:11" ht="21" customHeight="1">
      <c r="A61" s="83">
        <f t="shared" si="2"/>
        <v>58</v>
      </c>
      <c r="B61" s="40">
        <v>44866</v>
      </c>
      <c r="C61" s="41" t="s">
        <v>14</v>
      </c>
      <c r="D61" s="41" t="s">
        <v>97</v>
      </c>
      <c r="E61" s="64">
        <v>63948</v>
      </c>
      <c r="F61" s="65">
        <f t="shared" si="11"/>
        <v>63948</v>
      </c>
      <c r="G61" s="64"/>
      <c r="H61" s="66"/>
      <c r="I61" s="73">
        <v>5.11E-3</v>
      </c>
      <c r="J61" s="66">
        <f t="shared" si="8"/>
        <v>0</v>
      </c>
      <c r="K61" s="78">
        <f t="shared" si="9"/>
        <v>326.77427999999998</v>
      </c>
    </row>
    <row r="62" spans="1:11" ht="21" customHeight="1">
      <c r="A62" s="83">
        <f t="shared" si="2"/>
        <v>59</v>
      </c>
      <c r="B62" s="40">
        <v>44866</v>
      </c>
      <c r="C62" s="41" t="s">
        <v>16</v>
      </c>
      <c r="D62" s="41" t="s">
        <v>101</v>
      </c>
      <c r="E62" s="64">
        <v>144</v>
      </c>
      <c r="F62" s="65">
        <f t="shared" si="11"/>
        <v>144</v>
      </c>
      <c r="G62" s="64"/>
      <c r="H62" s="66"/>
      <c r="I62" s="73">
        <v>3.98E-3</v>
      </c>
      <c r="J62" s="66">
        <f t="shared" si="8"/>
        <v>0</v>
      </c>
      <c r="K62" s="78">
        <f t="shared" si="9"/>
        <v>0.57311999999999996</v>
      </c>
    </row>
    <row r="63" spans="1:11" ht="21" customHeight="1">
      <c r="A63" s="83">
        <f t="shared" si="2"/>
        <v>60</v>
      </c>
      <c r="B63" s="40">
        <v>44866</v>
      </c>
      <c r="C63" s="41" t="s">
        <v>16</v>
      </c>
      <c r="D63" s="41" t="s">
        <v>99</v>
      </c>
      <c r="E63" s="64">
        <v>144</v>
      </c>
      <c r="F63" s="65">
        <f t="shared" si="11"/>
        <v>144</v>
      </c>
      <c r="G63" s="64"/>
      <c r="H63" s="66"/>
      <c r="I63" s="73">
        <v>8.7399999999999995E-3</v>
      </c>
      <c r="J63" s="66">
        <f t="shared" si="8"/>
        <v>0</v>
      </c>
      <c r="K63" s="78">
        <f t="shared" si="9"/>
        <v>1.2585599999999999</v>
      </c>
    </row>
    <row r="64" spans="1:11" ht="21" customHeight="1">
      <c r="A64" s="83">
        <f t="shared" si="2"/>
        <v>61</v>
      </c>
      <c r="B64" s="40">
        <v>44866</v>
      </c>
      <c r="C64" s="41" t="s">
        <v>16</v>
      </c>
      <c r="D64" s="41" t="s">
        <v>100</v>
      </c>
      <c r="E64" s="64">
        <v>288</v>
      </c>
      <c r="F64" s="65">
        <f t="shared" si="11"/>
        <v>288</v>
      </c>
      <c r="G64" s="64"/>
      <c r="H64" s="66"/>
      <c r="I64" s="73">
        <v>5.47E-3</v>
      </c>
      <c r="J64" s="66">
        <f t="shared" si="8"/>
        <v>0</v>
      </c>
      <c r="K64" s="78">
        <f t="shared" si="9"/>
        <v>1.5753600000000001</v>
      </c>
    </row>
    <row r="65" spans="1:11" ht="21" customHeight="1">
      <c r="A65" s="83">
        <f t="shared" si="2"/>
        <v>62</v>
      </c>
      <c r="B65" s="40">
        <v>44866</v>
      </c>
      <c r="C65" s="41" t="s">
        <v>16</v>
      </c>
      <c r="D65" s="41" t="s">
        <v>96</v>
      </c>
      <c r="E65" s="64">
        <v>10526</v>
      </c>
      <c r="F65" s="65">
        <f t="shared" si="11"/>
        <v>10526</v>
      </c>
      <c r="G65" s="64"/>
      <c r="H65" s="66"/>
      <c r="I65" s="73">
        <v>4.5500000000000002E-3</v>
      </c>
      <c r="J65" s="66">
        <f t="shared" si="8"/>
        <v>0</v>
      </c>
      <c r="K65" s="78">
        <f t="shared" si="9"/>
        <v>47.893300000000004</v>
      </c>
    </row>
    <row r="66" spans="1:11" ht="21" customHeight="1">
      <c r="A66" s="83">
        <f t="shared" si="2"/>
        <v>63</v>
      </c>
      <c r="B66" s="40">
        <v>44866</v>
      </c>
      <c r="C66" s="41" t="s">
        <v>16</v>
      </c>
      <c r="D66" s="41" t="s">
        <v>71</v>
      </c>
      <c r="E66" s="64">
        <v>204</v>
      </c>
      <c r="F66" s="65"/>
      <c r="G66" s="64">
        <f>E66</f>
        <v>204</v>
      </c>
      <c r="H66" s="66"/>
      <c r="I66" s="73">
        <v>3.2969999999999999E-2</v>
      </c>
      <c r="J66" s="66">
        <f t="shared" si="8"/>
        <v>0</v>
      </c>
      <c r="K66" s="78">
        <f t="shared" si="9"/>
        <v>6.7258800000000001</v>
      </c>
    </row>
    <row r="67" spans="1:11" ht="21" customHeight="1">
      <c r="A67" s="83">
        <f t="shared" si="2"/>
        <v>64</v>
      </c>
      <c r="B67" s="40">
        <v>44866</v>
      </c>
      <c r="C67" s="41" t="s">
        <v>16</v>
      </c>
      <c r="D67" s="41" t="s">
        <v>59</v>
      </c>
      <c r="E67" s="64">
        <v>62304</v>
      </c>
      <c r="F67" s="65">
        <f t="shared" ref="F67:F82" si="12">E67</f>
        <v>62304</v>
      </c>
      <c r="G67" s="64"/>
      <c r="H67" s="66"/>
      <c r="I67" s="73">
        <v>2.8420000000000001E-2</v>
      </c>
      <c r="J67" s="66">
        <f t="shared" si="8"/>
        <v>0</v>
      </c>
      <c r="K67" s="78">
        <f t="shared" si="9"/>
        <v>1770.67968</v>
      </c>
    </row>
    <row r="68" spans="1:11" ht="21" customHeight="1">
      <c r="A68" s="83">
        <f t="shared" si="2"/>
        <v>65</v>
      </c>
      <c r="B68" s="40">
        <v>44866</v>
      </c>
      <c r="C68" s="41" t="s">
        <v>16</v>
      </c>
      <c r="D68" s="41" t="s">
        <v>94</v>
      </c>
      <c r="E68" s="64">
        <v>124608</v>
      </c>
      <c r="F68" s="65">
        <f t="shared" si="12"/>
        <v>124608</v>
      </c>
      <c r="G68" s="64"/>
      <c r="H68" s="66"/>
      <c r="I68" s="73">
        <v>3.3E-3</v>
      </c>
      <c r="J68" s="66">
        <f t="shared" si="8"/>
        <v>0</v>
      </c>
      <c r="K68" s="78">
        <f t="shared" si="9"/>
        <v>411.20639999999997</v>
      </c>
    </row>
    <row r="69" spans="1:11" ht="21" customHeight="1">
      <c r="A69" s="83">
        <f t="shared" si="2"/>
        <v>66</v>
      </c>
      <c r="B69" s="40">
        <v>44866</v>
      </c>
      <c r="C69" s="41" t="s">
        <v>16</v>
      </c>
      <c r="D69" s="41" t="s">
        <v>108</v>
      </c>
      <c r="E69" s="64">
        <v>2016</v>
      </c>
      <c r="F69" s="65">
        <f t="shared" si="12"/>
        <v>2016</v>
      </c>
      <c r="G69" s="64"/>
      <c r="H69" s="66"/>
      <c r="I69" s="73">
        <v>1.013E-2</v>
      </c>
      <c r="J69" s="66">
        <f t="shared" si="8"/>
        <v>0</v>
      </c>
      <c r="K69" s="78">
        <f t="shared" si="9"/>
        <v>20.422080000000001</v>
      </c>
    </row>
    <row r="70" spans="1:11" ht="21" customHeight="1">
      <c r="A70" s="83">
        <f t="shared" si="2"/>
        <v>67</v>
      </c>
      <c r="B70" s="40">
        <v>44866</v>
      </c>
      <c r="C70" s="41" t="s">
        <v>16</v>
      </c>
      <c r="D70" s="41" t="s">
        <v>109</v>
      </c>
      <c r="E70" s="64">
        <v>2016</v>
      </c>
      <c r="F70" s="65">
        <f t="shared" si="12"/>
        <v>2016</v>
      </c>
      <c r="G70" s="64"/>
      <c r="H70" s="66"/>
      <c r="I70" s="73">
        <v>3.4099999999999998E-3</v>
      </c>
      <c r="J70" s="66">
        <f t="shared" si="8"/>
        <v>0</v>
      </c>
      <c r="K70" s="78">
        <f t="shared" si="9"/>
        <v>6.8745599999999998</v>
      </c>
    </row>
    <row r="71" spans="1:11" ht="21" customHeight="1">
      <c r="A71" s="83">
        <f t="shared" si="2"/>
        <v>68</v>
      </c>
      <c r="B71" s="40">
        <v>44866</v>
      </c>
      <c r="C71" s="41" t="s">
        <v>16</v>
      </c>
      <c r="D71" s="41" t="s">
        <v>95</v>
      </c>
      <c r="E71" s="64">
        <v>2652</v>
      </c>
      <c r="F71" s="65">
        <f t="shared" si="12"/>
        <v>2652</v>
      </c>
      <c r="G71" s="64"/>
      <c r="H71" s="66"/>
      <c r="I71" s="73">
        <v>4.2340000000000003E-2</v>
      </c>
      <c r="J71" s="66">
        <f t="shared" si="8"/>
        <v>0</v>
      </c>
      <c r="K71" s="78">
        <f t="shared" si="9"/>
        <v>112.28568000000001</v>
      </c>
    </row>
    <row r="72" spans="1:11" ht="21" customHeight="1">
      <c r="A72" s="83">
        <f t="shared" si="2"/>
        <v>69</v>
      </c>
      <c r="B72" s="40">
        <v>44866</v>
      </c>
      <c r="C72" s="41" t="s">
        <v>16</v>
      </c>
      <c r="D72" s="41" t="s">
        <v>110</v>
      </c>
      <c r="E72" s="64">
        <v>1114</v>
      </c>
      <c r="F72" s="65">
        <f t="shared" si="12"/>
        <v>1114</v>
      </c>
      <c r="G72" s="64"/>
      <c r="H72" s="66"/>
      <c r="I72" s="73">
        <v>1.8759999999999999E-2</v>
      </c>
      <c r="J72" s="66">
        <f t="shared" si="8"/>
        <v>0</v>
      </c>
      <c r="K72" s="78">
        <f t="shared" si="9"/>
        <v>20.89864</v>
      </c>
    </row>
    <row r="73" spans="1:11" ht="21" customHeight="1">
      <c r="A73" s="83">
        <f t="shared" si="2"/>
        <v>70</v>
      </c>
      <c r="B73" s="40">
        <v>44866</v>
      </c>
      <c r="C73" s="41" t="s">
        <v>16</v>
      </c>
      <c r="D73" s="41" t="s">
        <v>92</v>
      </c>
      <c r="E73" s="64">
        <v>600</v>
      </c>
      <c r="F73" s="65">
        <f t="shared" si="12"/>
        <v>600</v>
      </c>
      <c r="G73" s="64"/>
      <c r="H73" s="66"/>
      <c r="I73" s="73">
        <v>2.274E-2</v>
      </c>
      <c r="J73" s="66">
        <f t="shared" si="8"/>
        <v>0</v>
      </c>
      <c r="K73" s="78">
        <f t="shared" si="9"/>
        <v>13.644</v>
      </c>
    </row>
    <row r="74" spans="1:11" ht="21" customHeight="1">
      <c r="A74" s="83">
        <f t="shared" si="2"/>
        <v>71</v>
      </c>
      <c r="B74" s="40">
        <v>44866</v>
      </c>
      <c r="C74" s="41" t="s">
        <v>16</v>
      </c>
      <c r="D74" s="41" t="s">
        <v>111</v>
      </c>
      <c r="E74" s="64">
        <v>60</v>
      </c>
      <c r="F74" s="65">
        <f t="shared" si="12"/>
        <v>60</v>
      </c>
      <c r="G74" s="64"/>
      <c r="H74" s="66"/>
      <c r="I74" s="73">
        <v>3.98E-3</v>
      </c>
      <c r="J74" s="66">
        <f t="shared" si="8"/>
        <v>0</v>
      </c>
      <c r="K74" s="78">
        <f t="shared" si="9"/>
        <v>0.23880000000000001</v>
      </c>
    </row>
    <row r="75" spans="1:11" ht="21" customHeight="1">
      <c r="A75" s="83">
        <f t="shared" si="2"/>
        <v>72</v>
      </c>
      <c r="B75" s="40">
        <v>44866</v>
      </c>
      <c r="C75" s="41" t="s">
        <v>16</v>
      </c>
      <c r="D75" s="41" t="s">
        <v>93</v>
      </c>
      <c r="E75" s="64">
        <v>138123</v>
      </c>
      <c r="F75" s="65">
        <f t="shared" si="12"/>
        <v>138123</v>
      </c>
      <c r="G75" s="64"/>
      <c r="H75" s="66"/>
      <c r="I75" s="73">
        <v>4.5500000000000002E-3</v>
      </c>
      <c r="J75" s="66">
        <f t="shared" si="8"/>
        <v>0</v>
      </c>
      <c r="K75" s="78">
        <f t="shared" si="9"/>
        <v>628.45965000000001</v>
      </c>
    </row>
    <row r="76" spans="1:11" ht="21" customHeight="1">
      <c r="A76" s="83">
        <f t="shared" si="2"/>
        <v>73</v>
      </c>
      <c r="B76" s="40">
        <v>44866</v>
      </c>
      <c r="C76" s="41" t="s">
        <v>16</v>
      </c>
      <c r="D76" s="41" t="s">
        <v>87</v>
      </c>
      <c r="E76" s="64">
        <v>18768</v>
      </c>
      <c r="F76" s="65">
        <f t="shared" si="12"/>
        <v>18768</v>
      </c>
      <c r="G76" s="64"/>
      <c r="H76" s="66"/>
      <c r="I76" s="73">
        <v>5.11E-3</v>
      </c>
      <c r="J76" s="66">
        <f t="shared" si="8"/>
        <v>0</v>
      </c>
      <c r="K76" s="78">
        <f t="shared" si="9"/>
        <v>95.904479999999992</v>
      </c>
    </row>
    <row r="77" spans="1:11" ht="21" customHeight="1">
      <c r="A77" s="83">
        <f t="shared" si="2"/>
        <v>74</v>
      </c>
      <c r="B77" s="40">
        <v>44866</v>
      </c>
      <c r="C77" s="41" t="s">
        <v>16</v>
      </c>
      <c r="D77" s="41" t="s">
        <v>97</v>
      </c>
      <c r="E77" s="64">
        <v>2736</v>
      </c>
      <c r="F77" s="65">
        <f t="shared" si="12"/>
        <v>2736</v>
      </c>
      <c r="G77" s="64"/>
      <c r="H77" s="66"/>
      <c r="I77" s="73">
        <v>5.11E-3</v>
      </c>
      <c r="J77" s="66">
        <f t="shared" si="8"/>
        <v>0</v>
      </c>
      <c r="K77" s="78">
        <f t="shared" si="9"/>
        <v>13.98096</v>
      </c>
    </row>
    <row r="78" spans="1:11" ht="21" customHeight="1">
      <c r="A78" s="83">
        <f t="shared" si="2"/>
        <v>75</v>
      </c>
      <c r="B78" s="40">
        <v>44867</v>
      </c>
      <c r="C78" s="41" t="s">
        <v>19</v>
      </c>
      <c r="D78" s="41" t="s">
        <v>92</v>
      </c>
      <c r="E78" s="64">
        <v>288</v>
      </c>
      <c r="F78" s="68">
        <f t="shared" si="12"/>
        <v>288</v>
      </c>
      <c r="G78" s="64"/>
      <c r="H78" s="66">
        <v>523</v>
      </c>
      <c r="I78" s="73"/>
      <c r="J78" s="66">
        <f t="shared" si="8"/>
        <v>150624</v>
      </c>
      <c r="K78" s="78">
        <f t="shared" si="9"/>
        <v>0</v>
      </c>
    </row>
    <row r="79" spans="1:11" ht="21" customHeight="1">
      <c r="A79" s="83">
        <f t="shared" si="2"/>
        <v>76</v>
      </c>
      <c r="B79" s="40">
        <v>44867</v>
      </c>
      <c r="C79" s="41" t="s">
        <v>19</v>
      </c>
      <c r="D79" s="41" t="s">
        <v>95</v>
      </c>
      <c r="E79" s="64">
        <v>14946</v>
      </c>
      <c r="F79" s="68">
        <f t="shared" si="12"/>
        <v>14946</v>
      </c>
      <c r="G79" s="64"/>
      <c r="H79" s="66">
        <v>967</v>
      </c>
      <c r="I79" s="73"/>
      <c r="J79" s="66">
        <f t="shared" si="8"/>
        <v>14452782</v>
      </c>
      <c r="K79" s="78">
        <f t="shared" si="9"/>
        <v>0</v>
      </c>
    </row>
    <row r="80" spans="1:11" ht="21" customHeight="1">
      <c r="A80" s="83">
        <f t="shared" si="2"/>
        <v>77</v>
      </c>
      <c r="B80" s="40">
        <v>44867</v>
      </c>
      <c r="C80" s="41" t="s">
        <v>19</v>
      </c>
      <c r="D80" s="41" t="s">
        <v>97</v>
      </c>
      <c r="E80" s="64">
        <v>28072</v>
      </c>
      <c r="F80" s="65">
        <f t="shared" si="12"/>
        <v>28072</v>
      </c>
      <c r="G80" s="64"/>
      <c r="H80" s="66">
        <v>118</v>
      </c>
      <c r="I80" s="73"/>
      <c r="J80" s="66">
        <f t="shared" si="8"/>
        <v>3312496</v>
      </c>
      <c r="K80" s="78">
        <f t="shared" si="9"/>
        <v>0</v>
      </c>
    </row>
    <row r="81" spans="1:11" ht="21" customHeight="1">
      <c r="A81" s="83">
        <f t="shared" si="2"/>
        <v>78</v>
      </c>
      <c r="B81" s="40">
        <v>44867</v>
      </c>
      <c r="C81" s="41" t="s">
        <v>19</v>
      </c>
      <c r="D81" s="41" t="s">
        <v>86</v>
      </c>
      <c r="E81" s="64">
        <v>730</v>
      </c>
      <c r="F81" s="65">
        <f t="shared" si="12"/>
        <v>730</v>
      </c>
      <c r="G81" s="64"/>
      <c r="H81" s="66">
        <v>414</v>
      </c>
      <c r="I81" s="73"/>
      <c r="J81" s="66">
        <f t="shared" si="8"/>
        <v>302220</v>
      </c>
      <c r="K81" s="78">
        <f t="shared" si="9"/>
        <v>0</v>
      </c>
    </row>
    <row r="82" spans="1:11" ht="21" customHeight="1">
      <c r="A82" s="83">
        <f t="shared" si="2"/>
        <v>79</v>
      </c>
      <c r="B82" s="40">
        <v>44867</v>
      </c>
      <c r="C82" s="41" t="s">
        <v>19</v>
      </c>
      <c r="D82" s="41" t="s">
        <v>93</v>
      </c>
      <c r="E82" s="64">
        <v>19024</v>
      </c>
      <c r="F82" s="65">
        <f t="shared" si="12"/>
        <v>19024</v>
      </c>
      <c r="G82" s="64"/>
      <c r="H82" s="66">
        <v>105</v>
      </c>
      <c r="I82" s="73"/>
      <c r="J82" s="66">
        <f t="shared" si="8"/>
        <v>1997520</v>
      </c>
      <c r="K82" s="78">
        <f t="shared" si="9"/>
        <v>0</v>
      </c>
    </row>
    <row r="83" spans="1:11" ht="21" customHeight="1">
      <c r="A83" s="83">
        <f t="shared" si="2"/>
        <v>80</v>
      </c>
      <c r="B83" s="40">
        <v>44867</v>
      </c>
      <c r="C83" s="41" t="s">
        <v>21</v>
      </c>
      <c r="D83" s="41" t="s">
        <v>70</v>
      </c>
      <c r="E83" s="64">
        <v>1025</v>
      </c>
      <c r="F83" s="65"/>
      <c r="G83" s="64">
        <f>E83</f>
        <v>1025</v>
      </c>
      <c r="H83" s="66"/>
      <c r="I83" s="73">
        <v>4.598E-2</v>
      </c>
      <c r="J83" s="66">
        <f t="shared" si="8"/>
        <v>0</v>
      </c>
      <c r="K83" s="78">
        <f t="shared" si="9"/>
        <v>47.1295</v>
      </c>
    </row>
    <row r="84" spans="1:11" ht="21" customHeight="1">
      <c r="A84" s="83">
        <f t="shared" si="2"/>
        <v>81</v>
      </c>
      <c r="B84" s="40">
        <v>44867</v>
      </c>
      <c r="C84" s="41" t="s">
        <v>28</v>
      </c>
      <c r="D84" s="41" t="s">
        <v>59</v>
      </c>
      <c r="E84" s="64">
        <v>3619</v>
      </c>
      <c r="F84" s="65">
        <f>E84</f>
        <v>3619</v>
      </c>
      <c r="G84" s="64"/>
      <c r="H84" s="66"/>
      <c r="I84" s="73">
        <v>2.8420000000000001E-2</v>
      </c>
      <c r="J84" s="66">
        <f t="shared" si="8"/>
        <v>0</v>
      </c>
      <c r="K84" s="78">
        <f t="shared" si="9"/>
        <v>102.85198</v>
      </c>
    </row>
    <row r="85" spans="1:11" ht="21" customHeight="1">
      <c r="A85" s="83">
        <f t="shared" si="2"/>
        <v>82</v>
      </c>
      <c r="B85" s="40">
        <v>44867</v>
      </c>
      <c r="C85" s="41" t="s">
        <v>28</v>
      </c>
      <c r="D85" s="41" t="s">
        <v>94</v>
      </c>
      <c r="E85" s="64">
        <v>7230</v>
      </c>
      <c r="F85" s="65">
        <f>E85</f>
        <v>7230</v>
      </c>
      <c r="G85" s="64"/>
      <c r="H85" s="66"/>
      <c r="I85" s="73">
        <v>3.3E-3</v>
      </c>
      <c r="J85" s="66">
        <f t="shared" si="8"/>
        <v>0</v>
      </c>
      <c r="K85" s="78">
        <f t="shared" si="9"/>
        <v>23.858999999999998</v>
      </c>
    </row>
    <row r="86" spans="1:11" ht="21" customHeight="1">
      <c r="A86" s="83">
        <f t="shared" si="2"/>
        <v>83</v>
      </c>
      <c r="B86" s="40">
        <v>44867</v>
      </c>
      <c r="C86" s="41" t="s">
        <v>28</v>
      </c>
      <c r="D86" s="41" t="s">
        <v>93</v>
      </c>
      <c r="E86" s="64">
        <v>1500</v>
      </c>
      <c r="F86" s="65">
        <f>E86</f>
        <v>1500</v>
      </c>
      <c r="G86" s="64"/>
      <c r="H86" s="66"/>
      <c r="I86" s="73">
        <v>4.5500000000000002E-3</v>
      </c>
      <c r="J86" s="66">
        <f t="shared" si="8"/>
        <v>0</v>
      </c>
      <c r="K86" s="78">
        <f t="shared" si="9"/>
        <v>6.8250000000000002</v>
      </c>
    </row>
    <row r="87" spans="1:11" ht="21" customHeight="1">
      <c r="A87" s="83">
        <f t="shared" si="2"/>
        <v>84</v>
      </c>
      <c r="B87" s="40">
        <v>44867</v>
      </c>
      <c r="C87" s="41" t="s">
        <v>22</v>
      </c>
      <c r="D87" s="41" t="s">
        <v>79</v>
      </c>
      <c r="E87" s="64">
        <v>4272</v>
      </c>
      <c r="F87" s="65"/>
      <c r="G87" s="64">
        <f>E87</f>
        <v>4272</v>
      </c>
      <c r="H87" s="66"/>
      <c r="I87" s="73">
        <v>3.32E-2</v>
      </c>
      <c r="J87" s="66">
        <f t="shared" si="8"/>
        <v>0</v>
      </c>
      <c r="K87" s="78">
        <f t="shared" si="9"/>
        <v>141.8304</v>
      </c>
    </row>
    <row r="88" spans="1:11" ht="21" customHeight="1">
      <c r="A88" s="83">
        <f t="shared" si="2"/>
        <v>85</v>
      </c>
      <c r="B88" s="40">
        <v>44867</v>
      </c>
      <c r="C88" s="41" t="s">
        <v>22</v>
      </c>
      <c r="D88" s="41" t="s">
        <v>84</v>
      </c>
      <c r="E88" s="64">
        <v>867</v>
      </c>
      <c r="F88" s="65"/>
      <c r="G88" s="64">
        <f>E88</f>
        <v>867</v>
      </c>
      <c r="H88" s="66"/>
      <c r="I88" s="73">
        <v>4.2999999999999997E-2</v>
      </c>
      <c r="J88" s="66">
        <f t="shared" si="8"/>
        <v>0</v>
      </c>
      <c r="K88" s="78">
        <f t="shared" si="9"/>
        <v>37.280999999999999</v>
      </c>
    </row>
    <row r="89" spans="1:11" ht="21" customHeight="1">
      <c r="A89" s="83">
        <f t="shared" si="2"/>
        <v>86</v>
      </c>
      <c r="B89" s="40">
        <v>44867</v>
      </c>
      <c r="C89" s="41" t="s">
        <v>22</v>
      </c>
      <c r="D89" s="41" t="s">
        <v>75</v>
      </c>
      <c r="E89" s="64">
        <v>155046</v>
      </c>
      <c r="F89" s="65"/>
      <c r="G89" s="64">
        <f>E89</f>
        <v>155046</v>
      </c>
      <c r="H89" s="66"/>
      <c r="I89" s="73">
        <v>0.05</v>
      </c>
      <c r="J89" s="66">
        <f t="shared" si="8"/>
        <v>0</v>
      </c>
      <c r="K89" s="78">
        <f t="shared" si="9"/>
        <v>7752.3</v>
      </c>
    </row>
    <row r="90" spans="1:11" ht="21" customHeight="1">
      <c r="A90" s="83">
        <f t="shared" si="2"/>
        <v>87</v>
      </c>
      <c r="B90" s="40">
        <v>44867</v>
      </c>
      <c r="C90" s="41" t="s">
        <v>22</v>
      </c>
      <c r="D90" s="41" t="s">
        <v>105</v>
      </c>
      <c r="E90" s="64">
        <v>2382</v>
      </c>
      <c r="F90" s="65">
        <f t="shared" ref="F90:F99" si="13">E90</f>
        <v>2382</v>
      </c>
      <c r="G90" s="64"/>
      <c r="H90" s="66"/>
      <c r="I90" s="73">
        <v>3.3999999999999998E-3</v>
      </c>
      <c r="J90" s="66">
        <f t="shared" si="8"/>
        <v>0</v>
      </c>
      <c r="K90" s="78">
        <f t="shared" si="9"/>
        <v>8.0987999999999989</v>
      </c>
    </row>
    <row r="91" spans="1:11" ht="21" customHeight="1">
      <c r="A91" s="83">
        <f t="shared" si="2"/>
        <v>88</v>
      </c>
      <c r="B91" s="40">
        <v>44867</v>
      </c>
      <c r="C91" s="41" t="s">
        <v>22</v>
      </c>
      <c r="D91" s="41" t="s">
        <v>106</v>
      </c>
      <c r="E91" s="64">
        <v>2382</v>
      </c>
      <c r="F91" s="65">
        <f t="shared" si="13"/>
        <v>2382</v>
      </c>
      <c r="G91" s="64"/>
      <c r="H91" s="66"/>
      <c r="I91" s="73">
        <v>1.09E-2</v>
      </c>
      <c r="J91" s="66">
        <f t="shared" si="8"/>
        <v>0</v>
      </c>
      <c r="K91" s="78">
        <f t="shared" si="9"/>
        <v>25.963799999999999</v>
      </c>
    </row>
    <row r="92" spans="1:11" ht="21" customHeight="1">
      <c r="A92" s="83">
        <f t="shared" si="2"/>
        <v>89</v>
      </c>
      <c r="B92" s="40">
        <v>44867</v>
      </c>
      <c r="C92" s="41" t="s">
        <v>22</v>
      </c>
      <c r="D92" s="41" t="s">
        <v>104</v>
      </c>
      <c r="E92" s="64">
        <v>4212</v>
      </c>
      <c r="F92" s="65">
        <f t="shared" si="13"/>
        <v>4212</v>
      </c>
      <c r="G92" s="64"/>
      <c r="H92" s="66"/>
      <c r="I92" s="73">
        <v>6.1999999999999998E-3</v>
      </c>
      <c r="J92" s="66">
        <f t="shared" si="8"/>
        <v>0</v>
      </c>
      <c r="K92" s="78">
        <f t="shared" si="9"/>
        <v>26.1144</v>
      </c>
    </row>
    <row r="93" spans="1:11" ht="21" customHeight="1">
      <c r="A93" s="83">
        <f t="shared" si="2"/>
        <v>90</v>
      </c>
      <c r="B93" s="40">
        <v>44867</v>
      </c>
      <c r="C93" s="41" t="s">
        <v>22</v>
      </c>
      <c r="D93" s="41" t="s">
        <v>107</v>
      </c>
      <c r="E93" s="64">
        <v>71313</v>
      </c>
      <c r="F93" s="65">
        <f t="shared" si="13"/>
        <v>71313</v>
      </c>
      <c r="G93" s="64"/>
      <c r="H93" s="66"/>
      <c r="I93" s="73">
        <v>2.86E-2</v>
      </c>
      <c r="J93" s="66">
        <f t="shared" si="8"/>
        <v>0</v>
      </c>
      <c r="K93" s="78">
        <f t="shared" si="9"/>
        <v>2039.5518</v>
      </c>
    </row>
    <row r="94" spans="1:11" ht="21" customHeight="1">
      <c r="A94" s="83">
        <f t="shared" si="2"/>
        <v>91</v>
      </c>
      <c r="B94" s="40">
        <v>44867</v>
      </c>
      <c r="C94" s="41" t="s">
        <v>22</v>
      </c>
      <c r="D94" s="41" t="s">
        <v>87</v>
      </c>
      <c r="E94" s="64">
        <v>54931</v>
      </c>
      <c r="F94" s="65">
        <f t="shared" si="13"/>
        <v>54931</v>
      </c>
      <c r="G94" s="64"/>
      <c r="H94" s="66"/>
      <c r="I94" s="73">
        <v>5.1000000000000004E-3</v>
      </c>
      <c r="J94" s="66">
        <f t="shared" si="8"/>
        <v>0</v>
      </c>
      <c r="K94" s="78">
        <f t="shared" si="9"/>
        <v>280.1481</v>
      </c>
    </row>
    <row r="95" spans="1:11" ht="21" customHeight="1">
      <c r="A95" s="83">
        <f t="shared" si="2"/>
        <v>92</v>
      </c>
      <c r="B95" s="40">
        <v>44867</v>
      </c>
      <c r="C95" s="41" t="s">
        <v>22</v>
      </c>
      <c r="D95" s="41" t="s">
        <v>97</v>
      </c>
      <c r="E95" s="64">
        <v>5802</v>
      </c>
      <c r="F95" s="65">
        <f t="shared" si="13"/>
        <v>5802</v>
      </c>
      <c r="G95" s="64"/>
      <c r="H95" s="66"/>
      <c r="I95" s="73">
        <v>1.0200000000000001E-2</v>
      </c>
      <c r="J95" s="66">
        <f t="shared" si="8"/>
        <v>0</v>
      </c>
      <c r="K95" s="78">
        <f t="shared" si="9"/>
        <v>59.180400000000006</v>
      </c>
    </row>
    <row r="96" spans="1:11" ht="21" customHeight="1">
      <c r="A96" s="83">
        <f t="shared" si="2"/>
        <v>93</v>
      </c>
      <c r="B96" s="40">
        <v>44867</v>
      </c>
      <c r="C96" s="41" t="s">
        <v>16</v>
      </c>
      <c r="D96" s="41" t="s">
        <v>101</v>
      </c>
      <c r="E96" s="64">
        <v>54</v>
      </c>
      <c r="F96" s="65">
        <f t="shared" si="13"/>
        <v>54</v>
      </c>
      <c r="G96" s="64"/>
      <c r="H96" s="66"/>
      <c r="I96" s="73">
        <v>3.98E-3</v>
      </c>
      <c r="J96" s="66">
        <f t="shared" si="8"/>
        <v>0</v>
      </c>
      <c r="K96" s="78">
        <f t="shared" si="9"/>
        <v>0.21492</v>
      </c>
    </row>
    <row r="97" spans="1:11" ht="21" customHeight="1">
      <c r="A97" s="83">
        <f t="shared" si="2"/>
        <v>94</v>
      </c>
      <c r="B97" s="40">
        <v>44867</v>
      </c>
      <c r="C97" s="41" t="s">
        <v>16</v>
      </c>
      <c r="D97" s="41" t="s">
        <v>99</v>
      </c>
      <c r="E97" s="64">
        <v>54</v>
      </c>
      <c r="F97" s="65">
        <f t="shared" si="13"/>
        <v>54</v>
      </c>
      <c r="G97" s="64"/>
      <c r="H97" s="66"/>
      <c r="I97" s="73">
        <v>8.7399999999999995E-3</v>
      </c>
      <c r="J97" s="66">
        <f t="shared" si="8"/>
        <v>0</v>
      </c>
      <c r="K97" s="78">
        <f t="shared" si="9"/>
        <v>0.47195999999999999</v>
      </c>
    </row>
    <row r="98" spans="1:11" ht="21" customHeight="1">
      <c r="A98" s="83">
        <f t="shared" si="2"/>
        <v>95</v>
      </c>
      <c r="B98" s="40">
        <v>44867</v>
      </c>
      <c r="C98" s="41" t="s">
        <v>16</v>
      </c>
      <c r="D98" s="41" t="s">
        <v>100</v>
      </c>
      <c r="E98" s="64">
        <v>108</v>
      </c>
      <c r="F98" s="65">
        <f t="shared" si="13"/>
        <v>108</v>
      </c>
      <c r="G98" s="64"/>
      <c r="H98" s="66"/>
      <c r="I98" s="73">
        <v>5.47E-3</v>
      </c>
      <c r="J98" s="66">
        <f t="shared" si="8"/>
        <v>0</v>
      </c>
      <c r="K98" s="78">
        <f t="shared" si="9"/>
        <v>0.59075999999999995</v>
      </c>
    </row>
    <row r="99" spans="1:11" ht="21" customHeight="1">
      <c r="A99" s="83">
        <f t="shared" si="2"/>
        <v>96</v>
      </c>
      <c r="B99" s="40">
        <v>44867</v>
      </c>
      <c r="C99" s="41" t="s">
        <v>16</v>
      </c>
      <c r="D99" s="41" t="s">
        <v>96</v>
      </c>
      <c r="E99" s="64">
        <v>728</v>
      </c>
      <c r="F99" s="65">
        <f t="shared" si="13"/>
        <v>728</v>
      </c>
      <c r="G99" s="64"/>
      <c r="H99" s="66"/>
      <c r="I99" s="73">
        <v>4.5500000000000002E-3</v>
      </c>
      <c r="J99" s="66">
        <f t="shared" si="8"/>
        <v>0</v>
      </c>
      <c r="K99" s="78">
        <f t="shared" si="9"/>
        <v>3.3124000000000002</v>
      </c>
    </row>
    <row r="100" spans="1:11" ht="21" customHeight="1">
      <c r="A100" s="83">
        <f t="shared" si="2"/>
        <v>97</v>
      </c>
      <c r="B100" s="40">
        <v>44867</v>
      </c>
      <c r="C100" s="41" t="s">
        <v>16</v>
      </c>
      <c r="D100" s="41" t="s">
        <v>70</v>
      </c>
      <c r="E100" s="64">
        <v>50</v>
      </c>
      <c r="F100" s="65"/>
      <c r="G100" s="64">
        <f>E100</f>
        <v>50</v>
      </c>
      <c r="H100" s="66"/>
      <c r="I100" s="73">
        <v>4.6609999999999999E-2</v>
      </c>
      <c r="J100" s="66">
        <f t="shared" si="8"/>
        <v>0</v>
      </c>
      <c r="K100" s="78">
        <f t="shared" si="9"/>
        <v>2.3304999999999998</v>
      </c>
    </row>
    <row r="101" spans="1:11" ht="21" customHeight="1">
      <c r="A101" s="83">
        <f t="shared" si="2"/>
        <v>98</v>
      </c>
      <c r="B101" s="40">
        <v>44867</v>
      </c>
      <c r="C101" s="41" t="s">
        <v>16</v>
      </c>
      <c r="D101" s="41" t="s">
        <v>108</v>
      </c>
      <c r="E101" s="64">
        <v>216</v>
      </c>
      <c r="F101" s="65">
        <f>E101</f>
        <v>216</v>
      </c>
      <c r="G101" s="64"/>
      <c r="H101" s="66"/>
      <c r="I101" s="73">
        <v>1.013E-2</v>
      </c>
      <c r="J101" s="66">
        <f t="shared" si="8"/>
        <v>0</v>
      </c>
      <c r="K101" s="78">
        <f t="shared" si="9"/>
        <v>2.1880800000000002</v>
      </c>
    </row>
    <row r="102" spans="1:11" ht="21" customHeight="1">
      <c r="A102" s="83">
        <f t="shared" si="2"/>
        <v>99</v>
      </c>
      <c r="B102" s="40">
        <v>44867</v>
      </c>
      <c r="C102" s="41" t="s">
        <v>16</v>
      </c>
      <c r="D102" s="41" t="s">
        <v>109</v>
      </c>
      <c r="E102" s="64">
        <v>216</v>
      </c>
      <c r="F102" s="65">
        <f>E102</f>
        <v>216</v>
      </c>
      <c r="G102" s="64"/>
      <c r="H102" s="66"/>
      <c r="I102" s="73">
        <v>3.4099999999999998E-3</v>
      </c>
      <c r="J102" s="66">
        <f t="shared" si="8"/>
        <v>0</v>
      </c>
      <c r="K102" s="78">
        <f t="shared" si="9"/>
        <v>0.73655999999999999</v>
      </c>
    </row>
    <row r="103" spans="1:11" ht="21" customHeight="1">
      <c r="A103" s="83">
        <f t="shared" si="2"/>
        <v>100</v>
      </c>
      <c r="B103" s="40">
        <v>44867</v>
      </c>
      <c r="C103" s="41" t="s">
        <v>16</v>
      </c>
      <c r="D103" s="41" t="s">
        <v>95</v>
      </c>
      <c r="E103" s="64">
        <v>100</v>
      </c>
      <c r="F103" s="65">
        <f>E103</f>
        <v>100</v>
      </c>
      <c r="G103" s="64"/>
      <c r="H103" s="66"/>
      <c r="I103" s="73">
        <v>4.2340000000000003E-2</v>
      </c>
      <c r="J103" s="66">
        <f t="shared" si="8"/>
        <v>0</v>
      </c>
      <c r="K103" s="78">
        <f t="shared" si="9"/>
        <v>4.234</v>
      </c>
    </row>
    <row r="104" spans="1:11" ht="21" customHeight="1">
      <c r="A104" s="83">
        <f t="shared" si="2"/>
        <v>101</v>
      </c>
      <c r="B104" s="40">
        <v>44867</v>
      </c>
      <c r="C104" s="41" t="s">
        <v>16</v>
      </c>
      <c r="D104" s="41" t="s">
        <v>93</v>
      </c>
      <c r="E104" s="64">
        <v>6530</v>
      </c>
      <c r="F104" s="65">
        <f>E104</f>
        <v>6530</v>
      </c>
      <c r="G104" s="64"/>
      <c r="H104" s="66"/>
      <c r="I104" s="73">
        <v>4.5500000000000002E-3</v>
      </c>
      <c r="J104" s="66">
        <f t="shared" ref="J104:J105" si="14">E104*H104</f>
        <v>0</v>
      </c>
      <c r="K104" s="78">
        <f t="shared" ref="K104:K105" si="15">E104*I104</f>
        <v>29.711500000000001</v>
      </c>
    </row>
    <row r="105" spans="1:11" ht="21" customHeight="1">
      <c r="A105" s="83">
        <f t="shared" ref="A105" si="16">A104+1</f>
        <v>102</v>
      </c>
      <c r="B105" s="40">
        <v>44867</v>
      </c>
      <c r="C105" s="41" t="s">
        <v>16</v>
      </c>
      <c r="D105" s="41" t="s">
        <v>97</v>
      </c>
      <c r="E105" s="64">
        <v>232</v>
      </c>
      <c r="F105" s="65">
        <f>E105</f>
        <v>232</v>
      </c>
      <c r="G105" s="64"/>
      <c r="H105" s="66"/>
      <c r="I105" s="73">
        <v>5.11E-3</v>
      </c>
      <c r="J105" s="66">
        <f t="shared" si="14"/>
        <v>0</v>
      </c>
      <c r="K105" s="78">
        <f t="shared" si="15"/>
        <v>1.1855199999999999</v>
      </c>
    </row>
    <row r="106" spans="1:11" s="7" customFormat="1" ht="21" customHeight="1">
      <c r="A106" s="46" t="s">
        <v>6</v>
      </c>
      <c r="B106" s="47"/>
      <c r="C106" s="47"/>
      <c r="D106" s="48"/>
      <c r="E106" s="70">
        <f>SUBTOTAL(9,E4:E105)</f>
        <v>3285975</v>
      </c>
      <c r="F106" s="70">
        <f>SUBTOTAL(9,F4:F105)</f>
        <v>2961336</v>
      </c>
      <c r="G106" s="70">
        <f>SUBTOTAL(9,G4:G105)</f>
        <v>324639</v>
      </c>
      <c r="H106" s="70"/>
      <c r="I106" s="75"/>
      <c r="J106" s="70">
        <f>SUBTOTAL(9,J4:J105)</f>
        <v>1182372906</v>
      </c>
      <c r="K106" s="79">
        <f>SUBTOTAL(9,K4:K105)</f>
        <v>31242.344529999995</v>
      </c>
    </row>
  </sheetData>
  <autoFilter ref="A3:K105"/>
  <sortState ref="B4:I105">
    <sortCondition ref="B4:B105"/>
  </sortState>
  <mergeCells count="9">
    <mergeCell ref="A106:D106"/>
    <mergeCell ref="A1:K1"/>
    <mergeCell ref="A2:A3"/>
    <mergeCell ref="B2:B3"/>
    <mergeCell ref="C2:C3"/>
    <mergeCell ref="D2:D3"/>
    <mergeCell ref="E2:G2"/>
    <mergeCell ref="H2:I2"/>
    <mergeCell ref="J2:K2"/>
  </mergeCells>
  <printOptions horizontalCentered="1"/>
  <pageMargins left="0" right="0" top="0" bottom="0" header="0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K106"/>
  <sheetViews>
    <sheetView zoomScaleNormal="100" zoomScaleSheetLayoutView="100" workbookViewId="0">
      <pane xSplit="4" ySplit="3" topLeftCell="E4" activePane="bottomRight" state="frozen"/>
      <selection activeCell="A19" sqref="A19:XFD19"/>
      <selection pane="topRight" activeCell="A19" sqref="A19:XFD19"/>
      <selection pane="bottomLeft" activeCell="A19" sqref="A19:XFD19"/>
      <selection pane="bottomRight" activeCell="G12" sqref="G12"/>
    </sheetView>
  </sheetViews>
  <sheetFormatPr defaultColWidth="9.1328125" defaultRowHeight="12.75"/>
  <cols>
    <col min="1" max="1" width="5.265625" style="1" customWidth="1"/>
    <col min="2" max="2" width="12" style="1" customWidth="1"/>
    <col min="3" max="3" width="22.1328125" style="1" customWidth="1"/>
    <col min="4" max="4" width="47.1328125" style="1" customWidth="1"/>
    <col min="5" max="5" width="10.1328125" style="1" customWidth="1"/>
    <col min="6" max="6" width="14.3984375" style="1" customWidth="1"/>
    <col min="7" max="7" width="12.265625" style="1" customWidth="1"/>
    <col min="8" max="9" width="10" style="1" customWidth="1"/>
    <col min="10" max="10" width="14" style="1" customWidth="1"/>
    <col min="11" max="11" width="12.59765625" style="21" customWidth="1"/>
    <col min="12" max="12" width="16.59765625" style="1" bestFit="1" customWidth="1"/>
    <col min="13" max="16384" width="9.1328125" style="1"/>
  </cols>
  <sheetData>
    <row r="1" spans="1:11" ht="38.25" customHeight="1">
      <c r="A1" s="49" t="s">
        <v>13</v>
      </c>
      <c r="B1" s="50"/>
      <c r="C1" s="50"/>
      <c r="D1" s="51"/>
      <c r="E1" s="50"/>
      <c r="F1" s="50"/>
      <c r="G1" s="50"/>
      <c r="H1" s="50"/>
      <c r="I1" s="50"/>
      <c r="J1" s="50"/>
      <c r="K1" s="52"/>
    </row>
    <row r="2" spans="1:11" ht="23.25" customHeight="1">
      <c r="A2" s="53" t="s">
        <v>0</v>
      </c>
      <c r="B2" s="53" t="s">
        <v>1</v>
      </c>
      <c r="C2" s="55" t="s">
        <v>2</v>
      </c>
      <c r="D2" s="55" t="s">
        <v>3</v>
      </c>
      <c r="E2" s="57" t="s">
        <v>4</v>
      </c>
      <c r="F2" s="58"/>
      <c r="G2" s="59"/>
      <c r="H2" s="60" t="s">
        <v>5</v>
      </c>
      <c r="I2" s="61"/>
      <c r="J2" s="62" t="s">
        <v>6</v>
      </c>
      <c r="K2" s="63"/>
    </row>
    <row r="3" spans="1:11" ht="42" customHeight="1">
      <c r="A3" s="54"/>
      <c r="B3" s="54"/>
      <c r="C3" s="56"/>
      <c r="D3" s="56"/>
      <c r="E3" s="2" t="s">
        <v>7</v>
      </c>
      <c r="F3" s="2" t="s">
        <v>8</v>
      </c>
      <c r="G3" s="2" t="s">
        <v>9</v>
      </c>
      <c r="H3" s="3" t="s">
        <v>10</v>
      </c>
      <c r="I3" s="4" t="s">
        <v>11</v>
      </c>
      <c r="J3" s="3" t="s">
        <v>10</v>
      </c>
      <c r="K3" s="4" t="s">
        <v>11</v>
      </c>
    </row>
    <row r="4" spans="1:11" s="7" customFormat="1" ht="21" customHeight="1">
      <c r="A4" s="8">
        <f t="shared" ref="A4:A32" si="0">A3+1</f>
        <v>1</v>
      </c>
      <c r="B4" s="9"/>
      <c r="C4" s="10"/>
      <c r="D4" s="11" t="s">
        <v>70</v>
      </c>
      <c r="E4" s="12"/>
      <c r="F4" s="12"/>
      <c r="G4" s="12"/>
      <c r="H4" s="13"/>
      <c r="I4" s="14"/>
      <c r="J4" s="15"/>
      <c r="K4" s="16"/>
    </row>
    <row r="5" spans="1:11" s="7" customFormat="1" ht="21" customHeight="1">
      <c r="A5" s="8">
        <f t="shared" si="0"/>
        <v>2</v>
      </c>
      <c r="B5" s="9"/>
      <c r="C5" s="10"/>
      <c r="D5" s="11" t="s">
        <v>80</v>
      </c>
      <c r="E5" s="12"/>
      <c r="F5" s="12"/>
      <c r="G5" s="12"/>
      <c r="H5" s="13"/>
      <c r="I5" s="14"/>
      <c r="J5" s="15"/>
      <c r="K5" s="16"/>
    </row>
    <row r="6" spans="1:11" s="7" customFormat="1" ht="21" customHeight="1">
      <c r="A6" s="8">
        <f t="shared" si="0"/>
        <v>3</v>
      </c>
      <c r="B6" s="9"/>
      <c r="C6" s="10"/>
      <c r="D6" s="11" t="s">
        <v>81</v>
      </c>
      <c r="E6" s="12"/>
      <c r="F6" s="12"/>
      <c r="G6" s="12"/>
      <c r="H6" s="13"/>
      <c r="I6" s="14"/>
      <c r="J6" s="15"/>
      <c r="K6" s="16"/>
    </row>
    <row r="7" spans="1:11" s="7" customFormat="1" ht="21" customHeight="1">
      <c r="A7" s="8">
        <f t="shared" si="0"/>
        <v>4</v>
      </c>
      <c r="B7" s="9"/>
      <c r="C7" s="10"/>
      <c r="D7" s="11" t="s">
        <v>79</v>
      </c>
      <c r="E7" s="12"/>
      <c r="F7" s="12"/>
      <c r="G7" s="12"/>
      <c r="H7" s="13"/>
      <c r="I7" s="14"/>
      <c r="J7" s="15"/>
      <c r="K7" s="16"/>
    </row>
    <row r="8" spans="1:11" s="7" customFormat="1" ht="21" customHeight="1">
      <c r="A8" s="8">
        <f t="shared" si="0"/>
        <v>5</v>
      </c>
      <c r="B8" s="9"/>
      <c r="C8" s="10"/>
      <c r="D8" s="11" t="s">
        <v>77</v>
      </c>
      <c r="E8" s="12"/>
      <c r="F8" s="12"/>
      <c r="G8" s="12"/>
      <c r="H8" s="13"/>
      <c r="I8" s="14"/>
      <c r="J8" s="15"/>
      <c r="K8" s="16"/>
    </row>
    <row r="9" spans="1:11" s="7" customFormat="1" ht="21" customHeight="1">
      <c r="A9" s="8">
        <f t="shared" si="0"/>
        <v>6</v>
      </c>
      <c r="B9" s="9"/>
      <c r="C9" s="10"/>
      <c r="D9" s="11" t="s">
        <v>76</v>
      </c>
      <c r="E9" s="12"/>
      <c r="F9" s="12"/>
      <c r="G9" s="12"/>
      <c r="H9" s="13"/>
      <c r="I9" s="14"/>
      <c r="J9" s="15"/>
      <c r="K9" s="16"/>
    </row>
    <row r="10" spans="1:11" s="7" customFormat="1" ht="21" customHeight="1">
      <c r="A10" s="8">
        <f t="shared" si="0"/>
        <v>7</v>
      </c>
      <c r="B10" s="9"/>
      <c r="C10" s="10"/>
      <c r="D10" s="11" t="s">
        <v>71</v>
      </c>
      <c r="E10" s="12"/>
      <c r="F10" s="12"/>
      <c r="G10" s="12"/>
      <c r="H10" s="13"/>
      <c r="I10" s="14"/>
      <c r="J10" s="15"/>
      <c r="K10" s="16"/>
    </row>
    <row r="11" spans="1:11" s="7" customFormat="1" ht="21" customHeight="1">
      <c r="A11" s="8">
        <f t="shared" si="0"/>
        <v>8</v>
      </c>
      <c r="B11" s="9"/>
      <c r="C11" s="10"/>
      <c r="D11" s="11" t="s">
        <v>74</v>
      </c>
      <c r="E11" s="12"/>
      <c r="F11" s="12"/>
      <c r="G11" s="12"/>
      <c r="H11" s="13"/>
      <c r="I11" s="14"/>
      <c r="J11" s="15"/>
      <c r="K11" s="16"/>
    </row>
    <row r="12" spans="1:11" s="7" customFormat="1" ht="21" customHeight="1">
      <c r="A12" s="8">
        <f t="shared" si="0"/>
        <v>9</v>
      </c>
      <c r="B12" s="9"/>
      <c r="C12" s="10"/>
      <c r="D12" s="11" t="s">
        <v>72</v>
      </c>
      <c r="E12" s="12"/>
      <c r="F12" s="12"/>
      <c r="G12" s="12"/>
      <c r="H12" s="13"/>
      <c r="I12" s="14"/>
      <c r="J12" s="15"/>
      <c r="K12" s="16"/>
    </row>
    <row r="13" spans="1:11" s="7" customFormat="1" ht="21" customHeight="1">
      <c r="A13" s="8">
        <f>A12+1</f>
        <v>10</v>
      </c>
      <c r="B13" s="9"/>
      <c r="C13" s="10"/>
      <c r="D13" s="11" t="s">
        <v>75</v>
      </c>
      <c r="E13" s="12"/>
      <c r="F13" s="12"/>
      <c r="G13" s="12"/>
      <c r="H13" s="13"/>
      <c r="I13" s="14"/>
      <c r="J13" s="15"/>
      <c r="K13" s="16"/>
    </row>
    <row r="14" spans="1:11" s="7" customFormat="1" ht="21" customHeight="1">
      <c r="A14" s="8">
        <f t="shared" si="0"/>
        <v>11</v>
      </c>
      <c r="B14" s="9"/>
      <c r="C14" s="10"/>
      <c r="D14" s="11" t="s">
        <v>78</v>
      </c>
      <c r="E14" s="12"/>
      <c r="F14" s="12"/>
      <c r="G14" s="12"/>
      <c r="H14" s="13"/>
      <c r="I14" s="14"/>
      <c r="J14" s="15"/>
      <c r="K14" s="16"/>
    </row>
    <row r="15" spans="1:11" s="7" customFormat="1" ht="21" customHeight="1">
      <c r="A15" s="8">
        <f t="shared" si="0"/>
        <v>12</v>
      </c>
      <c r="B15" s="9"/>
      <c r="C15" s="10"/>
      <c r="D15" s="11" t="s">
        <v>73</v>
      </c>
      <c r="E15" s="12"/>
      <c r="F15" s="12"/>
      <c r="G15" s="12"/>
      <c r="H15" s="13"/>
      <c r="I15" s="14"/>
      <c r="J15" s="15"/>
      <c r="K15" s="16"/>
    </row>
    <row r="16" spans="1:11" s="7" customFormat="1" ht="21" customHeight="1">
      <c r="A16" s="8">
        <f t="shared" si="0"/>
        <v>13</v>
      </c>
      <c r="B16" s="9"/>
      <c r="C16" s="10"/>
      <c r="D16" s="11"/>
      <c r="E16" s="12"/>
      <c r="F16" s="12"/>
      <c r="G16" s="12"/>
      <c r="H16" s="13"/>
      <c r="I16" s="14"/>
      <c r="J16" s="15"/>
      <c r="K16" s="16"/>
    </row>
    <row r="17" spans="1:11" s="7" customFormat="1" ht="21" customHeight="1">
      <c r="A17" s="8">
        <f t="shared" si="0"/>
        <v>14</v>
      </c>
      <c r="B17" s="9"/>
      <c r="C17" s="10"/>
      <c r="D17" s="11"/>
      <c r="E17" s="12"/>
      <c r="F17" s="12"/>
      <c r="G17" s="12"/>
      <c r="H17" s="13"/>
      <c r="I17" s="14"/>
      <c r="J17" s="15"/>
      <c r="K17" s="16"/>
    </row>
    <row r="18" spans="1:11" s="7" customFormat="1" ht="21" customHeight="1">
      <c r="A18" s="8">
        <f t="shared" si="0"/>
        <v>15</v>
      </c>
      <c r="B18" s="9"/>
      <c r="C18" s="10"/>
      <c r="D18" s="11"/>
      <c r="E18" s="12"/>
      <c r="F18" s="12"/>
      <c r="G18" s="12"/>
      <c r="H18" s="13"/>
      <c r="I18" s="14"/>
      <c r="J18" s="15"/>
      <c r="K18" s="16"/>
    </row>
    <row r="19" spans="1:11" s="7" customFormat="1" ht="21" customHeight="1">
      <c r="A19" s="8">
        <f t="shared" si="0"/>
        <v>16</v>
      </c>
      <c r="B19" s="9"/>
      <c r="C19" s="10"/>
      <c r="D19" s="11"/>
      <c r="E19" s="12"/>
      <c r="F19" s="12"/>
      <c r="G19" s="12"/>
      <c r="H19" s="13"/>
      <c r="I19" s="14"/>
      <c r="J19" s="15"/>
      <c r="K19" s="16"/>
    </row>
    <row r="20" spans="1:11" s="7" customFormat="1" ht="21" customHeight="1">
      <c r="A20" s="8">
        <f t="shared" si="0"/>
        <v>17</v>
      </c>
      <c r="B20" s="9"/>
      <c r="C20" s="10"/>
      <c r="D20" s="11"/>
      <c r="E20" s="12"/>
      <c r="F20" s="12"/>
      <c r="G20" s="12"/>
      <c r="H20" s="13"/>
      <c r="I20" s="14"/>
      <c r="J20" s="15"/>
      <c r="K20" s="16"/>
    </row>
    <row r="21" spans="1:11" s="7" customFormat="1" ht="21" customHeight="1">
      <c r="A21" s="8">
        <f t="shared" si="0"/>
        <v>18</v>
      </c>
      <c r="B21" s="9"/>
      <c r="C21" s="10"/>
      <c r="D21" s="11"/>
      <c r="E21" s="12"/>
      <c r="F21" s="12"/>
      <c r="G21" s="12"/>
      <c r="H21" s="13"/>
      <c r="I21" s="14"/>
      <c r="J21" s="15"/>
      <c r="K21" s="16"/>
    </row>
    <row r="22" spans="1:11" s="7" customFormat="1" ht="21" customHeight="1">
      <c r="A22" s="8">
        <f t="shared" si="0"/>
        <v>19</v>
      </c>
      <c r="B22" s="9"/>
      <c r="C22" s="10"/>
      <c r="D22" s="11"/>
      <c r="E22" s="12"/>
      <c r="F22" s="12"/>
      <c r="G22" s="12"/>
      <c r="H22" s="13"/>
      <c r="I22" s="14"/>
      <c r="J22" s="15"/>
      <c r="K22" s="16"/>
    </row>
    <row r="23" spans="1:11" s="7" customFormat="1" ht="21" customHeight="1">
      <c r="A23" s="8">
        <f t="shared" si="0"/>
        <v>20</v>
      </c>
      <c r="B23" s="9"/>
      <c r="C23" s="10"/>
      <c r="D23" s="11"/>
      <c r="E23" s="12"/>
      <c r="F23" s="12"/>
      <c r="G23" s="12"/>
      <c r="H23" s="13"/>
      <c r="I23" s="14"/>
      <c r="J23" s="15"/>
      <c r="K23" s="16"/>
    </row>
    <row r="24" spans="1:11" s="7" customFormat="1" ht="22.5" customHeight="1">
      <c r="A24" s="8">
        <f t="shared" si="0"/>
        <v>21</v>
      </c>
      <c r="B24" s="9"/>
      <c r="C24" s="10"/>
      <c r="D24" s="11"/>
      <c r="E24" s="12"/>
      <c r="F24" s="12"/>
      <c r="G24" s="12"/>
      <c r="H24" s="13"/>
      <c r="I24" s="14"/>
      <c r="J24" s="15"/>
      <c r="K24" s="16"/>
    </row>
    <row r="25" spans="1:11" s="7" customFormat="1" ht="22.5" customHeight="1">
      <c r="A25" s="8">
        <f t="shared" si="0"/>
        <v>22</v>
      </c>
      <c r="B25" s="9"/>
      <c r="C25" s="11"/>
      <c r="D25" s="11"/>
      <c r="E25" s="12"/>
      <c r="F25" s="12"/>
      <c r="G25" s="12"/>
      <c r="H25" s="13"/>
      <c r="I25" s="14"/>
      <c r="J25" s="15"/>
      <c r="K25" s="16"/>
    </row>
    <row r="26" spans="1:11" s="7" customFormat="1" ht="22.5" customHeight="1">
      <c r="A26" s="8">
        <f t="shared" si="0"/>
        <v>23</v>
      </c>
      <c r="B26" s="9"/>
      <c r="C26" s="11"/>
      <c r="D26" s="11"/>
      <c r="E26" s="12"/>
      <c r="F26" s="12"/>
      <c r="G26" s="12"/>
      <c r="H26" s="13"/>
      <c r="I26" s="14"/>
      <c r="J26" s="15"/>
      <c r="K26" s="16"/>
    </row>
    <row r="27" spans="1:11" s="7" customFormat="1" ht="22.5" customHeight="1">
      <c r="A27" s="8">
        <f t="shared" si="0"/>
        <v>24</v>
      </c>
      <c r="B27" s="9"/>
      <c r="C27" s="11"/>
      <c r="D27" s="11"/>
      <c r="E27" s="12"/>
      <c r="F27" s="12"/>
      <c r="G27" s="12"/>
      <c r="H27" s="13"/>
      <c r="I27" s="14"/>
      <c r="J27" s="15"/>
      <c r="K27" s="16"/>
    </row>
    <row r="28" spans="1:11" s="7" customFormat="1" ht="22.5" customHeight="1">
      <c r="A28" s="8">
        <f t="shared" si="0"/>
        <v>25</v>
      </c>
      <c r="B28" s="9"/>
      <c r="C28" s="10"/>
      <c r="D28" s="11"/>
      <c r="E28" s="12"/>
      <c r="F28" s="12"/>
      <c r="G28" s="12"/>
      <c r="H28" s="13"/>
      <c r="I28" s="14"/>
      <c r="J28" s="15"/>
      <c r="K28" s="16"/>
    </row>
    <row r="29" spans="1:11" s="7" customFormat="1" ht="22.5" customHeight="1">
      <c r="A29" s="8">
        <f t="shared" si="0"/>
        <v>26</v>
      </c>
      <c r="B29" s="9"/>
      <c r="C29" s="10"/>
      <c r="D29" s="11"/>
      <c r="E29" s="12"/>
      <c r="F29" s="12"/>
      <c r="G29" s="12"/>
      <c r="H29" s="13"/>
      <c r="I29" s="14"/>
      <c r="J29" s="15"/>
      <c r="K29" s="16"/>
    </row>
    <row r="30" spans="1:11" s="7" customFormat="1" ht="22.5" customHeight="1">
      <c r="A30" s="8">
        <f t="shared" si="0"/>
        <v>27</v>
      </c>
      <c r="B30" s="9"/>
      <c r="C30" s="10"/>
      <c r="D30" s="11"/>
      <c r="E30" s="12"/>
      <c r="F30" s="12"/>
      <c r="G30" s="12"/>
      <c r="H30" s="13"/>
      <c r="I30" s="14"/>
      <c r="J30" s="15"/>
      <c r="K30" s="16"/>
    </row>
    <row r="31" spans="1:11" s="7" customFormat="1" ht="22.5" customHeight="1">
      <c r="A31" s="8">
        <f t="shared" si="0"/>
        <v>28</v>
      </c>
      <c r="B31" s="9"/>
      <c r="C31" s="10"/>
      <c r="D31" s="11"/>
      <c r="E31" s="12"/>
      <c r="F31" s="12"/>
      <c r="G31" s="12"/>
      <c r="H31" s="13"/>
      <c r="I31" s="14"/>
      <c r="J31" s="15"/>
      <c r="K31" s="16"/>
    </row>
    <row r="32" spans="1:11" s="7" customFormat="1" ht="21" customHeight="1">
      <c r="A32" s="8">
        <f t="shared" si="0"/>
        <v>29</v>
      </c>
      <c r="B32" s="9"/>
      <c r="C32" s="10"/>
      <c r="D32" s="11"/>
      <c r="E32" s="12"/>
      <c r="F32" s="12"/>
      <c r="G32" s="12"/>
      <c r="H32" s="13"/>
      <c r="I32" s="14"/>
      <c r="J32" s="15"/>
      <c r="K32" s="16"/>
    </row>
    <row r="33" spans="1:11" s="7" customFormat="1" ht="21" customHeight="1">
      <c r="A33" s="46" t="s">
        <v>6</v>
      </c>
      <c r="B33" s="47"/>
      <c r="C33" s="47"/>
      <c r="D33" s="48"/>
      <c r="E33" s="5">
        <f>SUM(E4:E8)</f>
        <v>0</v>
      </c>
      <c r="F33" s="5">
        <f>SUM(F4:F8)</f>
        <v>0</v>
      </c>
      <c r="G33" s="5">
        <f>SUM(G4:G8)</f>
        <v>0</v>
      </c>
      <c r="H33" s="5"/>
      <c r="I33" s="6"/>
      <c r="J33" s="5">
        <f>SUM(J4:J8)</f>
        <v>0</v>
      </c>
      <c r="K33" s="5">
        <f>SUM(K4:K8)</f>
        <v>0</v>
      </c>
    </row>
    <row r="34" spans="1:11" ht="13.5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9"/>
    </row>
    <row r="35" spans="1:11" ht="13.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9"/>
    </row>
    <row r="36" spans="1:11" ht="13.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9"/>
    </row>
    <row r="37" spans="1:11" ht="13.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9"/>
    </row>
    <row r="38" spans="1:11" ht="13.5">
      <c r="A38" s="17"/>
      <c r="B38" s="17"/>
      <c r="C38" s="17"/>
      <c r="D38" s="17"/>
      <c r="E38" s="20"/>
      <c r="F38" s="20"/>
      <c r="G38" s="17"/>
      <c r="H38" s="17"/>
      <c r="I38" s="17"/>
      <c r="J38" s="17"/>
      <c r="K38" s="19"/>
    </row>
    <row r="39" spans="1:11" ht="13.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9"/>
    </row>
    <row r="40" spans="1:11" ht="13.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9"/>
    </row>
    <row r="41" spans="1:11" ht="13.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9"/>
    </row>
    <row r="42" spans="1:11" ht="13.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9"/>
    </row>
    <row r="43" spans="1:11" ht="13.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9"/>
    </row>
    <row r="44" spans="1:11" ht="13.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9"/>
    </row>
    <row r="45" spans="1:11" ht="13.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9"/>
    </row>
    <row r="46" spans="1:11" ht="13.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9"/>
    </row>
    <row r="47" spans="1:11" ht="13.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9"/>
    </row>
    <row r="48" spans="1:11" ht="13.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9"/>
    </row>
    <row r="49" spans="1:11" ht="13.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9"/>
    </row>
    <row r="50" spans="1:11" ht="13.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9"/>
    </row>
    <row r="51" spans="1:11" ht="13.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9"/>
    </row>
    <row r="52" spans="1:11" ht="13.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9"/>
    </row>
    <row r="53" spans="1:11" ht="13.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9"/>
    </row>
    <row r="54" spans="1:11" ht="13.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9"/>
    </row>
    <row r="55" spans="1:11" ht="13.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9"/>
    </row>
    <row r="56" spans="1:11" ht="13.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9"/>
    </row>
    <row r="57" spans="1:11" ht="13.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9"/>
    </row>
    <row r="58" spans="1:11" ht="13.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9"/>
    </row>
    <row r="59" spans="1:11" ht="13.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9"/>
    </row>
    <row r="60" spans="1:11" ht="13.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9"/>
    </row>
    <row r="61" spans="1:11" ht="13.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9"/>
    </row>
    <row r="62" spans="1:11" ht="13.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9"/>
    </row>
    <row r="63" spans="1:11" ht="13.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9"/>
    </row>
    <row r="64" spans="1:11" ht="13.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9"/>
    </row>
    <row r="65" spans="1:11" ht="13.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9"/>
    </row>
    <row r="66" spans="1:11" ht="13.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9"/>
    </row>
    <row r="67" spans="1:11" ht="13.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9"/>
    </row>
    <row r="68" spans="1:11" ht="13.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9"/>
    </row>
    <row r="69" spans="1:11" ht="13.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9"/>
    </row>
    <row r="70" spans="1:11" ht="13.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9"/>
    </row>
    <row r="71" spans="1:11" ht="13.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9"/>
    </row>
    <row r="72" spans="1:11" ht="13.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9"/>
    </row>
    <row r="73" spans="1:11" ht="13.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9"/>
    </row>
    <row r="74" spans="1:11" ht="13.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9"/>
    </row>
    <row r="75" spans="1:11" ht="13.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9"/>
    </row>
    <row r="76" spans="1:11" ht="13.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9"/>
    </row>
    <row r="77" spans="1:11" ht="13.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9"/>
    </row>
    <row r="78" spans="1:11" ht="13.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9"/>
    </row>
    <row r="79" spans="1:11" ht="13.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9"/>
    </row>
    <row r="80" spans="1:11" ht="13.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9"/>
    </row>
    <row r="81" spans="1:11" ht="13.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9"/>
    </row>
    <row r="82" spans="1:11" ht="13.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9"/>
    </row>
    <row r="83" spans="1:11" ht="13.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9"/>
    </row>
    <row r="84" spans="1:11" ht="13.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9"/>
    </row>
    <row r="85" spans="1:11" ht="13.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9"/>
    </row>
    <row r="86" spans="1:11" ht="13.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9"/>
    </row>
    <row r="87" spans="1:11" ht="13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9"/>
    </row>
    <row r="88" spans="1:11" ht="13.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9"/>
    </row>
    <row r="89" spans="1:11" ht="13.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9"/>
    </row>
    <row r="90" spans="1:11" ht="13.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9"/>
    </row>
    <row r="91" spans="1:11" ht="13.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9"/>
    </row>
    <row r="92" spans="1:11" ht="13.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9"/>
    </row>
    <row r="93" spans="1:11" ht="13.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9"/>
    </row>
    <row r="94" spans="1:11" ht="13.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9"/>
    </row>
    <row r="95" spans="1:11" ht="13.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9"/>
    </row>
    <row r="96" spans="1:11" ht="13.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9"/>
    </row>
    <row r="97" spans="1:11" ht="13.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9"/>
    </row>
    <row r="98" spans="1:11" ht="13.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9"/>
    </row>
    <row r="99" spans="1:11" ht="13.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9"/>
    </row>
    <row r="100" spans="1:11" ht="13.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9"/>
    </row>
    <row r="101" spans="1:11" ht="13.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9"/>
    </row>
    <row r="102" spans="1:11" ht="13.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9"/>
    </row>
    <row r="103" spans="1:11" ht="13.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9"/>
    </row>
    <row r="104" spans="1:11" ht="13.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9"/>
    </row>
    <row r="105" spans="1:11" ht="13.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9"/>
    </row>
    <row r="106" spans="1:11" ht="13.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9"/>
    </row>
  </sheetData>
  <autoFilter ref="A3:L34"/>
  <dataConsolidate>
    <dataRefs count="2">
      <dataRef ref="A1:I2" sheet="HÀNG NGÀY" r:id="rId1"/>
      <dataRef ref="A1:I2" sheet="02.12.2019" r:id="rId2"/>
    </dataRefs>
  </dataConsolidate>
  <mergeCells count="9">
    <mergeCell ref="A33:D33"/>
    <mergeCell ref="A1:K1"/>
    <mergeCell ref="A2:A3"/>
    <mergeCell ref="B2:B3"/>
    <mergeCell ref="C2:C3"/>
    <mergeCell ref="D2:D3"/>
    <mergeCell ref="E2:G2"/>
    <mergeCell ref="H2:I2"/>
    <mergeCell ref="J2:K2"/>
  </mergeCells>
  <printOptions horizontalCentered="1"/>
  <pageMargins left="0.17" right="0.17" top="0.17" bottom="0.17" header="0.17" footer="0.17"/>
  <pageSetup paperSize="9" scale="8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N75"/>
  <sheetViews>
    <sheetView zoomScaleNormal="100" workbookViewId="0">
      <pane xSplit="1" ySplit="2" topLeftCell="B3" activePane="bottomRight" state="frozen"/>
      <selection activeCell="W10" sqref="W10"/>
      <selection pane="topRight" activeCell="W10" sqref="W10"/>
      <selection pane="bottomLeft" activeCell="W10" sqref="W10"/>
      <selection pane="bottomRight" activeCell="K26" sqref="K26"/>
    </sheetView>
  </sheetViews>
  <sheetFormatPr defaultRowHeight="14.25"/>
  <cols>
    <col min="1" max="1" width="10.1328125" customWidth="1"/>
    <col min="2" max="2" width="17.265625" customWidth="1"/>
    <col min="3" max="3" width="16.59765625" customWidth="1"/>
    <col min="4" max="14" width="17.265625" customWidth="1"/>
  </cols>
  <sheetData>
    <row r="1" spans="1:14">
      <c r="H1">
        <v>23205</v>
      </c>
    </row>
    <row r="2" spans="1:14">
      <c r="B2" s="22" t="s">
        <v>29</v>
      </c>
      <c r="C2" s="22" t="s">
        <v>30</v>
      </c>
      <c r="D2" s="22" t="s">
        <v>31</v>
      </c>
      <c r="E2" s="22" t="s">
        <v>32</v>
      </c>
      <c r="F2" s="22" t="s">
        <v>33</v>
      </c>
      <c r="G2" s="22" t="s">
        <v>34</v>
      </c>
      <c r="H2" s="22" t="s">
        <v>35</v>
      </c>
      <c r="I2" s="22" t="s">
        <v>36</v>
      </c>
      <c r="J2" s="22" t="s">
        <v>37</v>
      </c>
      <c r="K2" s="22" t="s">
        <v>38</v>
      </c>
      <c r="L2" s="22" t="s">
        <v>39</v>
      </c>
      <c r="M2" s="22" t="s">
        <v>40</v>
      </c>
      <c r="N2" s="22"/>
    </row>
    <row r="3" spans="1:14">
      <c r="A3" t="s">
        <v>41</v>
      </c>
      <c r="B3" s="23">
        <v>167012888</v>
      </c>
      <c r="C3" s="23">
        <v>195776993</v>
      </c>
      <c r="D3" s="23">
        <v>161798491</v>
      </c>
      <c r="E3" s="23">
        <v>160493754</v>
      </c>
      <c r="F3" s="23">
        <v>209073883</v>
      </c>
      <c r="G3" s="23">
        <v>182863013</v>
      </c>
      <c r="H3" s="24">
        <v>150135273</v>
      </c>
      <c r="I3" s="23">
        <v>156095897</v>
      </c>
      <c r="J3" s="23">
        <v>226671192</v>
      </c>
      <c r="K3" s="23">
        <v>243893053</v>
      </c>
      <c r="L3" s="23"/>
      <c r="M3" s="23"/>
      <c r="N3" s="25">
        <f t="shared" ref="N3:N21" si="0">SUM(B3:M3)</f>
        <v>1853814437</v>
      </c>
    </row>
    <row r="4" spans="1:14">
      <c r="A4" t="s">
        <v>42</v>
      </c>
      <c r="B4" s="23">
        <f>7225.4487*22630</f>
        <v>163511904.081</v>
      </c>
      <c r="C4" s="23">
        <f>7932.8349*22495</f>
        <v>178449121.07549998</v>
      </c>
      <c r="D4" s="23">
        <f>22595.77076*22670</f>
        <v>512246123.12919998</v>
      </c>
      <c r="E4" s="23">
        <f>19212.9756*22715</f>
        <v>436422740.75400001</v>
      </c>
      <c r="F4" s="23">
        <f>45731.5925*22815</f>
        <v>1043366282.8874999</v>
      </c>
      <c r="G4" s="23">
        <f>14198.7636*23040</f>
        <v>327139513.34399998</v>
      </c>
      <c r="H4" s="24">
        <f>50238.171208*23130</f>
        <v>1162008900.0410399</v>
      </c>
      <c r="I4" s="23">
        <f>30377.090352*23230</f>
        <v>705659808.87696004</v>
      </c>
      <c r="J4" s="23">
        <f>54216.078606*23280</f>
        <v>1262150309.94768</v>
      </c>
      <c r="K4" s="23">
        <f>23884.11844*23710</f>
        <v>566292448.21239996</v>
      </c>
      <c r="L4" s="23"/>
      <c r="M4" s="23"/>
      <c r="N4" s="25">
        <f t="shared" si="0"/>
        <v>6357247152.3492794</v>
      </c>
    </row>
    <row r="5" spans="1:14">
      <c r="A5" t="s">
        <v>43</v>
      </c>
      <c r="B5" s="23">
        <v>12777086</v>
      </c>
      <c r="C5" s="23">
        <v>12025807</v>
      </c>
      <c r="D5" s="23">
        <v>23448652</v>
      </c>
      <c r="E5" s="23">
        <v>807200</v>
      </c>
      <c r="F5" s="23">
        <v>5990728</v>
      </c>
      <c r="G5" s="23">
        <v>7715963</v>
      </c>
      <c r="H5" s="24">
        <v>3615180</v>
      </c>
      <c r="I5" s="26">
        <v>7921156</v>
      </c>
      <c r="J5" s="23">
        <v>11959600</v>
      </c>
      <c r="K5" s="23">
        <v>4010012</v>
      </c>
      <c r="L5" s="23"/>
      <c r="M5" s="23"/>
      <c r="N5" s="25">
        <f t="shared" si="0"/>
        <v>90271384</v>
      </c>
    </row>
    <row r="6" spans="1:14">
      <c r="A6" t="s">
        <v>44</v>
      </c>
      <c r="B6" s="23">
        <f>97424.6435400001*22630</f>
        <v>2204719683.3102026</v>
      </c>
      <c r="C6" s="23">
        <f>42212.48905*22495</f>
        <v>949569941.17974997</v>
      </c>
      <c r="D6" s="23">
        <f>76273.6947200001*22670</f>
        <v>1729124659.3024023</v>
      </c>
      <c r="E6" s="23">
        <f>68079.4195*22715</f>
        <v>1546424013.9425001</v>
      </c>
      <c r="F6" s="23">
        <f>76151.4024780001*22815</f>
        <v>1737394247.5355723</v>
      </c>
      <c r="G6" s="23">
        <f>63296.9269500001*23040</f>
        <v>1458361196.9280024</v>
      </c>
      <c r="H6" s="24">
        <f>62936.3437560001*23130</f>
        <v>1455717631.0762823</v>
      </c>
      <c r="I6" s="23">
        <f>58770.7035999999*23230</f>
        <v>1365243444.6279976</v>
      </c>
      <c r="J6" s="24">
        <f>75412.1644599998*23280</f>
        <v>1755595188.6287951</v>
      </c>
      <c r="K6" s="23">
        <f>78648.02966*23710</f>
        <v>1864744783.2386</v>
      </c>
      <c r="L6" s="23"/>
      <c r="M6" s="23"/>
      <c r="N6" s="25">
        <f t="shared" si="0"/>
        <v>16066894789.770105</v>
      </c>
    </row>
    <row r="7" spans="1:14">
      <c r="A7" t="s">
        <v>45</v>
      </c>
      <c r="B7" s="23">
        <v>249309080</v>
      </c>
      <c r="C7" s="23">
        <v>221963549</v>
      </c>
      <c r="D7" s="23">
        <v>236961143</v>
      </c>
      <c r="E7" s="23">
        <v>218835009</v>
      </c>
      <c r="F7" s="23">
        <v>203277382</v>
      </c>
      <c r="G7" s="23">
        <v>240409024</v>
      </c>
      <c r="H7" s="24">
        <v>275363219</v>
      </c>
      <c r="I7" s="23">
        <v>189949356</v>
      </c>
      <c r="J7" s="23">
        <v>346686651</v>
      </c>
      <c r="K7" s="23">
        <v>197740538</v>
      </c>
      <c r="L7" s="23"/>
      <c r="M7" s="23"/>
      <c r="N7" s="25">
        <f t="shared" si="0"/>
        <v>2380494951</v>
      </c>
    </row>
    <row r="8" spans="1:14">
      <c r="A8" t="s">
        <v>46</v>
      </c>
      <c r="B8" s="23">
        <v>70734511</v>
      </c>
      <c r="C8" s="23">
        <v>48734024</v>
      </c>
      <c r="D8" s="23">
        <v>228664594</v>
      </c>
      <c r="E8" s="23">
        <v>230581577.31839991</v>
      </c>
      <c r="F8" s="23">
        <v>87640685.126400009</v>
      </c>
      <c r="G8" s="23">
        <v>249709670</v>
      </c>
      <c r="H8" s="24">
        <v>81528480.334200025</v>
      </c>
      <c r="I8" s="23">
        <v>248719653</v>
      </c>
      <c r="J8" s="23">
        <v>91297601</v>
      </c>
      <c r="K8" s="23">
        <v>253198320</v>
      </c>
      <c r="L8" s="23"/>
      <c r="M8" s="23"/>
      <c r="N8" s="25">
        <f t="shared" si="0"/>
        <v>1590809115.7789998</v>
      </c>
    </row>
    <row r="9" spans="1:14">
      <c r="A9" t="s">
        <v>47</v>
      </c>
      <c r="B9" s="23">
        <v>64133769.369599998</v>
      </c>
      <c r="C9" s="23">
        <v>69838562</v>
      </c>
      <c r="D9" s="23">
        <v>37875994</v>
      </c>
      <c r="E9" s="23">
        <f>2902.7222*22848</f>
        <v>66321396.825600006</v>
      </c>
      <c r="F9" s="23">
        <v>87603600.537600011</v>
      </c>
      <c r="G9" s="23">
        <v>30717166</v>
      </c>
      <c r="H9" s="24">
        <v>82885070.653640002</v>
      </c>
      <c r="I9" s="27">
        <v>87760313</v>
      </c>
      <c r="J9" s="27">
        <v>75602968</v>
      </c>
      <c r="K9" s="23">
        <v>53379179</v>
      </c>
      <c r="L9" s="23"/>
      <c r="M9" s="23"/>
      <c r="N9" s="25">
        <f t="shared" si="0"/>
        <v>656118019.38644004</v>
      </c>
    </row>
    <row r="10" spans="1:14">
      <c r="A10" t="s">
        <v>48</v>
      </c>
      <c r="B10" s="23">
        <f>7642.523*23205</f>
        <v>177344746.215</v>
      </c>
      <c r="C10" s="23">
        <f>2953.66444*23205</f>
        <v>68539783.330200002</v>
      </c>
      <c r="D10" s="23">
        <f>12520.7642*23205</f>
        <v>290544333.26099998</v>
      </c>
      <c r="E10" s="23">
        <f>9281.44835999999*22305</f>
        <v>207022705.66979977</v>
      </c>
      <c r="F10" s="23">
        <f>10521.32308*23205</f>
        <v>244147302.07140002</v>
      </c>
      <c r="G10" s="23">
        <f>9455.63728*23205</f>
        <v>219418063.08240002</v>
      </c>
      <c r="H10" s="24">
        <f>14499.82496*23205</f>
        <v>336468438.19679999</v>
      </c>
      <c r="I10" s="23">
        <f>10888.04623*23205</f>
        <v>252657112.76714998</v>
      </c>
      <c r="J10" s="23">
        <f>9953.74255*23205</f>
        <v>230976595.87275001</v>
      </c>
      <c r="K10" s="23">
        <f>23738.84325*23205</f>
        <v>550859857.61625004</v>
      </c>
      <c r="L10" s="23"/>
      <c r="M10" s="23"/>
      <c r="N10" s="25">
        <f t="shared" si="0"/>
        <v>2577978938.0827498</v>
      </c>
    </row>
    <row r="11" spans="1:14">
      <c r="A11" t="s">
        <v>49</v>
      </c>
      <c r="B11" s="23">
        <v>6394591832.7980003</v>
      </c>
      <c r="C11" s="23">
        <v>3800877802.1492496</v>
      </c>
      <c r="D11" s="23">
        <v>6848424474.7779999</v>
      </c>
      <c r="E11" s="23">
        <v>6681846933.8341007</v>
      </c>
      <c r="F11" s="23">
        <f>290325.25818*22835</f>
        <v>6629577270.5403004</v>
      </c>
      <c r="G11" s="23">
        <v>8832856265.9155006</v>
      </c>
      <c r="H11" s="24">
        <f>250565.99959*23110</f>
        <v>5790580250.5248995</v>
      </c>
      <c r="I11" s="23">
        <f>281093.08023*23265</f>
        <v>6539630511.5509501</v>
      </c>
      <c r="J11" s="43">
        <f>315456.9754*23290</f>
        <v>7346992957.066</v>
      </c>
      <c r="K11" s="23">
        <f>249700.92694*23580</f>
        <v>5887947857.2452002</v>
      </c>
      <c r="L11" s="23"/>
      <c r="M11" s="23"/>
      <c r="N11" s="25">
        <f t="shared" si="0"/>
        <v>64753326156.402206</v>
      </c>
    </row>
    <row r="12" spans="1:14">
      <c r="A12" t="s">
        <v>50</v>
      </c>
      <c r="B12" s="23">
        <f>185933.40399*22630</f>
        <v>4207672932.2936997</v>
      </c>
      <c r="C12" s="23">
        <f>100025.14207*22495</f>
        <v>2250065570.8646502</v>
      </c>
      <c r="D12" s="23">
        <f>170865.87717*22670</f>
        <v>3873529435.4438996</v>
      </c>
      <c r="E12" s="23">
        <f>112349.42869*22715</f>
        <v>2552017272.6933498</v>
      </c>
      <c r="F12" s="23">
        <f>136780.7173*22815</f>
        <v>3120652065.1994996</v>
      </c>
      <c r="G12" s="23">
        <f>138630.82525*23040</f>
        <v>3194054213.7599998</v>
      </c>
      <c r="H12" s="24">
        <f>126064.7483*23130</f>
        <v>2915877628.1790004</v>
      </c>
      <c r="I12" s="23">
        <f>145456.92765*23230</f>
        <v>3378964429.3094997</v>
      </c>
      <c r="J12" s="23">
        <v>3037898129.8175998</v>
      </c>
      <c r="K12" s="23">
        <f>111534.4767*23710</f>
        <v>2644482442.5570002</v>
      </c>
      <c r="L12" s="23"/>
      <c r="M12" s="23"/>
      <c r="N12" s="25">
        <f t="shared" si="0"/>
        <v>31175214120.118198</v>
      </c>
    </row>
    <row r="13" spans="1:14" ht="15.75" customHeight="1">
      <c r="A13" t="s">
        <v>51</v>
      </c>
      <c r="B13" s="23">
        <v>117502004</v>
      </c>
      <c r="C13" s="23">
        <v>131151754</v>
      </c>
      <c r="D13" s="23">
        <v>153332024</v>
      </c>
      <c r="E13" s="23">
        <v>81211864</v>
      </c>
      <c r="F13" s="23">
        <v>76007133</v>
      </c>
      <c r="G13" s="23">
        <v>141599303</v>
      </c>
      <c r="H13" s="24">
        <v>149792966</v>
      </c>
      <c r="I13" s="26">
        <v>101310497</v>
      </c>
      <c r="J13" s="23">
        <v>250481354</v>
      </c>
      <c r="K13" s="23">
        <v>204248500</v>
      </c>
      <c r="L13" s="23"/>
      <c r="M13" s="23"/>
      <c r="N13" s="25">
        <f t="shared" si="0"/>
        <v>1406637399</v>
      </c>
    </row>
    <row r="14" spans="1:14">
      <c r="A14" t="s">
        <v>52</v>
      </c>
      <c r="B14" s="23">
        <v>2335540514</v>
      </c>
      <c r="C14" s="23">
        <v>1298953022</v>
      </c>
      <c r="D14" s="23">
        <v>2759978598</v>
      </c>
      <c r="E14" s="23">
        <v>1547240366</v>
      </c>
      <c r="F14" s="23">
        <v>2338065889</v>
      </c>
      <c r="G14" s="23">
        <v>1264993485</v>
      </c>
      <c r="H14" s="24">
        <v>1759516904</v>
      </c>
      <c r="I14" s="23">
        <v>1745189151</v>
      </c>
      <c r="J14" s="23">
        <v>2032374356</v>
      </c>
      <c r="K14" s="23">
        <v>1617430114</v>
      </c>
      <c r="L14" s="23"/>
      <c r="M14" s="23"/>
      <c r="N14" s="25">
        <f t="shared" si="0"/>
        <v>18699282399</v>
      </c>
    </row>
    <row r="15" spans="1:14">
      <c r="A15" t="s">
        <v>53</v>
      </c>
      <c r="B15" s="23">
        <f>92229.2311399995*23205</f>
        <v>2140179308.6036882</v>
      </c>
      <c r="C15" s="23">
        <f>67101.22455*23205</f>
        <v>1557083915.68275</v>
      </c>
      <c r="D15" s="23">
        <f>51931.4756*23205</f>
        <v>1205069891.2979999</v>
      </c>
      <c r="E15" s="23">
        <f>47626.6642000005*23205</f>
        <v>1105176742.7610116</v>
      </c>
      <c r="F15" s="23">
        <f>38233.4138999999*23205</f>
        <v>887206369.5494976</v>
      </c>
      <c r="G15" s="23">
        <f>18782.3237*23205</f>
        <v>435843821.45850003</v>
      </c>
      <c r="H15" s="24">
        <f>22141.4295*23205</f>
        <v>513791871.54749995</v>
      </c>
      <c r="I15" s="23">
        <f>62930.0507299999*23205</f>
        <v>1460291827.1896477</v>
      </c>
      <c r="J15" s="23">
        <f>22257.3459399999*23205</f>
        <v>516481712.53769773</v>
      </c>
      <c r="K15" s="23">
        <f>43016.5635399999*23205</f>
        <v>998199356.94569767</v>
      </c>
      <c r="L15" s="23"/>
      <c r="M15" s="23"/>
      <c r="N15" s="25">
        <f t="shared" si="0"/>
        <v>10819324817.57399</v>
      </c>
    </row>
    <row r="16" spans="1:14">
      <c r="A16" t="s">
        <v>54</v>
      </c>
      <c r="B16" s="23">
        <v>304597590.35159999</v>
      </c>
      <c r="C16" s="23">
        <f>9766.46186999999*23205</f>
        <v>226630747.69334978</v>
      </c>
      <c r="D16" s="23">
        <f>25649.74366*23205</f>
        <v>595202301.63030005</v>
      </c>
      <c r="E16" s="23">
        <f>7519.78379999998*23205</f>
        <v>174496583.07899955</v>
      </c>
      <c r="F16" s="23">
        <f>15818.8438*23205</f>
        <v>367076270.37900001</v>
      </c>
      <c r="G16" s="23">
        <f>21314.3521000001*23205</f>
        <v>494599540.48050231</v>
      </c>
      <c r="H16" s="24">
        <f>29409.9179*23205</f>
        <v>682457144.86950004</v>
      </c>
      <c r="I16" s="23">
        <f>22877.12846*23205</f>
        <v>530863765.91430002</v>
      </c>
      <c r="J16" s="23">
        <f>8232.24821*23205</f>
        <v>191029319.71305001</v>
      </c>
      <c r="K16" s="23">
        <f>13182.32419*23205</f>
        <v>305895832.82894999</v>
      </c>
      <c r="L16" s="23"/>
      <c r="M16" s="23"/>
      <c r="N16" s="25">
        <f t="shared" si="0"/>
        <v>3872849096.9395514</v>
      </c>
    </row>
    <row r="17" spans="1:14">
      <c r="A17" t="s">
        <v>55</v>
      </c>
      <c r="B17" s="23">
        <v>195369861</v>
      </c>
      <c r="C17" s="23">
        <v>157761512</v>
      </c>
      <c r="D17" s="23">
        <v>235388060</v>
      </c>
      <c r="E17" s="23">
        <v>262808637</v>
      </c>
      <c r="F17" s="23">
        <v>144727671</v>
      </c>
      <c r="G17" s="23">
        <v>221192688</v>
      </c>
      <c r="H17" s="24">
        <v>315415874</v>
      </c>
      <c r="I17" s="23">
        <v>196418229</v>
      </c>
      <c r="J17" s="24">
        <v>334069613</v>
      </c>
      <c r="K17" s="23">
        <v>428117966</v>
      </c>
      <c r="L17" s="23"/>
      <c r="M17" s="23"/>
      <c r="N17" s="25">
        <f t="shared" si="0"/>
        <v>2491270111</v>
      </c>
    </row>
    <row r="18" spans="1:14">
      <c r="A18" t="s">
        <v>56</v>
      </c>
      <c r="B18" s="23">
        <v>57706532</v>
      </c>
      <c r="C18" s="23">
        <v>51260190</v>
      </c>
      <c r="D18" s="23">
        <v>101913774</v>
      </c>
      <c r="E18" s="23">
        <v>95516541</v>
      </c>
      <c r="F18" s="23">
        <v>87630894</v>
      </c>
      <c r="G18" s="23">
        <v>118359060</v>
      </c>
      <c r="H18" s="24">
        <v>102771739</v>
      </c>
      <c r="I18" s="26">
        <v>89347197</v>
      </c>
      <c r="J18" s="24">
        <v>110402632</v>
      </c>
      <c r="K18" s="23">
        <v>143024549</v>
      </c>
      <c r="L18" s="23"/>
      <c r="M18" s="23"/>
      <c r="N18" s="25">
        <f t="shared" si="0"/>
        <v>957933108</v>
      </c>
    </row>
    <row r="19" spans="1:14">
      <c r="A19" t="s">
        <v>57</v>
      </c>
      <c r="B19" s="23">
        <v>1965705112</v>
      </c>
      <c r="C19" s="23">
        <v>1551367671</v>
      </c>
      <c r="D19" s="23">
        <v>2528431086</v>
      </c>
      <c r="E19" s="23">
        <v>2253707646</v>
      </c>
      <c r="F19" s="23">
        <v>1642892976</v>
      </c>
      <c r="G19" s="23">
        <v>2425344356</v>
      </c>
      <c r="H19" s="24">
        <v>2644278244</v>
      </c>
      <c r="I19" s="26">
        <v>3908814731</v>
      </c>
      <c r="J19" s="24">
        <v>2910561926</v>
      </c>
      <c r="K19" s="23">
        <v>1664327849</v>
      </c>
      <c r="L19" s="23"/>
      <c r="M19" s="23"/>
      <c r="N19" s="25">
        <f t="shared" si="0"/>
        <v>23495431597</v>
      </c>
    </row>
    <row r="20" spans="1:14">
      <c r="A20" t="s">
        <v>58</v>
      </c>
      <c r="B20" s="23"/>
      <c r="C20" s="23">
        <v>17538133.403700002</v>
      </c>
      <c r="D20" s="23">
        <f>353.2*23205</f>
        <v>8196006</v>
      </c>
      <c r="E20" s="23"/>
      <c r="F20" s="23"/>
      <c r="G20" s="23">
        <f>2933.01574*23205</f>
        <v>68060630.246699989</v>
      </c>
      <c r="H20" s="24">
        <f>4829.4202*23205</f>
        <v>112066695.741</v>
      </c>
      <c r="I20" s="26">
        <f>1936.2072*23205</f>
        <v>44929688.076000005</v>
      </c>
      <c r="J20" s="24">
        <f>4548.3951*23205</f>
        <v>105545508.2955</v>
      </c>
      <c r="K20" s="23">
        <f>5118.4179*23205</f>
        <v>118772887.36950001</v>
      </c>
      <c r="L20" s="24"/>
      <c r="M20" s="23"/>
      <c r="N20" s="25">
        <f t="shared" si="0"/>
        <v>475109549.13240004</v>
      </c>
    </row>
    <row r="21" spans="1:14">
      <c r="A21" t="s">
        <v>83</v>
      </c>
      <c r="B21" s="23"/>
      <c r="C21" s="23"/>
      <c r="D21" s="23"/>
      <c r="E21" s="23"/>
      <c r="F21" s="23"/>
      <c r="G21" s="23"/>
      <c r="H21" s="24"/>
      <c r="I21" s="26"/>
      <c r="J21" s="24">
        <v>215800000</v>
      </c>
      <c r="K21" s="23">
        <v>200700000</v>
      </c>
      <c r="L21" s="24"/>
      <c r="M21" s="23"/>
      <c r="N21" s="25">
        <f t="shared" si="0"/>
        <v>416500000</v>
      </c>
    </row>
    <row r="22" spans="1:14">
      <c r="B22" s="23"/>
      <c r="L22" s="28"/>
    </row>
    <row r="23" spans="1:14">
      <c r="B23" s="23">
        <f t="shared" ref="B23:M23" si="1">SUM(B3:B22)</f>
        <v>20828409355.022793</v>
      </c>
      <c r="C23" s="23">
        <f t="shared" si="1"/>
        <v>12787588099.37915</v>
      </c>
      <c r="D23" s="23">
        <f t="shared" si="1"/>
        <v>21530129640.8428</v>
      </c>
      <c r="E23" s="23">
        <f t="shared" si="1"/>
        <v>17620930983.877762</v>
      </c>
      <c r="F23" s="23">
        <f t="shared" si="1"/>
        <v>18912330649.826767</v>
      </c>
      <c r="G23" s="23">
        <f t="shared" si="1"/>
        <v>19913236973.215607</v>
      </c>
      <c r="H23" s="23">
        <f t="shared" si="1"/>
        <v>18534271510.163864</v>
      </c>
      <c r="I23" s="23">
        <f t="shared" si="1"/>
        <v>21009766768.312504</v>
      </c>
      <c r="J23" s="23">
        <f t="shared" si="1"/>
        <v>21052577614.879074</v>
      </c>
      <c r="K23" s="23">
        <f t="shared" si="1"/>
        <v>17947265546.013596</v>
      </c>
      <c r="L23" s="24">
        <f t="shared" si="1"/>
        <v>0</v>
      </c>
      <c r="M23" s="23">
        <f t="shared" si="1"/>
        <v>0</v>
      </c>
      <c r="N23" s="23">
        <f>SUM(N3:N22)</f>
        <v>190136507141.53391</v>
      </c>
    </row>
    <row r="24" spans="1:14">
      <c r="C24" s="27"/>
      <c r="H24" s="29"/>
      <c r="L24" s="28"/>
    </row>
    <row r="25" spans="1:14" s="30" customFormat="1">
      <c r="C25" s="23"/>
    </row>
    <row r="26" spans="1:14" s="35" customFormat="1" ht="20.25" customHeight="1">
      <c r="A26" s="31"/>
      <c r="B26" s="31"/>
      <c r="C26" s="32"/>
      <c r="D26" s="33"/>
      <c r="E26" s="34"/>
      <c r="G26" s="36"/>
      <c r="K26" s="45"/>
    </row>
    <row r="27" spans="1:14" s="35" customFormat="1" ht="20.25" customHeight="1">
      <c r="A27" s="32"/>
      <c r="B27" s="32"/>
      <c r="C27" s="32"/>
      <c r="D27" s="33"/>
      <c r="E27" s="34"/>
      <c r="G27" s="37"/>
    </row>
    <row r="28" spans="1:14" s="35" customFormat="1" ht="20.25" customHeight="1">
      <c r="A28" s="32"/>
      <c r="B28" s="32"/>
      <c r="C28" s="32"/>
      <c r="D28" s="33"/>
      <c r="E28" s="38"/>
      <c r="G28" s="37"/>
      <c r="K28" s="39"/>
      <c r="L28" s="37"/>
    </row>
    <row r="29" spans="1:14" s="35" customFormat="1" ht="20.25" customHeight="1">
      <c r="A29" s="32"/>
      <c r="B29" s="32"/>
      <c r="C29" s="32"/>
      <c r="D29" s="33"/>
      <c r="E29" s="38"/>
      <c r="G29" s="37"/>
      <c r="K29" s="39"/>
      <c r="L29" s="37"/>
    </row>
    <row r="30" spans="1:14" s="35" customFormat="1" ht="20.25" customHeight="1">
      <c r="A30" s="32"/>
      <c r="B30" s="32"/>
      <c r="C30" s="32"/>
      <c r="D30" s="33"/>
      <c r="E30" s="38"/>
      <c r="G30" s="37"/>
      <c r="K30" s="39"/>
      <c r="L30" s="37"/>
    </row>
    <row r="31" spans="1:14" s="35" customFormat="1" ht="20.25" customHeight="1">
      <c r="A31" s="32"/>
      <c r="B31" s="32"/>
      <c r="C31" s="32"/>
      <c r="D31" s="33"/>
      <c r="E31" s="38"/>
      <c r="G31" s="37"/>
      <c r="K31" s="39"/>
      <c r="L31" s="37"/>
    </row>
    <row r="32" spans="1:14" s="35" customFormat="1" ht="20.25" customHeight="1">
      <c r="A32" s="32"/>
      <c r="B32" s="32"/>
      <c r="C32" s="32"/>
      <c r="D32" s="33"/>
      <c r="E32" s="38"/>
      <c r="G32" s="37"/>
      <c r="K32" s="39"/>
    </row>
    <row r="33" spans="1:11" s="35" customFormat="1" ht="20.25" customHeight="1">
      <c r="A33" s="32"/>
      <c r="B33" s="32"/>
      <c r="C33" s="32"/>
      <c r="D33" s="33"/>
      <c r="E33" s="38"/>
      <c r="G33" s="37"/>
      <c r="K33" s="39"/>
    </row>
    <row r="34" spans="1:11" s="35" customFormat="1" ht="20.25" customHeight="1">
      <c r="A34" s="32"/>
      <c r="B34" s="32"/>
      <c r="C34" s="32"/>
      <c r="D34" s="33"/>
      <c r="E34" s="38"/>
      <c r="G34" s="37"/>
      <c r="K34" s="39"/>
    </row>
    <row r="35" spans="1:11" s="35" customFormat="1" ht="20.25" customHeight="1">
      <c r="A35" s="32"/>
      <c r="B35" s="32"/>
      <c r="C35" s="32"/>
      <c r="D35" s="33"/>
      <c r="E35" s="38"/>
      <c r="G35" s="37"/>
      <c r="K35" s="39"/>
    </row>
    <row r="36" spans="1:11" s="35" customFormat="1" ht="20.25" customHeight="1">
      <c r="A36" s="32"/>
      <c r="B36" s="32"/>
      <c r="C36" s="32"/>
      <c r="D36" s="33"/>
      <c r="E36" s="38"/>
      <c r="G36" s="37"/>
      <c r="K36" s="39"/>
    </row>
    <row r="37" spans="1:11" s="35" customFormat="1" ht="20.25" customHeight="1">
      <c r="A37" s="32"/>
      <c r="B37" s="32"/>
      <c r="C37" s="32"/>
      <c r="D37" s="33"/>
      <c r="E37" s="38"/>
      <c r="G37" s="37"/>
      <c r="K37" s="39"/>
    </row>
    <row r="38" spans="1:11" s="35" customFormat="1" ht="20.25" customHeight="1">
      <c r="A38" s="32"/>
      <c r="B38" s="32"/>
      <c r="C38" s="32"/>
      <c r="D38" s="33"/>
      <c r="E38" s="38"/>
      <c r="G38" s="37"/>
    </row>
    <row r="39" spans="1:11" s="35" customFormat="1" ht="20.25" customHeight="1">
      <c r="A39" s="32"/>
      <c r="B39" s="32"/>
      <c r="C39" s="32"/>
      <c r="D39" s="33"/>
      <c r="E39" s="38"/>
      <c r="G39" s="37"/>
      <c r="K39" s="39"/>
    </row>
    <row r="40" spans="1:11" s="35" customFormat="1" ht="20.25" customHeight="1">
      <c r="A40" s="32"/>
      <c r="B40" s="32"/>
      <c r="C40" s="32"/>
      <c r="D40" s="33"/>
      <c r="E40" s="38"/>
      <c r="G40" s="37"/>
      <c r="K40" s="39"/>
    </row>
    <row r="41" spans="1:11" s="35" customFormat="1" ht="20.25" customHeight="1">
      <c r="A41" s="32"/>
      <c r="B41" s="32"/>
      <c r="C41" s="32"/>
      <c r="D41" s="33"/>
      <c r="E41" s="38"/>
      <c r="G41" s="37"/>
      <c r="K41" s="39"/>
    </row>
    <row r="42" spans="1:11" s="35" customFormat="1" ht="20.25" customHeight="1">
      <c r="A42" s="32"/>
      <c r="B42" s="32"/>
      <c r="C42" s="32"/>
      <c r="D42" s="33"/>
      <c r="E42" s="38"/>
      <c r="G42" s="37"/>
    </row>
    <row r="43" spans="1:11" s="35" customFormat="1" ht="20.25" customHeight="1">
      <c r="A43" s="32"/>
      <c r="B43" s="32"/>
      <c r="C43" s="32"/>
      <c r="D43" s="33"/>
      <c r="E43" s="38"/>
      <c r="G43" s="37"/>
      <c r="K43" s="39"/>
    </row>
    <row r="44" spans="1:11" s="35" customFormat="1" ht="20.25" customHeight="1">
      <c r="A44" s="32"/>
      <c r="B44" s="32"/>
      <c r="C44" s="32"/>
      <c r="D44" s="33"/>
      <c r="E44" s="38"/>
      <c r="G44" s="37"/>
      <c r="K44" s="39"/>
    </row>
    <row r="45" spans="1:11" s="35" customFormat="1" ht="20.25" customHeight="1">
      <c r="A45" s="32"/>
      <c r="B45" s="32"/>
      <c r="C45" s="32"/>
      <c r="D45" s="33"/>
      <c r="E45" s="38"/>
      <c r="G45" s="37"/>
      <c r="K45" s="39"/>
    </row>
    <row r="46" spans="1:11" s="35" customFormat="1" ht="20.25" customHeight="1">
      <c r="A46" s="32"/>
      <c r="B46" s="32"/>
      <c r="C46" s="32"/>
      <c r="D46" s="33"/>
      <c r="E46" s="38"/>
      <c r="G46" s="37"/>
    </row>
    <row r="47" spans="1:11" s="35" customFormat="1" ht="20.25" customHeight="1">
      <c r="A47" s="32"/>
      <c r="B47" s="32"/>
      <c r="C47" s="32"/>
      <c r="D47" s="33"/>
      <c r="E47" s="38"/>
      <c r="G47" s="37"/>
      <c r="K47" s="39"/>
    </row>
    <row r="48" spans="1:11" s="35" customFormat="1" ht="20.25" customHeight="1">
      <c r="A48" s="32"/>
      <c r="B48" s="32"/>
      <c r="C48" s="32"/>
      <c r="D48" s="33"/>
      <c r="E48" s="38"/>
      <c r="G48" s="37"/>
      <c r="K48" s="39"/>
    </row>
    <row r="49" spans="1:11" s="35" customFormat="1" ht="20.25" customHeight="1">
      <c r="A49" s="32"/>
      <c r="B49" s="32"/>
      <c r="C49" s="32"/>
      <c r="D49" s="33"/>
      <c r="E49" s="38"/>
      <c r="G49" s="37"/>
      <c r="K49" s="39"/>
    </row>
    <row r="50" spans="1:11" s="35" customFormat="1" ht="20.25" customHeight="1">
      <c r="A50" s="32"/>
      <c r="B50" s="32"/>
      <c r="C50" s="32"/>
      <c r="D50" s="33"/>
      <c r="E50" s="38"/>
      <c r="G50" s="37"/>
    </row>
    <row r="51" spans="1:11" s="35" customFormat="1" ht="20.25" customHeight="1">
      <c r="A51" s="32"/>
      <c r="B51" s="32"/>
      <c r="C51" s="32"/>
      <c r="D51" s="33"/>
      <c r="E51" s="38"/>
      <c r="G51" s="37"/>
      <c r="K51" s="39"/>
    </row>
    <row r="52" spans="1:11" s="35" customFormat="1" ht="20.25" customHeight="1">
      <c r="A52" s="32"/>
      <c r="B52" s="32"/>
      <c r="C52" s="32"/>
      <c r="D52" s="33"/>
      <c r="E52" s="38"/>
      <c r="G52" s="37"/>
      <c r="K52" s="39"/>
    </row>
    <row r="53" spans="1:11" s="35" customFormat="1" ht="20.25" customHeight="1">
      <c r="A53" s="32"/>
      <c r="B53" s="32"/>
      <c r="C53" s="32"/>
      <c r="D53" s="33"/>
      <c r="E53" s="38"/>
      <c r="G53" s="37"/>
      <c r="K53" s="39"/>
    </row>
    <row r="54" spans="1:11" s="35" customFormat="1" ht="20.25" customHeight="1">
      <c r="A54" s="32"/>
      <c r="B54" s="32"/>
      <c r="C54" s="32"/>
      <c r="D54" s="33"/>
      <c r="E54" s="38"/>
      <c r="G54" s="37"/>
    </row>
    <row r="55" spans="1:11" s="35" customFormat="1" ht="20.25" customHeight="1">
      <c r="A55" s="32"/>
      <c r="B55" s="32"/>
      <c r="C55" s="32"/>
      <c r="D55" s="33"/>
      <c r="E55" s="38"/>
      <c r="G55" s="37"/>
    </row>
    <row r="56" spans="1:11" s="35" customFormat="1" ht="20.25" customHeight="1">
      <c r="A56" s="32"/>
      <c r="B56" s="32"/>
      <c r="C56" s="32"/>
      <c r="D56" s="33"/>
      <c r="E56" s="38"/>
      <c r="G56" s="37"/>
    </row>
    <row r="57" spans="1:11" s="35" customFormat="1" ht="20.25" customHeight="1">
      <c r="A57" s="32"/>
      <c r="B57" s="32"/>
      <c r="C57" s="32"/>
      <c r="D57" s="33"/>
      <c r="E57" s="38"/>
      <c r="G57" s="37"/>
    </row>
    <row r="58" spans="1:11" s="35" customFormat="1" ht="20.25" customHeight="1">
      <c r="A58" s="32"/>
      <c r="B58" s="32"/>
      <c r="C58" s="32"/>
      <c r="D58" s="33"/>
      <c r="E58" s="38"/>
      <c r="G58" s="37"/>
    </row>
    <row r="59" spans="1:11" s="35" customFormat="1" ht="20.25" customHeight="1">
      <c r="A59" s="32"/>
      <c r="B59" s="32"/>
      <c r="C59" s="32"/>
      <c r="D59" s="33"/>
      <c r="E59" s="38"/>
      <c r="G59" s="37"/>
    </row>
    <row r="60" spans="1:11" s="35" customFormat="1" ht="20.25" customHeight="1">
      <c r="A60" s="32"/>
      <c r="B60" s="32"/>
      <c r="C60" s="32"/>
      <c r="D60" s="33"/>
      <c r="E60" s="38"/>
      <c r="G60" s="37"/>
    </row>
    <row r="61" spans="1:11" s="35" customFormat="1" ht="20.25" customHeight="1">
      <c r="A61" s="32"/>
      <c r="B61" s="32"/>
      <c r="C61" s="32"/>
      <c r="D61" s="33"/>
      <c r="E61" s="38"/>
      <c r="G61" s="37"/>
    </row>
    <row r="62" spans="1:11" s="35" customFormat="1" ht="20.25" customHeight="1">
      <c r="A62" s="32"/>
      <c r="B62" s="32"/>
      <c r="C62" s="32"/>
      <c r="D62" s="33"/>
      <c r="E62" s="38"/>
      <c r="G62" s="37"/>
    </row>
    <row r="63" spans="1:11" s="35" customFormat="1" ht="20.25" customHeight="1">
      <c r="A63" s="32"/>
      <c r="B63" s="32"/>
      <c r="C63" s="32"/>
      <c r="D63" s="33"/>
      <c r="E63" s="38"/>
      <c r="G63" s="37"/>
    </row>
    <row r="64" spans="1:11" s="35" customFormat="1" ht="20.25" customHeight="1">
      <c r="A64" s="32"/>
      <c r="B64" s="32"/>
      <c r="C64" s="32"/>
      <c r="D64" s="33"/>
      <c r="E64" s="38"/>
      <c r="G64" s="37"/>
    </row>
    <row r="65" spans="1:7" s="35" customFormat="1" ht="20.25" customHeight="1">
      <c r="A65" s="32"/>
      <c r="B65" s="32"/>
      <c r="C65" s="32"/>
      <c r="D65" s="33"/>
      <c r="E65" s="38"/>
      <c r="G65" s="37"/>
    </row>
    <row r="66" spans="1:7" s="35" customFormat="1" ht="20.25" customHeight="1">
      <c r="A66" s="32"/>
      <c r="B66" s="32"/>
      <c r="C66" s="32"/>
      <c r="D66" s="33"/>
      <c r="E66" s="38"/>
      <c r="G66" s="37"/>
    </row>
    <row r="67" spans="1:7" s="35" customFormat="1" ht="20.25" customHeight="1">
      <c r="A67" s="32"/>
      <c r="B67" s="32"/>
      <c r="C67" s="32"/>
      <c r="D67" s="33"/>
      <c r="E67" s="38"/>
      <c r="G67" s="37"/>
    </row>
    <row r="68" spans="1:7" s="35" customFormat="1" ht="20.25" customHeight="1">
      <c r="A68" s="32"/>
      <c r="B68" s="32"/>
      <c r="C68" s="32"/>
      <c r="D68" s="33"/>
      <c r="E68" s="38"/>
      <c r="G68" s="37"/>
    </row>
    <row r="69" spans="1:7" s="35" customFormat="1" ht="20.25" customHeight="1">
      <c r="A69" s="32"/>
      <c r="B69" s="32"/>
      <c r="C69" s="32"/>
      <c r="D69" s="33"/>
      <c r="E69" s="38"/>
      <c r="G69" s="37"/>
    </row>
    <row r="70" spans="1:7" s="35" customFormat="1" ht="20.25" customHeight="1">
      <c r="A70" s="32"/>
      <c r="B70" s="32"/>
      <c r="C70" s="32"/>
      <c r="D70" s="33"/>
      <c r="E70" s="38"/>
      <c r="G70" s="37"/>
    </row>
    <row r="71" spans="1:7" s="35" customFormat="1" ht="20.25" customHeight="1">
      <c r="A71" s="32"/>
      <c r="B71" s="32"/>
      <c r="C71" s="32"/>
      <c r="D71" s="33"/>
      <c r="E71" s="38"/>
      <c r="G71" s="37"/>
    </row>
    <row r="72" spans="1:7" s="35" customFormat="1" ht="20.25" customHeight="1">
      <c r="A72" s="32"/>
      <c r="B72" s="32"/>
      <c r="C72" s="32"/>
      <c r="D72" s="33"/>
      <c r="E72" s="38"/>
      <c r="G72" s="37"/>
    </row>
    <row r="73" spans="1:7" s="35" customFormat="1" ht="20.25" customHeight="1">
      <c r="A73" s="32"/>
      <c r="B73" s="32"/>
      <c r="C73" s="32"/>
      <c r="D73" s="33"/>
      <c r="E73" s="38"/>
      <c r="G73" s="37"/>
    </row>
    <row r="74" spans="1:7" s="35" customFormat="1" ht="20.25" customHeight="1">
      <c r="A74" s="32"/>
      <c r="B74" s="32"/>
      <c r="C74" s="32"/>
      <c r="D74" s="33"/>
      <c r="E74" s="38"/>
      <c r="G74" s="37"/>
    </row>
    <row r="75" spans="1:7" s="35" customFormat="1" ht="20.25" customHeight="1">
      <c r="A75" s="32"/>
      <c r="B75" s="32"/>
      <c r="C75" s="32"/>
      <c r="D75" s="33"/>
      <c r="E75" s="38"/>
      <c r="G75" s="37"/>
    </row>
  </sheetData>
  <autoFilter ref="A2:N23"/>
  <printOptions horizontalCentered="1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D3:G13"/>
  <sheetViews>
    <sheetView workbookViewId="0">
      <selection activeCell="F10" activeCellId="1" sqref="F7 F10"/>
    </sheetView>
  </sheetViews>
  <sheetFormatPr defaultRowHeight="14.25"/>
  <sheetData>
    <row r="3" spans="4:7">
      <c r="D3" t="s">
        <v>60</v>
      </c>
      <c r="E3">
        <v>1</v>
      </c>
      <c r="F3" s="42">
        <v>172</v>
      </c>
    </row>
    <row r="4" spans="4:7">
      <c r="D4" t="s">
        <v>61</v>
      </c>
      <c r="E4">
        <v>1</v>
      </c>
      <c r="F4" s="42">
        <v>172</v>
      </c>
    </row>
    <row r="5" spans="4:7">
      <c r="D5" t="s">
        <v>62</v>
      </c>
      <c r="E5">
        <v>1</v>
      </c>
      <c r="F5" s="42">
        <v>172</v>
      </c>
    </row>
    <row r="6" spans="4:7">
      <c r="D6" t="s">
        <v>63</v>
      </c>
      <c r="E6">
        <v>1</v>
      </c>
      <c r="F6" s="42">
        <v>172</v>
      </c>
    </row>
    <row r="7" spans="4:7">
      <c r="D7" t="s">
        <v>64</v>
      </c>
      <c r="E7">
        <v>1</v>
      </c>
      <c r="F7" s="42">
        <v>172</v>
      </c>
    </row>
    <row r="8" spans="4:7">
      <c r="D8" t="s">
        <v>65</v>
      </c>
      <c r="E8">
        <v>1</v>
      </c>
      <c r="F8" s="42">
        <v>172</v>
      </c>
      <c r="G8" t="s">
        <v>69</v>
      </c>
    </row>
    <row r="9" spans="4:7">
      <c r="D9" t="s">
        <v>66</v>
      </c>
      <c r="E9">
        <v>1</v>
      </c>
      <c r="F9" s="42">
        <v>172</v>
      </c>
      <c r="G9" t="s">
        <v>69</v>
      </c>
    </row>
    <row r="10" spans="4:7">
      <c r="D10" t="s">
        <v>67</v>
      </c>
      <c r="E10">
        <v>1</v>
      </c>
      <c r="F10" s="42">
        <v>172</v>
      </c>
    </row>
    <row r="11" spans="4:7">
      <c r="D11" t="s">
        <v>68</v>
      </c>
      <c r="E11">
        <v>2</v>
      </c>
      <c r="F11" s="42">
        <f>172*2</f>
        <v>344</v>
      </c>
    </row>
    <row r="13" spans="4:7">
      <c r="F13">
        <f>SUM(F3:F12)</f>
        <v>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02.11.2022</vt:lpstr>
      <vt:lpstr>GIA CONGO</vt:lpstr>
      <vt:lpstr>Sheet1</vt:lpstr>
      <vt:lpstr>Sheet2</vt:lpstr>
      <vt:lpstr>'GIA CONGO'!Print_Area</vt:lpstr>
      <vt:lpstr>'GIA CONGO'!Print_Titles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2022-11-17T06:52:10Z</dcterms:modified>
</cp:coreProperties>
</file>